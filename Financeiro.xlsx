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ês a Mês" sheetId="1" r:id="rId5"/>
    <sheet state="visible" name="Dashboard" sheetId="2" r:id="rId6"/>
    <sheet state="visible" name="Controle" sheetId="3" r:id="rId7"/>
    <sheet state="visible" name="Custo marcas" sheetId="4" r:id="rId8"/>
    <sheet state="visible" name="Categorias" sheetId="5" r:id="rId9"/>
    <sheet state="visible" name="Calculadora de preço" sheetId="6" r:id="rId10"/>
    <sheet state="visible" name="Tordilho Negro" sheetId="7" r:id="rId11"/>
    <sheet state="visible" name="Marilene" sheetId="8" r:id="rId12"/>
    <sheet state="visible" name="Sheet3" sheetId="9" r:id="rId13"/>
    <sheet state="visible" name="Check TN" sheetId="10" r:id="rId14"/>
    <sheet state="visible" name="Lista preços" sheetId="11" r:id="rId15"/>
    <sheet state="visible" name="Página13" sheetId="12" r:id="rId16"/>
    <sheet state="visible" name="Página16" sheetId="13" r:id="rId17"/>
  </sheets>
  <definedNames>
    <definedName hidden="1" localSheetId="2" name="_xlnm._FilterDatabase">Controle!$A$1:$AD$1971</definedName>
    <definedName hidden="1" localSheetId="10" name="_xlnm._FilterDatabase">'Lista preços'!$A$1:$AA$924</definedName>
  </definedNames>
  <calcPr/>
</workbook>
</file>

<file path=xl/sharedStrings.xml><?xml version="1.0" encoding="utf-8"?>
<sst xmlns="http://schemas.openxmlformats.org/spreadsheetml/2006/main" count="5751" uniqueCount="2561">
  <si>
    <t>Sacudido's</t>
  </si>
  <si>
    <t>Pé na estrada</t>
  </si>
  <si>
    <t>Entradas</t>
  </si>
  <si>
    <t>Previstas</t>
  </si>
  <si>
    <t>Efetivadas</t>
  </si>
  <si>
    <t>Kappell</t>
  </si>
  <si>
    <t>Mês</t>
  </si>
  <si>
    <t>Vuollo</t>
  </si>
  <si>
    <t>A pagar</t>
  </si>
  <si>
    <t>Previsão</t>
  </si>
  <si>
    <t>Pago</t>
  </si>
  <si>
    <t>Falta</t>
  </si>
  <si>
    <t>Cla-cle</t>
  </si>
  <si>
    <t>Salário</t>
  </si>
  <si>
    <t>Qualitche</t>
  </si>
  <si>
    <t>Pura Raça</t>
  </si>
  <si>
    <t>Texanus</t>
  </si>
  <si>
    <t>Mula Rosa</t>
  </si>
  <si>
    <t>Montana</t>
  </si>
  <si>
    <t>Cowgirl</t>
  </si>
  <si>
    <t>Pampa Sul</t>
  </si>
  <si>
    <t>Made in Mato</t>
  </si>
  <si>
    <t>Master Couros</t>
  </si>
  <si>
    <t>Ciarin</t>
  </si>
  <si>
    <t>Selaria Pinheiro</t>
  </si>
  <si>
    <t>Texas Farm</t>
  </si>
  <si>
    <t>Tordilho Negro</t>
  </si>
  <si>
    <t>MOR</t>
  </si>
  <si>
    <t>Black</t>
  </si>
  <si>
    <t>Conta</t>
  </si>
  <si>
    <t>Comissão tia Noeli</t>
  </si>
  <si>
    <t>9/2026</t>
  </si>
  <si>
    <t>Local</t>
  </si>
  <si>
    <t>Vencimento</t>
  </si>
  <si>
    <t>Tipo</t>
  </si>
  <si>
    <t>Link</t>
  </si>
  <si>
    <t>Categoria</t>
  </si>
  <si>
    <t>Contas</t>
  </si>
  <si>
    <t>Á Pagar</t>
  </si>
  <si>
    <t>Total</t>
  </si>
  <si>
    <t>Valor</t>
  </si>
  <si>
    <t>Valor Pago</t>
  </si>
  <si>
    <t>Data Pagamento</t>
  </si>
  <si>
    <t>Coluna 2</t>
  </si>
  <si>
    <t>Credor</t>
  </si>
  <si>
    <t>Coluna 3</t>
  </si>
  <si>
    <t>Coluna 4</t>
  </si>
  <si>
    <t>Devendo</t>
  </si>
  <si>
    <t>Coluna 5</t>
  </si>
  <si>
    <t>Coluna 6</t>
  </si>
  <si>
    <t>Fornecedor</t>
  </si>
  <si>
    <t>Coluna 7</t>
  </si>
  <si>
    <t>Coluna 8</t>
  </si>
  <si>
    <t>Coluna 9</t>
  </si>
  <si>
    <t>Coluna 10</t>
  </si>
  <si>
    <t>Destino</t>
  </si>
  <si>
    <t>Coluna 11</t>
  </si>
  <si>
    <t>Coluna 12</t>
  </si>
  <si>
    <t>Categorias</t>
  </si>
  <si>
    <t>Coluna 13</t>
  </si>
  <si>
    <t>Coluna 14</t>
  </si>
  <si>
    <t>Coluna 15</t>
  </si>
  <si>
    <t>Coluna 16</t>
  </si>
  <si>
    <t>Coluna 17</t>
  </si>
  <si>
    <t>Categorias de conta</t>
  </si>
  <si>
    <t>Coluna 18</t>
  </si>
  <si>
    <t>Selecione</t>
  </si>
  <si>
    <t>Dívida</t>
  </si>
  <si>
    <t>Luz</t>
  </si>
  <si>
    <t>Coluna 19</t>
  </si>
  <si>
    <t>Água</t>
  </si>
  <si>
    <t>Investimento</t>
  </si>
  <si>
    <t>Locação</t>
  </si>
  <si>
    <t>Coluna 20</t>
  </si>
  <si>
    <t>Telefonia</t>
  </si>
  <si>
    <t>Internet</t>
  </si>
  <si>
    <t>Imposto</t>
  </si>
  <si>
    <t>Seguro</t>
  </si>
  <si>
    <t>Coluna 21</t>
  </si>
  <si>
    <t>Combustivel</t>
  </si>
  <si>
    <t>Mercado</t>
  </si>
  <si>
    <t>Coluna 22</t>
  </si>
  <si>
    <t>Ademicon</t>
  </si>
  <si>
    <t>Casa</t>
  </si>
  <si>
    <t>Valor do Produto</t>
  </si>
  <si>
    <t>Tabela de tarifas Stone</t>
  </si>
  <si>
    <t>Parcela</t>
  </si>
  <si>
    <t>Á Receber</t>
  </si>
  <si>
    <t>Margem</t>
  </si>
  <si>
    <t>Valor Sugerido de venda</t>
  </si>
  <si>
    <t>Antecipação</t>
  </si>
  <si>
    <t>-</t>
  </si>
  <si>
    <t>Markup</t>
  </si>
  <si>
    <t>Débito</t>
  </si>
  <si>
    <t>Projeção</t>
  </si>
  <si>
    <t>A vista</t>
  </si>
  <si>
    <t>A Prazo</t>
  </si>
  <si>
    <t>Estoque</t>
  </si>
  <si>
    <t>Parcelas</t>
  </si>
  <si>
    <t>Margem de lucro</t>
  </si>
  <si>
    <t>Crédito</t>
  </si>
  <si>
    <t>Blusa Sul de Minas</t>
  </si>
  <si>
    <t>À Pagar</t>
  </si>
  <si>
    <t>Tarifa máxima</t>
  </si>
  <si>
    <t>2a 6x</t>
  </si>
  <si>
    <t>Moletom Bem Campeiro - Infantil</t>
  </si>
  <si>
    <t>Produto</t>
  </si>
  <si>
    <t>Recebido</t>
  </si>
  <si>
    <t>Atual</t>
  </si>
  <si>
    <t>Custo</t>
  </si>
  <si>
    <t>Venda</t>
  </si>
  <si>
    <t>Moletom Bem Campeiro - Adulto</t>
  </si>
  <si>
    <t>Camisa Polo Adulto</t>
  </si>
  <si>
    <t>Moletom Cowgirl</t>
  </si>
  <si>
    <t>Corta Vento - Eklética</t>
  </si>
  <si>
    <t>Manga Longa Bem Campeiro - Adulto</t>
  </si>
  <si>
    <t>Camisa Polo Baby</t>
  </si>
  <si>
    <t>Manga Longa Bem Campeiro - Infantil</t>
  </si>
  <si>
    <t>Camisa Polo Infantil</t>
  </si>
  <si>
    <t>Pix</t>
  </si>
  <si>
    <t>Manga Longa - Country Kids - Infantil</t>
  </si>
  <si>
    <t>Dinheiro</t>
  </si>
  <si>
    <t>Manga Longa - Jopper Bulls - Adulto</t>
  </si>
  <si>
    <t>Ceva Mate</t>
  </si>
  <si>
    <t>Vence hoje</t>
  </si>
  <si>
    <t>Manga Longa - Mula Rosa - Adulto</t>
  </si>
  <si>
    <t>Chinelo Campeiro</t>
  </si>
  <si>
    <t>Cuia c/ Bomba</t>
  </si>
  <si>
    <t>Mateira</t>
  </si>
  <si>
    <t>Pagamentos realizados</t>
  </si>
  <si>
    <t>Copel</t>
  </si>
  <si>
    <t>Loja</t>
  </si>
  <si>
    <t>Variavel</t>
  </si>
  <si>
    <t>Élio Squena - Tordilho Negro</t>
  </si>
  <si>
    <t>CC Nubank</t>
  </si>
  <si>
    <t>Vinicius</t>
  </si>
  <si>
    <t>Sanepar</t>
  </si>
  <si>
    <t>Aluguel</t>
  </si>
  <si>
    <t>CC Santander</t>
  </si>
  <si>
    <t>Aplicação</t>
  </si>
  <si>
    <t>TIM</t>
  </si>
  <si>
    <t>Meganet</t>
  </si>
  <si>
    <t>Santander</t>
  </si>
  <si>
    <t>CC Cresol</t>
  </si>
  <si>
    <t>Pampasul</t>
  </si>
  <si>
    <t>Financiamento Santander</t>
  </si>
  <si>
    <t>Cresol</t>
  </si>
  <si>
    <t>MEI</t>
  </si>
  <si>
    <t>GIS</t>
  </si>
  <si>
    <t>Botinas</t>
  </si>
  <si>
    <t>Infinite Pay</t>
  </si>
  <si>
    <t>Qualitchê</t>
  </si>
  <si>
    <t>Itaú</t>
  </si>
  <si>
    <t>Nubank</t>
  </si>
  <si>
    <t>CEF</t>
  </si>
  <si>
    <t>Carteira</t>
  </si>
  <si>
    <t>Sokolowski</t>
  </si>
  <si>
    <t>Caixa</t>
  </si>
  <si>
    <t>Caju</t>
  </si>
  <si>
    <t>Diferenca</t>
  </si>
  <si>
    <t>Empréstimo Cresol</t>
  </si>
  <si>
    <t>Usado</t>
  </si>
  <si>
    <t>Column 8</t>
  </si>
  <si>
    <t>Vezes</t>
  </si>
  <si>
    <t>Pendentes</t>
  </si>
  <si>
    <t>Total Pendente</t>
  </si>
  <si>
    <t>Pagas</t>
  </si>
  <si>
    <t>Total Pago</t>
  </si>
  <si>
    <t>Gislaine</t>
  </si>
  <si>
    <t>Corta Vento</t>
  </si>
  <si>
    <t>Lenço</t>
  </si>
  <si>
    <t>Cuia c/ Bomba - Tordilho Negro</t>
  </si>
  <si>
    <t>18/03/2024</t>
  </si>
  <si>
    <t>Preta</t>
  </si>
  <si>
    <t>PAGO</t>
  </si>
  <si>
    <t>Ceva Mate - Tordilho Negro</t>
  </si>
  <si>
    <t>Financiamento Creditas</t>
  </si>
  <si>
    <t>Camisa Infantil Tordilho Negro Vermelho - 2</t>
  </si>
  <si>
    <t>20/03/2024</t>
  </si>
  <si>
    <t>Cinza</t>
  </si>
  <si>
    <t>Camisa Masculina Tordilho Negro Vermelha - G</t>
  </si>
  <si>
    <t>28/03/2024</t>
  </si>
  <si>
    <t>Preto</t>
  </si>
  <si>
    <t>Camisa Infantil Tordilho Negro Verde - 4</t>
  </si>
  <si>
    <t>30/03/2024</t>
  </si>
  <si>
    <t>Verde</t>
  </si>
  <si>
    <t>Camisa Masculina Tordilho Negro Branca - GG</t>
  </si>
  <si>
    <t>Camisa Masculina Tordilho Negro Preta - M</t>
  </si>
  <si>
    <t>jan</t>
  </si>
  <si>
    <t>dez</t>
  </si>
  <si>
    <t>Camisa Feminina Tordilho Negro Vermelha - M</t>
  </si>
  <si>
    <t>abr</t>
  </si>
  <si>
    <t>Camisa Infantil Tordilho Negro Azul - 4</t>
  </si>
  <si>
    <t>Cuia c bomba</t>
  </si>
  <si>
    <t>Camisa Feminina Tordilho Negro Azul - M</t>
  </si>
  <si>
    <t>Camisa Feminina Tordilho Negro Preta - GG</t>
  </si>
  <si>
    <t>Camisa Feminina Tordilho Negro Preta - M</t>
  </si>
  <si>
    <t>Camisa Infantil Tordilho Negro Vermelho - 4</t>
  </si>
  <si>
    <t>Camisa Masculina Tordilho Negro Vermelha - M</t>
  </si>
  <si>
    <t>Camisa Feminina Tordilho Negro Vermelha - G</t>
  </si>
  <si>
    <t>Chinelo Campeiro - Tordilho Negro</t>
  </si>
  <si>
    <t>Despesas Fixas</t>
  </si>
  <si>
    <t>Margem para cobrir cartão</t>
  </si>
  <si>
    <t>Custo do produto</t>
  </si>
  <si>
    <t>Camisa Feminina Tordilho Negro Branca - G</t>
  </si>
  <si>
    <t>Preço Sugerido de venda</t>
  </si>
  <si>
    <t>Camisa Masculina Tordilho Negro Branca - M</t>
  </si>
  <si>
    <t>Desconto</t>
  </si>
  <si>
    <t>Preço que receberemos no pagamento</t>
  </si>
  <si>
    <t>Play 4</t>
  </si>
  <si>
    <t>Plaina desengrossadeira</t>
  </si>
  <si>
    <t>Sofá com chaise 4 metros</t>
  </si>
  <si>
    <t xml:space="preserve">Computador gamer </t>
  </si>
  <si>
    <t>Monitor</t>
  </si>
  <si>
    <t>25/08/2025</t>
  </si>
  <si>
    <t>R$ 533.34</t>
  </si>
  <si>
    <t>3</t>
  </si>
  <si>
    <t>Infantil</t>
  </si>
  <si>
    <t>G</t>
  </si>
  <si>
    <t>VERDE</t>
  </si>
  <si>
    <t>AZUL</t>
  </si>
  <si>
    <t>VERMELHO</t>
  </si>
  <si>
    <t>Feminina</t>
  </si>
  <si>
    <t>P</t>
  </si>
  <si>
    <t>M</t>
  </si>
  <si>
    <t>GG</t>
  </si>
  <si>
    <t>VERMELHA</t>
  </si>
  <si>
    <t>BRANCA</t>
  </si>
  <si>
    <t>Seguro Kwid</t>
  </si>
  <si>
    <t>PRETA</t>
  </si>
  <si>
    <t>15/10/2024</t>
  </si>
  <si>
    <t>R$ 216.67</t>
  </si>
  <si>
    <t>Masculina</t>
  </si>
  <si>
    <t>Black Erva</t>
  </si>
  <si>
    <t>Mazutti</t>
  </si>
  <si>
    <t>Pé na Estrada</t>
  </si>
  <si>
    <t>C. F. Menezes &amp; Carvalho Ltda - Qualitche</t>
  </si>
  <si>
    <t>Calçados para Dança - Vuollo</t>
  </si>
  <si>
    <t>VINI</t>
  </si>
  <si>
    <t>Empréstimo Nubank</t>
  </si>
  <si>
    <t>GISLAINE</t>
  </si>
  <si>
    <t>Id</t>
  </si>
  <si>
    <t>Código (SKU)</t>
  </si>
  <si>
    <t>Preço</t>
  </si>
  <si>
    <t>Preço Promocional</t>
  </si>
  <si>
    <t>888001812</t>
  </si>
  <si>
    <t>0015 - FOLHA SECA - FLORAL</t>
  </si>
  <si>
    <t>0015FSFLORAL</t>
  </si>
  <si>
    <t>825885774</t>
  </si>
  <si>
    <t>0015 - FOLHA SECA - FLORAL - 36</t>
  </si>
  <si>
    <t>0015FOLHA36</t>
  </si>
  <si>
    <t>888001960</t>
  </si>
  <si>
    <t>0015 - FOLHA SECA - FLORAL - 38</t>
  </si>
  <si>
    <t>0015FOLHA38</t>
  </si>
  <si>
    <t>888001963</t>
  </si>
  <si>
    <t>0015 - FOLHA SECA - FLORAL - 42</t>
  </si>
  <si>
    <t>0015FOLHA42</t>
  </si>
  <si>
    <t>888001966</t>
  </si>
  <si>
    <t>0015 - FOLHA SECA - FLORAL - 44</t>
  </si>
  <si>
    <t>0015FOLHA44</t>
  </si>
  <si>
    <t>888001969</t>
  </si>
  <si>
    <t>0015 - FOLHA SECA - FLORAL - 45</t>
  </si>
  <si>
    <t>0015FOLHA45</t>
  </si>
  <si>
    <t>888002599</t>
  </si>
  <si>
    <t>0015 - MADEIRA SECA - FLORAL PINK</t>
  </si>
  <si>
    <t>0015MADSECAFLORPINK</t>
  </si>
  <si>
    <t>825885771</t>
  </si>
  <si>
    <t>0015 - MADEIRA SECA - FLORAL PINK - 34</t>
  </si>
  <si>
    <t>0015PINK34</t>
  </si>
  <si>
    <t>888002803</t>
  </si>
  <si>
    <t>0015 - MADEIRA SECA - FLORAL PINK - 35</t>
  </si>
  <si>
    <t>0015PINK35</t>
  </si>
  <si>
    <t>888002806</t>
  </si>
  <si>
    <t>0015 - MADEIRA SECA - FLORAL PINK - 37</t>
  </si>
  <si>
    <t>0015PINK37</t>
  </si>
  <si>
    <t>888002809</t>
  </si>
  <si>
    <t>0015 - MADEIRA SECA - FLORAL PINK - 38</t>
  </si>
  <si>
    <t>0015PINK38</t>
  </si>
  <si>
    <t>888004101</t>
  </si>
  <si>
    <t>0015 - NOBUK CAFÉ - FLORAL</t>
  </si>
  <si>
    <t>0015NCFLORAL</t>
  </si>
  <si>
    <t>825885777</t>
  </si>
  <si>
    <t>0015 - NOBUK CAFÉ - FLORAL - 39</t>
  </si>
  <si>
    <t>0015NCFLORAL39</t>
  </si>
  <si>
    <t>888004148</t>
  </si>
  <si>
    <t>0015 - NOBUK CAFÉ - FLORAL - 41</t>
  </si>
  <si>
    <t>0015NCFLORAL41</t>
  </si>
  <si>
    <t>888004151</t>
  </si>
  <si>
    <t>0015 - NOBUK CAFÉ - FLORAL - 42</t>
  </si>
  <si>
    <t>0015NCFLORAL42</t>
  </si>
  <si>
    <t>888004154</t>
  </si>
  <si>
    <t>0015 - NOBUK CAFÉ - FLORAL - 43</t>
  </si>
  <si>
    <t>0015NCFLORAL43</t>
  </si>
  <si>
    <t>888004216</t>
  </si>
  <si>
    <t>015QL - BOTINA LAT.CAFE SOLA TROV</t>
  </si>
  <si>
    <t>015QLST</t>
  </si>
  <si>
    <t>888004817</t>
  </si>
  <si>
    <t>015QL - BOTINA LAT.CAFE SOLA TROV - 21</t>
  </si>
  <si>
    <t>015QLST-1</t>
  </si>
  <si>
    <t>888004822</t>
  </si>
  <si>
    <t>015QL - BOTINA LAT.CAFE SOLA TROV - 25</t>
  </si>
  <si>
    <t>015QLST-2</t>
  </si>
  <si>
    <t>888004825</t>
  </si>
  <si>
    <t>015QL - BOTINA LAT.CAFE SOLA TROV - 26</t>
  </si>
  <si>
    <t>015QLST-3</t>
  </si>
  <si>
    <t>888004828</t>
  </si>
  <si>
    <t>015QL - BOTINA LAT.CAFE SOLA TROV - 27</t>
  </si>
  <si>
    <t>015QLST-4</t>
  </si>
  <si>
    <t>888004831</t>
  </si>
  <si>
    <t>015QL - BOTINA LAT.CAFE SOLA TROV - 28</t>
  </si>
  <si>
    <t>015QLST-5</t>
  </si>
  <si>
    <t>888004834</t>
  </si>
  <si>
    <t>015QL - BOTINA LAT.CAFE SOLA TROV - 29</t>
  </si>
  <si>
    <t>015QLST-6</t>
  </si>
  <si>
    <t>888004837</t>
  </si>
  <si>
    <t>015QL - BOTINA LAT.CAFE SOLA TROV - 30</t>
  </si>
  <si>
    <t>015QLST-7</t>
  </si>
  <si>
    <t>888004840</t>
  </si>
  <si>
    <t>015QL - BOTINA LAT.CAFE SOLA TROV - 31</t>
  </si>
  <si>
    <t>015QLST-8</t>
  </si>
  <si>
    <t>888004814</t>
  </si>
  <si>
    <t>015QL - BOTINA LAT.CAFE SOLA TROV - 34</t>
  </si>
  <si>
    <t>015QLST-9</t>
  </si>
  <si>
    <t>888006948</t>
  </si>
  <si>
    <t>1000  FLOOTER PRETO</t>
  </si>
  <si>
    <t>1000FP</t>
  </si>
  <si>
    <t>888008149</t>
  </si>
  <si>
    <t>1000  FLOOTER PRETO - 34</t>
  </si>
  <si>
    <t>1000FP-1</t>
  </si>
  <si>
    <t>888008152</t>
  </si>
  <si>
    <t>1000  FLOOTER PRETO - 36</t>
  </si>
  <si>
    <t>1000FP-2</t>
  </si>
  <si>
    <t>888008155</t>
  </si>
  <si>
    <t>1000  FLOOTER PRETO - 38</t>
  </si>
  <si>
    <t>1000FP-3</t>
  </si>
  <si>
    <t>888008146</t>
  </si>
  <si>
    <t>1000  FLOOTER PRETO - 40</t>
  </si>
  <si>
    <t>1000FP-4</t>
  </si>
  <si>
    <t>888026648</t>
  </si>
  <si>
    <t>1000  MADEIRA SECA  CRAZY</t>
  </si>
  <si>
    <t>1000MSCRAZY</t>
  </si>
  <si>
    <t>825885789</t>
  </si>
  <si>
    <t>1000  MADEIRA SECA  CRAZY - 37</t>
  </si>
  <si>
    <t>1000MSCRAZY-1</t>
  </si>
  <si>
    <t>888026675</t>
  </si>
  <si>
    <t>1000  MADEIRA SECA  CRAZY - 39</t>
  </si>
  <si>
    <t>1000MSCRAZY-2</t>
  </si>
  <si>
    <t>888026678</t>
  </si>
  <si>
    <t>1000  MADEIRA SECA  CRAZY - 41</t>
  </si>
  <si>
    <t>1000MSCRAZY-3</t>
  </si>
  <si>
    <t>888026681</t>
  </si>
  <si>
    <t>1000  MADEIRA SECA  CRAZY - 43</t>
  </si>
  <si>
    <t>1000MSCRAZY-4</t>
  </si>
  <si>
    <t>888026759</t>
  </si>
  <si>
    <t>1002  CASCA DE ARVORE</t>
  </si>
  <si>
    <t>1002CDA</t>
  </si>
  <si>
    <t>825885786</t>
  </si>
  <si>
    <t>1002  CASCA DE ARVORE - 36</t>
  </si>
  <si>
    <t>10021002CDA-1</t>
  </si>
  <si>
    <t>888026769</t>
  </si>
  <si>
    <t>1002  CASCA DE ARVORE - 38</t>
  </si>
  <si>
    <t>1002CDA-2</t>
  </si>
  <si>
    <t>888026772</t>
  </si>
  <si>
    <t>1002  CASCA DE ARVORE - 40</t>
  </si>
  <si>
    <t>1002CDA-3</t>
  </si>
  <si>
    <t>888026775</t>
  </si>
  <si>
    <t>1002  CASCA DE ARVORE - 42</t>
  </si>
  <si>
    <t>1002CDA-4</t>
  </si>
  <si>
    <t>888026859</t>
  </si>
  <si>
    <t>1100  NOBUK FENDY  FLORES DO CAMPO</t>
  </si>
  <si>
    <t>1100NFFDC</t>
  </si>
  <si>
    <t>825885780</t>
  </si>
  <si>
    <t>1100  NOBUK FENDY  FLORES DO CAMPO - 33</t>
  </si>
  <si>
    <t>1100NFFDC-1</t>
  </si>
  <si>
    <t>888026936</t>
  </si>
  <si>
    <t>1100  NOBUK FENDY  FLORES DO CAMPO - 35</t>
  </si>
  <si>
    <t>1100NFFDC-2</t>
  </si>
  <si>
    <t>888026939</t>
  </si>
  <si>
    <t>1100  NOBUK FENDY  FLORES DO CAMPO - 37</t>
  </si>
  <si>
    <t>1100NFFDC-3</t>
  </si>
  <si>
    <t>888026942</t>
  </si>
  <si>
    <t>1100  NOBUK FENDY  FLORES DO CAMPO - 39</t>
  </si>
  <si>
    <t>1100NFFDC-4</t>
  </si>
  <si>
    <t>888027072</t>
  </si>
  <si>
    <t>1250 - FLORAL PINK - MADEIRA SECA</t>
  </si>
  <si>
    <t>1250FPMS</t>
  </si>
  <si>
    <t>825885768</t>
  </si>
  <si>
    <t>1250 - FLORAL PINK - MADEIRA SECA - 34</t>
  </si>
  <si>
    <t>1250FPMS-1</t>
  </si>
  <si>
    <t>888027164</t>
  </si>
  <si>
    <t>1250 - FLORAL PINK - MADEIRA SECA - 35</t>
  </si>
  <si>
    <t>1250FPMS-2</t>
  </si>
  <si>
    <t>888027167</t>
  </si>
  <si>
    <t>1250 - FLORAL PINK - MADEIRA SECA - 36</t>
  </si>
  <si>
    <t>1250FPMS-3</t>
  </si>
  <si>
    <t>888027170</t>
  </si>
  <si>
    <t>1250 - FLORAL PINK - MADEIRA SECA - 37</t>
  </si>
  <si>
    <t>1250FPMS-4</t>
  </si>
  <si>
    <t>888027173</t>
  </si>
  <si>
    <t>1250 - FLORAL PINK - MADEIRA SECA - 38</t>
  </si>
  <si>
    <t>1250FPMS-5</t>
  </si>
  <si>
    <t>821620743</t>
  </si>
  <si>
    <t>Abridor de Garrafas - Sacudidos</t>
  </si>
  <si>
    <t>813754503</t>
  </si>
  <si>
    <t>ADESIVO DE CHAPEU SACUDIDOS - AGRO NAO PARA - PRETO E LARANJA</t>
  </si>
  <si>
    <t>813754358</t>
  </si>
  <si>
    <t>ADESIVO DE CHAPEU SACUDIDOS - ETIQUETA SACUDIDOS</t>
  </si>
  <si>
    <t>813754447</t>
  </si>
  <si>
    <t>ADESIVO DE CHAPEU SACUDIDOS - LOGO ESTILIZADO - BRANCO</t>
  </si>
  <si>
    <t>813754456</t>
  </si>
  <si>
    <t>ADESIVO DE CHAPEU SACUDIDOS - LOGO ESTILIZADO - DOURADO</t>
  </si>
  <si>
    <t>813754364</t>
  </si>
  <si>
    <t>ADESIVO DE CHAPEU SACUDIDOS - LOGO ROSA</t>
  </si>
  <si>
    <t>813754493</t>
  </si>
  <si>
    <t>ADESIVO DE CHAPEU SACUDIDOS - LOGO SACUDIDOS</t>
  </si>
  <si>
    <t>813754373</t>
  </si>
  <si>
    <t>ADESIVO DE CHAPEU SACUDIDOS - MEDALHA SAO BENTO</t>
  </si>
  <si>
    <t>E R Confecções - Chapéu Gaucho</t>
  </si>
  <si>
    <t>813754370</t>
  </si>
  <si>
    <t>ADESIVO DE CHAPEU SACUDIDOS - PENA - VERDE E AMARELO</t>
  </si>
  <si>
    <t>796092376</t>
  </si>
  <si>
    <t>ADESIVO MADE IN MATO PEQUENO 10,5</t>
  </si>
  <si>
    <t>816436708</t>
  </si>
  <si>
    <t>ADESIVO SACUDIDO'S</t>
  </si>
  <si>
    <t>807046395</t>
  </si>
  <si>
    <t>ARREIO BANANA JC C/ARG. INOX C/TRAVESSAO....</t>
  </si>
  <si>
    <t>810056870</t>
  </si>
  <si>
    <t>BABYLOOK TEXAS FARM - CF129 - DO PP AO GG - ROXO AMORA</t>
  </si>
  <si>
    <t>810056851</t>
  </si>
  <si>
    <t>BABYLOOK TEXAS FARM - CF238 - DO PP AO GG - ROXO AMORA</t>
  </si>
  <si>
    <t>810056797</t>
  </si>
  <si>
    <t>BABYLOOK TEXAS FARM - CF268 - DO PP AO GG - PRETO</t>
  </si>
  <si>
    <t>816032859</t>
  </si>
  <si>
    <t>BAINHA  CELULAR GG PASSADOR C  FORRO</t>
  </si>
  <si>
    <t>807046398</t>
  </si>
  <si>
    <t>BAINHA DE COURO P/CANIVETE.......................</t>
  </si>
  <si>
    <t>803544054</t>
  </si>
  <si>
    <t>BANDANA PROTECAO UV - UNICO</t>
  </si>
  <si>
    <t>810056779</t>
  </si>
  <si>
    <t>BANDANA TEXAS FARM | WAY TO LIVE - BN014 - PRETO</t>
  </si>
  <si>
    <t>806785802</t>
  </si>
  <si>
    <t>BANDINHA B004</t>
  </si>
  <si>
    <t>806785806</t>
  </si>
  <si>
    <t>BANDINHA COM APLIQUE</t>
  </si>
  <si>
    <t>827101770</t>
  </si>
  <si>
    <t>BARBICACHO</t>
  </si>
  <si>
    <t>888004591</t>
  </si>
  <si>
    <t xml:space="preserve">BASICA F PROTECAO UV </t>
  </si>
  <si>
    <t>BASFPROTUV</t>
  </si>
  <si>
    <t>803544031</t>
  </si>
  <si>
    <t>BASICA F PROTECAO UV  - G</t>
  </si>
  <si>
    <t>BASFPROTUV-G</t>
  </si>
  <si>
    <t>803544034</t>
  </si>
  <si>
    <t>BASICA F PROTECAO UV  - GG</t>
  </si>
  <si>
    <t>BASFPROTUV-GG</t>
  </si>
  <si>
    <t>803544028</t>
  </si>
  <si>
    <t>BASICA F PROTECAO UV  - M</t>
  </si>
  <si>
    <t>BASFPROTUV-M</t>
  </si>
  <si>
    <t>803544025</t>
  </si>
  <si>
    <t>BASICA F PROTECAO UV  - P</t>
  </si>
  <si>
    <t>BASFPROTUV-P</t>
  </si>
  <si>
    <t>888005061</t>
  </si>
  <si>
    <t xml:space="preserve">BASICA M PROTECAO UV </t>
  </si>
  <si>
    <t>BASMPROTUV</t>
  </si>
  <si>
    <t>803544043</t>
  </si>
  <si>
    <t>BASICA M PROTECAO UV  - G</t>
  </si>
  <si>
    <t>BASMPROTUV-G</t>
  </si>
  <si>
    <t>803544051</t>
  </si>
  <si>
    <t>BASICA M PROTECAO UV  - G1</t>
  </si>
  <si>
    <t>BASMPROTUV-G1</t>
  </si>
  <si>
    <t>803544048</t>
  </si>
  <si>
    <t>BASICA M PROTECAO UV  - GG</t>
  </si>
  <si>
    <t>BASMPROTUV-GG</t>
  </si>
  <si>
    <t>803544040</t>
  </si>
  <si>
    <t>BASICA M PROTECAO UV  - M</t>
  </si>
  <si>
    <t>BASMPROTUV-M</t>
  </si>
  <si>
    <t>803544037</t>
  </si>
  <si>
    <t>BASICA M PROTECAO UV  - P</t>
  </si>
  <si>
    <t>BASMPROTUV-P</t>
  </si>
  <si>
    <t>888005017</t>
  </si>
  <si>
    <t xml:space="preserve">Blusa Cowgirl Boots </t>
  </si>
  <si>
    <t>BLUCOWBO</t>
  </si>
  <si>
    <t>804464698</t>
  </si>
  <si>
    <t>Blusa Cowgirl Boots  - G</t>
  </si>
  <si>
    <t>BLUCOWBO-G</t>
  </si>
  <si>
    <t>NAY Carro de Som</t>
  </si>
  <si>
    <t>804464701</t>
  </si>
  <si>
    <t>Blusa Cowgirl Boots  - M</t>
  </si>
  <si>
    <t>BLUCOWBO-M</t>
  </si>
  <si>
    <t>804464706</t>
  </si>
  <si>
    <t>Blusa Cowgirl Boots  - P</t>
  </si>
  <si>
    <t>BLUCOWBO-P</t>
  </si>
  <si>
    <t>804464709</t>
  </si>
  <si>
    <t>Blusa Cowgirl Boots  - PP</t>
  </si>
  <si>
    <t>BLUCOWBO-PP</t>
  </si>
  <si>
    <t>815454541</t>
  </si>
  <si>
    <t>BLUSA MEIO ZIPER - SUL DE MINAS</t>
  </si>
  <si>
    <t>888005075</t>
  </si>
  <si>
    <t xml:space="preserve">Blusa Saddle Up Cowboy </t>
  </si>
  <si>
    <t>BLUSADUPCO</t>
  </si>
  <si>
    <t>804464732</t>
  </si>
  <si>
    <t>Blusa Saddle Up Cowboy  - G</t>
  </si>
  <si>
    <t>BLUSADUPCO-G</t>
  </si>
  <si>
    <t>804464728</t>
  </si>
  <si>
    <t>Blusa Saddle Up Cowboy  - GG</t>
  </si>
  <si>
    <t>BLUSADUPCO-GG</t>
  </si>
  <si>
    <t>804464735</t>
  </si>
  <si>
    <t>Blusa Saddle Up Cowboy  - M</t>
  </si>
  <si>
    <t>BLUSADUPCO-M</t>
  </si>
  <si>
    <t>804464738</t>
  </si>
  <si>
    <t>Blusa Saddle Up Cowboy  - P</t>
  </si>
  <si>
    <t>BLUSADUPCO-P</t>
  </si>
  <si>
    <t>888005096</t>
  </si>
  <si>
    <t xml:space="preserve">Blusa Tamborzeira </t>
  </si>
  <si>
    <t>BLUTAMB</t>
  </si>
  <si>
    <t>804464716</t>
  </si>
  <si>
    <t>Blusa Tamborzeira  - G</t>
  </si>
  <si>
    <t>BLUTAMB-G</t>
  </si>
  <si>
    <t>804464713</t>
  </si>
  <si>
    <t>Blusa Tamborzeira  - GG</t>
  </si>
  <si>
    <t>BLUTAMB-GG</t>
  </si>
  <si>
    <t>804464720</t>
  </si>
  <si>
    <t>Blusa Tamborzeira  - M</t>
  </si>
  <si>
    <t>BLUTAMB-M</t>
  </si>
  <si>
    <t>804464725</t>
  </si>
  <si>
    <t>Blusa Tamborzeira  - P</t>
  </si>
  <si>
    <t>BLUTAMB-P</t>
  </si>
  <si>
    <t>815454782</t>
  </si>
  <si>
    <t>BLUSA ZIPER INTEIRO - SUL DE MINAS</t>
  </si>
  <si>
    <t>888005192</t>
  </si>
  <si>
    <t>BODY CIRE SEM MANGA TEXAS FARM  BO001</t>
  </si>
  <si>
    <t>BODYBO001</t>
  </si>
  <si>
    <t>810056957</t>
  </si>
  <si>
    <t>BODY CIRE SEM MANGA TEXAS FARM  BO001 - ROXO LILAS - GG</t>
  </si>
  <si>
    <t>BODYBO001-GG</t>
  </si>
  <si>
    <t>810056954</t>
  </si>
  <si>
    <t>BODY CIRE SEM MANGA TEXAS FARM  BO001 - VERDE LIMA - P</t>
  </si>
  <si>
    <t>BODYBO001-P</t>
  </si>
  <si>
    <t>810056951</t>
  </si>
  <si>
    <t>BODY CIRE SEM MANGA TEXAS FARM  BO001 - VERDE MENTA - M</t>
  </si>
  <si>
    <t>BODYBO001-M</t>
  </si>
  <si>
    <t>810056947</t>
  </si>
  <si>
    <t>BODY CIRE SEM MANGA TEXAS FARM  BO001 - VERMELHO VINHO - G</t>
  </si>
  <si>
    <t>BODYBO001-G</t>
  </si>
  <si>
    <t>821620722</t>
  </si>
  <si>
    <t>Bolsa Termica Sacudidos - Preta</t>
  </si>
  <si>
    <t>803544017</t>
  </si>
  <si>
    <t>BOMB ALFAIATARIA CERRADO - 42</t>
  </si>
  <si>
    <t>888005499</t>
  </si>
  <si>
    <t xml:space="preserve">Bomba C/ Pedra </t>
  </si>
  <si>
    <t>BOMBACPEDRA</t>
  </si>
  <si>
    <t>796094024</t>
  </si>
  <si>
    <t>Bomba C/ Pedra  - BRANCA</t>
  </si>
  <si>
    <t>BOMBACPEDRA-BRANCA</t>
  </si>
  <si>
    <t>796094015</t>
  </si>
  <si>
    <t>Bomba C/ Pedra  - PRETA</t>
  </si>
  <si>
    <t>BOMBACPEDRA-PRETA</t>
  </si>
  <si>
    <t>796094029</t>
  </si>
  <si>
    <t>Bomba C/ Pedra  - ROSA</t>
  </si>
  <si>
    <t>BOMBACPEDRA-ROSA</t>
  </si>
  <si>
    <t>796094021</t>
  </si>
  <si>
    <t>Bomba C/ Pedra  - VERDE</t>
  </si>
  <si>
    <t>BOMBACPEDRA-VERDE</t>
  </si>
  <si>
    <t>810056912</t>
  </si>
  <si>
    <t>BOMBA C/ ROSCA - BOB003</t>
  </si>
  <si>
    <t>810056916</t>
  </si>
  <si>
    <t>BOMBA C/ ROSCA BLACK - BOB008</t>
  </si>
  <si>
    <t>888005563</t>
  </si>
  <si>
    <t xml:space="preserve">Bomba Colorida </t>
  </si>
  <si>
    <t>BOMBACOLOR</t>
  </si>
  <si>
    <t>888006648</t>
  </si>
  <si>
    <t>Bomba Colorida  - ALGODÃO</t>
  </si>
  <si>
    <t>BOMBACOLOR-1</t>
  </si>
  <si>
    <t>Mercado São José</t>
  </si>
  <si>
    <t>888006651</t>
  </si>
  <si>
    <t>Bomba Colorida  - AMADEIRADA</t>
  </si>
  <si>
    <t>BOMBACOLOR-2</t>
  </si>
  <si>
    <t>888006654</t>
  </si>
  <si>
    <t>Bomba Colorida  - AZUL</t>
  </si>
  <si>
    <t>BOMBACOLOR-3</t>
  </si>
  <si>
    <t>888006657</t>
  </si>
  <si>
    <t>Bomba Colorida  - BRANCA</t>
  </si>
  <si>
    <t>BOMBACOLOR-4</t>
  </si>
  <si>
    <t>888006660</t>
  </si>
  <si>
    <t>Bomba Colorida  - NUDE</t>
  </si>
  <si>
    <t>BOMBACOLOR-5</t>
  </si>
  <si>
    <t>888006663</t>
  </si>
  <si>
    <t>Bomba Colorida  - PRETA</t>
  </si>
  <si>
    <t>BOMBACOLOR-6</t>
  </si>
  <si>
    <t>888006666</t>
  </si>
  <si>
    <t>Bomba Colorida  - ROSA CLARO</t>
  </si>
  <si>
    <t>BOMBACOLOR-7</t>
  </si>
  <si>
    <t>888006669</t>
  </si>
  <si>
    <t>Bomba Colorida  - ROSA NEON</t>
  </si>
  <si>
    <t>BOMBACOLOR-8</t>
  </si>
  <si>
    <t>888006672</t>
  </si>
  <si>
    <t>Bomba Colorida  - VERDE AGUA</t>
  </si>
  <si>
    <t>BOMBACOLOR-9</t>
  </si>
  <si>
    <t>888006645</t>
  </si>
  <si>
    <t>Bomba Colorida  - VERMELHA</t>
  </si>
  <si>
    <t>BOMBACOLOR-10</t>
  </si>
  <si>
    <t>810056919</t>
  </si>
  <si>
    <t>BOMBA COM TELA ESTREITA BLACK - BOB006</t>
  </si>
  <si>
    <t>805638559</t>
  </si>
  <si>
    <t>BOMBA DE INOX MOLA FIXA COTONETE/CONICA</t>
  </si>
  <si>
    <t>Mercado Bom Preço</t>
  </si>
  <si>
    <t>799480385</t>
  </si>
  <si>
    <t>BOMBA FERRO TRADICIONAL CROMADA</t>
  </si>
  <si>
    <t>805638562</t>
  </si>
  <si>
    <t>BOMBA INOX ACHATADA LARGA FIXA</t>
  </si>
  <si>
    <t>805638555</t>
  </si>
  <si>
    <t>BOMBA INOX BOJO FIXO "OVAL"</t>
  </si>
  <si>
    <t>799480379</t>
  </si>
  <si>
    <t>BOMBA INOX C/MOLA CONICA CROMADA</t>
  </si>
  <si>
    <t>799480382</t>
  </si>
  <si>
    <t>BOMBA INOX C/MOLA CONICA PRETA</t>
  </si>
  <si>
    <t>796094037</t>
  </si>
  <si>
    <t>Bomba Inox Lisa</t>
  </si>
  <si>
    <t>Posto Fox</t>
  </si>
  <si>
    <t>796094034</t>
  </si>
  <si>
    <t>Bomba Trancada</t>
  </si>
  <si>
    <t>817208681</t>
  </si>
  <si>
    <t>Boné 2K Jeans</t>
  </si>
  <si>
    <t>BONE2K</t>
  </si>
  <si>
    <t>811654752</t>
  </si>
  <si>
    <t>BONE BEM CAMPEIRO AGRO PRETO COM MARROM</t>
  </si>
  <si>
    <t>BBCMAGROPM</t>
  </si>
  <si>
    <t>888068190</t>
  </si>
  <si>
    <t>BONE BEM CAMPEIRO AQUI O SISTEMA É BEM CAMPEIRO AZUL COM MARROM</t>
  </si>
  <si>
    <t>BBCMSISTEMAAM</t>
  </si>
  <si>
    <t>888068197</t>
  </si>
  <si>
    <t>BONE BEM CAMPEIRO CAVALO BRANCO COM MARROM</t>
  </si>
  <si>
    <t>BBCMCAVALOBM</t>
  </si>
  <si>
    <t>888068272</t>
  </si>
  <si>
    <t>BONE BEM CAMPEIRO ETIQUETA QUADRADA MARROM</t>
  </si>
  <si>
    <t>BBCMETIQUETAM</t>
  </si>
  <si>
    <t>Mercado D'amille</t>
  </si>
  <si>
    <t>888068298</t>
  </si>
  <si>
    <t>BONE BEM CAMPEIRO LAÇO COMPRIDO LOGO REDONDA</t>
  </si>
  <si>
    <t>BBCMLACOLR</t>
  </si>
  <si>
    <t>888068323</t>
  </si>
  <si>
    <t>BONE BEM CAMPEIRO LAÇO COMPRIDO MARROM COM PRETO</t>
  </si>
  <si>
    <t>BBCMLACOMP</t>
  </si>
  <si>
    <t>888068333</t>
  </si>
  <si>
    <t>BONE BEM CAMPEIRO LOIRA BRUTA ROSA COM MARROM</t>
  </si>
  <si>
    <t>BBCMLOIRARM</t>
  </si>
  <si>
    <t>888068336</t>
  </si>
  <si>
    <t>BONE BEM CAMPEIRO NA LIDA MARROM CLARO COM BEGE</t>
  </si>
  <si>
    <t>BBCMLIDAMCB</t>
  </si>
  <si>
    <t>888068344</t>
  </si>
  <si>
    <t>BONE BEM CAMPEIRO ORGULHO DE SER CAMPEIRO VINHO</t>
  </si>
  <si>
    <t>BBCMORGULHOV</t>
  </si>
  <si>
    <t>888068352</t>
  </si>
  <si>
    <t>BONE BEM CAMPEIRO PRETO CAVALO</t>
  </si>
  <si>
    <t>BBCMCAVALOP</t>
  </si>
  <si>
    <t>803726692</t>
  </si>
  <si>
    <t>Bone Chapeu e Terco SCAP</t>
  </si>
  <si>
    <t>803726702</t>
  </si>
  <si>
    <t>Bone Chora Minha Viola</t>
  </si>
  <si>
    <t>803726662</t>
  </si>
  <si>
    <t>Bone Country Farm Bulls M07</t>
  </si>
  <si>
    <t>813754452</t>
  </si>
  <si>
    <t>Bone Fechado Sacudidos - SCD - 6 gomos - Cinza / Verde Neon</t>
  </si>
  <si>
    <t>Tênis Cruz Machado</t>
  </si>
  <si>
    <t>817208824</t>
  </si>
  <si>
    <t>Boné Infantil 2K Jeans</t>
  </si>
  <si>
    <t>Produtos</t>
  </si>
  <si>
    <t>888068367</t>
  </si>
  <si>
    <t>BONE INFANTIL BEM CAMPEIRINHA ROSA COM AZUL</t>
  </si>
  <si>
    <t>BBCMINFRA</t>
  </si>
  <si>
    <t>888068370</t>
  </si>
  <si>
    <t>BONE INFANTIL BEM CAMPEIRINHA ROSA COM PRETO</t>
  </si>
  <si>
    <t>BBCMINFRP</t>
  </si>
  <si>
    <t>888068374</t>
  </si>
  <si>
    <t>BONE INFANTIL BEM CAMPEIRINHO AZUL COM AZUL</t>
  </si>
  <si>
    <t>BBCMINFAA</t>
  </si>
  <si>
    <t>888068378</t>
  </si>
  <si>
    <t>BONE INFANTIL BEM CAMPEIRINHO AZUL COM BORDO</t>
  </si>
  <si>
    <t>BBCMINFAB</t>
  </si>
  <si>
    <t>796092373</t>
  </si>
  <si>
    <t>Bone Made in Mato Trucker Logo White</t>
  </si>
  <si>
    <t>889422485</t>
  </si>
  <si>
    <t>BONÉ MEDALHA SÃO BENTO FECHADO - Marron</t>
  </si>
  <si>
    <t>BMSB-Marron</t>
  </si>
  <si>
    <t>889422471</t>
  </si>
  <si>
    <t>BONÉ MEDALHA SÃO BENTO FECHADO - Preto</t>
  </si>
  <si>
    <t>BMSB-Preto</t>
  </si>
  <si>
    <t>889048856</t>
  </si>
  <si>
    <t>BONÉ MEDALHA SÃO BENTO FECHADO - Verde</t>
  </si>
  <si>
    <t>BMSB-Verde</t>
  </si>
  <si>
    <t>803726699</t>
  </si>
  <si>
    <t>Bone Nelore M05</t>
  </si>
  <si>
    <t>803726696</t>
  </si>
  <si>
    <t>Bone Nossa Senhora Aparecida M01</t>
  </si>
  <si>
    <t>887801664</t>
  </si>
  <si>
    <t>Bone Sacudidos - Aparecida - Marinho</t>
  </si>
  <si>
    <t>887801661</t>
  </si>
  <si>
    <t>Bone Sacudidos - Aparecida - Preto</t>
  </si>
  <si>
    <t>813754444</t>
  </si>
  <si>
    <t>Bone Sacudidos - Bença - Areia e Marrom - Bruna Viola</t>
  </si>
  <si>
    <t>813754512</t>
  </si>
  <si>
    <t>Bone Sacudidos - Boi SCD - 6 gomos - Cinza e Laranja</t>
  </si>
  <si>
    <t>887801667</t>
  </si>
  <si>
    <t>Bone Sacudidos - Cruz - Terco - Preto</t>
  </si>
  <si>
    <t>821620714</t>
  </si>
  <si>
    <t>Bone Sacudidos - F1000 - Cinza e Vermelho</t>
  </si>
  <si>
    <t>813754367</t>
  </si>
  <si>
    <t>Bone Sacudidos - Logo Degrade - Vinho</t>
  </si>
  <si>
    <t>813754377</t>
  </si>
  <si>
    <t>Bone Sacudidos - Logo Estilizado - Laranja</t>
  </si>
  <si>
    <t>887801655</t>
  </si>
  <si>
    <t>Bone Sacudidos - Sao Jorge - Branco - Preto</t>
  </si>
  <si>
    <t>813754441</t>
  </si>
  <si>
    <t>Bone Sacudidos - Suede Marinho - Bruna Viola</t>
  </si>
  <si>
    <t>887801610</t>
  </si>
  <si>
    <t>Bone Sacudidos Aparecida - Bege - Infantil</t>
  </si>
  <si>
    <t>887801673</t>
  </si>
  <si>
    <t>Bone Sacudidos Medalha de Sao Bento - 6 gomos - Vinho Bege</t>
  </si>
  <si>
    <t>887801670</t>
  </si>
  <si>
    <t>Bone Sacudidos Medalha de Sao Bento - Azul . Bege</t>
  </si>
  <si>
    <t>887801613</t>
  </si>
  <si>
    <t>Bone Sacudidos Medalha de Sao Bento - Juta e Cafe</t>
  </si>
  <si>
    <t>887801616</t>
  </si>
  <si>
    <t>Bone Sacudidos Medalha de Sao Bento - Marrom</t>
  </si>
  <si>
    <t>887801619</t>
  </si>
  <si>
    <t>Bone Sacudidos Medalha de Sao Bento - Preto</t>
  </si>
  <si>
    <t>887801622</t>
  </si>
  <si>
    <t>Bone Sacudidos Medalha de Sao Bento - Preto e Camel</t>
  </si>
  <si>
    <t>887801625</t>
  </si>
  <si>
    <t>Bone Sacudidos Medalha Sao Bento - Azul Marinho</t>
  </si>
  <si>
    <t>887801658</t>
  </si>
  <si>
    <t>Bone Sacudidos Medalha Sao Bento - Azul Marinho - Infantil</t>
  </si>
  <si>
    <t>810056908</t>
  </si>
  <si>
    <t>BONE TEXAS FARM - TF496 - PRETO</t>
  </si>
  <si>
    <t>810056985</t>
  </si>
  <si>
    <t>BONE TEXAS FARM - TF673 - AZUL MARINHO/ L. NEON</t>
  </si>
  <si>
    <t>810056932</t>
  </si>
  <si>
    <t>BONE TEXAS FARM - TF758 - PRETO/ VERDE NEON</t>
  </si>
  <si>
    <t>810056770</t>
  </si>
  <si>
    <t>BONE TEXAS FARM - TF811 - VERDE MUSGO</t>
  </si>
  <si>
    <t>810056988</t>
  </si>
  <si>
    <t>BONE TEXAS FARM - TF813 - MARROM CAFE</t>
  </si>
  <si>
    <t>810056773</t>
  </si>
  <si>
    <t>BONE TEXAS FARM - TF901 - CINZA</t>
  </si>
  <si>
    <t>810056839</t>
  </si>
  <si>
    <t>BONE TEXAS FARM - TF904 - VERMELHO</t>
  </si>
  <si>
    <t>810056991</t>
  </si>
  <si>
    <t>BONE TEXAS FARM JUVENIL - TF733/ INF - ROXO/ AMARELO NEON</t>
  </si>
  <si>
    <t>810056820</t>
  </si>
  <si>
    <t>BONE TEXAS FARM JUVENIL - TF754/ INF - PRETO</t>
  </si>
  <si>
    <t>810056836</t>
  </si>
  <si>
    <t>BONE TEXAS FARM JUVENIL - TF900/ INF - PRETO/ LARANJA NEON</t>
  </si>
  <si>
    <t>810056892</t>
  </si>
  <si>
    <t>BONE TEXAS FARM JUVENIL - TF901/ INF - AZUL BB</t>
  </si>
  <si>
    <t>810056898</t>
  </si>
  <si>
    <t>BONE TEXAS FARM | DOUBLE - TF912 - BRANCO</t>
  </si>
  <si>
    <t>810056842</t>
  </si>
  <si>
    <t>BONE TEXAS FARM | DOUBLE - TF912 - CARAMELO</t>
  </si>
  <si>
    <t>810056981</t>
  </si>
  <si>
    <t>BONE TEXAS FARM | LIVIN' - TF820 - VERDE MUSGO</t>
  </si>
  <si>
    <t>810056848</t>
  </si>
  <si>
    <t>BONE TEXAS FARM | NEW TEXAS - TF656 - BEGE/ VERDE MUSGO</t>
  </si>
  <si>
    <t>810056845</t>
  </si>
  <si>
    <t>BONE TEXAS FARM | NEW TEXAS - TF672 - AZUL MARINHO/ L. NEON</t>
  </si>
  <si>
    <t>810056889</t>
  </si>
  <si>
    <t>BONE TEXAS FARM | NEW TEXAS - TF672 - PRETO/ AMARELO NEON</t>
  </si>
  <si>
    <t>810056977</t>
  </si>
  <si>
    <t>BONE TEXAS FARM | OVERTONE - TF801 - MARROM CAFE/ CARAMELO</t>
  </si>
  <si>
    <t>810056922</t>
  </si>
  <si>
    <t>BONE TEXAS FARM | OVERTONE - TF809 - CINZA</t>
  </si>
  <si>
    <t>796092379</t>
  </si>
  <si>
    <t>BONE TRUCKER MILITARY</t>
  </si>
  <si>
    <t>888027914</t>
  </si>
  <si>
    <t>BOTA CAMPEIRA REF. 915 / 092</t>
  </si>
  <si>
    <t>BOTAC915092</t>
  </si>
  <si>
    <t>831927469</t>
  </si>
  <si>
    <t>BOTA CAMPEIRA REF. 915 / 092 - 35</t>
  </si>
  <si>
    <t>BOTAC915092-1</t>
  </si>
  <si>
    <t>888027968</t>
  </si>
  <si>
    <t>BOTA CAMPEIRA REF. 915 / 092 - 36</t>
  </si>
  <si>
    <t>BOTAC915092-2</t>
  </si>
  <si>
    <t>888027971</t>
  </si>
  <si>
    <t>BOTA CAMPEIRA REF. 915 / 092 - 37</t>
  </si>
  <si>
    <t>BOTAC915092-3</t>
  </si>
  <si>
    <t>888027974</t>
  </si>
  <si>
    <t>BOTA CAMPEIRA REF. 915 / 092 - 38</t>
  </si>
  <si>
    <t>BOTAC915092-4</t>
  </si>
  <si>
    <t>888027977</t>
  </si>
  <si>
    <t>BOTA CAMPEIRA REF. 915 / 092 - 39</t>
  </si>
  <si>
    <t>BOTAC915092-5</t>
  </si>
  <si>
    <t>888027980</t>
  </si>
  <si>
    <t>BOTA CAMPEIRA REF. 915 / 092 - 40</t>
  </si>
  <si>
    <t>BOTAC915092-6</t>
  </si>
  <si>
    <t>888027983</t>
  </si>
  <si>
    <t>BOTA CAMPEIRA REF. 915 / 092 - 41</t>
  </si>
  <si>
    <t>BOTAC915092-7</t>
  </si>
  <si>
    <t>888027986</t>
  </si>
  <si>
    <t>BOTA CAMPEIRA REF. 915 / 092 - 42</t>
  </si>
  <si>
    <t>BOTAC915092-8</t>
  </si>
  <si>
    <t>888027989</t>
  </si>
  <si>
    <t>BOTA CAMPEIRA REF. 915 / 092 - 44</t>
  </si>
  <si>
    <t>BOTAC915092-9</t>
  </si>
  <si>
    <t>888028023</t>
  </si>
  <si>
    <t>BOTA CAMPEIRA REF. 915 / 097</t>
  </si>
  <si>
    <t>BOTAC915097</t>
  </si>
  <si>
    <t>831927472</t>
  </si>
  <si>
    <t>BOTA CAMPEIRA REF. 915 / 097 - 35</t>
  </si>
  <si>
    <t>BOTAC915097-1</t>
  </si>
  <si>
    <t>888028052</t>
  </si>
  <si>
    <t>BOTA CAMPEIRA REF. 915 / 097 - 36</t>
  </si>
  <si>
    <t>BOTAC915097-2</t>
  </si>
  <si>
    <t>888028055</t>
  </si>
  <si>
    <t>BOTA CAMPEIRA REF. 915 / 097 - 37</t>
  </si>
  <si>
    <t>BOTAC915097-3</t>
  </si>
  <si>
    <t>888028058</t>
  </si>
  <si>
    <t>BOTA CAMPEIRA REF. 915 / 097 - 38</t>
  </si>
  <si>
    <t>BOTAC915097-4</t>
  </si>
  <si>
    <t>888028061</t>
  </si>
  <si>
    <t>BOTA CAMPEIRA REF. 915 / 097 - 39</t>
  </si>
  <si>
    <t>BOTAC915097-5</t>
  </si>
  <si>
    <t>888028064</t>
  </si>
  <si>
    <t>BOTA CAMPEIRA REF. 915 / 097 - 40</t>
  </si>
  <si>
    <t>BOTAC915097-6</t>
  </si>
  <si>
    <t>888028067</t>
  </si>
  <si>
    <t>BOTA CAMPEIRA REF. 915 / 097 - 41</t>
  </si>
  <si>
    <t>BOTAC915097-7</t>
  </si>
  <si>
    <t>888028070</t>
  </si>
  <si>
    <t>BOTA CAMPEIRA REF. 915 / 097 - 42</t>
  </si>
  <si>
    <t>BOTAC915097-8</t>
  </si>
  <si>
    <t>888028073</t>
  </si>
  <si>
    <t>BOTA CAMPEIRA REF. 915 / 097 - 43</t>
  </si>
  <si>
    <t>BOTAC915097-9</t>
  </si>
  <si>
    <t>888028076</t>
  </si>
  <si>
    <t>BOTA CAMPEIRA REF. 915 / 097 - 44</t>
  </si>
  <si>
    <t>BOTAC915097-10</t>
  </si>
  <si>
    <t>803403312</t>
  </si>
  <si>
    <t>BOTA INFANTIL BIGBULL 11B MALBORO/CAFÉ</t>
  </si>
  <si>
    <t>803403040</t>
  </si>
  <si>
    <t>BOTA INFANTIL BIGBULL 6B PRETO</t>
  </si>
  <si>
    <t>813316198</t>
  </si>
  <si>
    <t>BOTA TEXANA 2008 BEBE AZUL</t>
  </si>
  <si>
    <t>887979008</t>
  </si>
  <si>
    <t>BOTA TEXANA 2008 BEBE BORDO</t>
  </si>
  <si>
    <t>887979108</t>
  </si>
  <si>
    <t>BOTA TEXANA 2008 BEBE CAFE</t>
  </si>
  <si>
    <t>887979186</t>
  </si>
  <si>
    <t>BOTA TEXANA 2008 BEBE ROSA</t>
  </si>
  <si>
    <t>888070518</t>
  </si>
  <si>
    <t>BOTA TEXANA 2008 MIURA SELA INFANTIL</t>
  </si>
  <si>
    <t>BTSELAMIURA</t>
  </si>
  <si>
    <t>887999894</t>
  </si>
  <si>
    <t>BOTA TEXANA 2008 MIURA SELA INFANTIL - 25</t>
  </si>
  <si>
    <t>BTSELAMIURA-1</t>
  </si>
  <si>
    <t>888070610</t>
  </si>
  <si>
    <t>BOTA TEXANA 2008 MIURA SELA INFANTIL - 26</t>
  </si>
  <si>
    <t>BTSELAMIURA-2</t>
  </si>
  <si>
    <t>888070614</t>
  </si>
  <si>
    <t>BOTA TEXANA 2008 MIURA SELA INFANTIL - 27</t>
  </si>
  <si>
    <t>BTSELAMIURA-3</t>
  </si>
  <si>
    <t>888070618</t>
  </si>
  <si>
    <t>BOTA TEXANA 2008 MIURA SELA INFANTIL - 28</t>
  </si>
  <si>
    <t>BTSELAMIURA-4</t>
  </si>
  <si>
    <t>888070621</t>
  </si>
  <si>
    <t>BOTA TEXANA 2008 MIURA SELA INFANTIL - 30</t>
  </si>
  <si>
    <t>BTSELAMIURA-5</t>
  </si>
  <si>
    <t>888070726</t>
  </si>
  <si>
    <t>BOTA TEXANA 2008 NELORE SELA INFANTIL</t>
  </si>
  <si>
    <t>BT2008NELORE</t>
  </si>
  <si>
    <t>887999853</t>
  </si>
  <si>
    <t>BOTA TEXANA 2008 NELORE SELA INFANTIL - 31</t>
  </si>
  <si>
    <t>BT2008NELORE-1</t>
  </si>
  <si>
    <t>888071074</t>
  </si>
  <si>
    <t>BOTA TEXANA 2008 NELORE SELA INFANTIL - 32</t>
  </si>
  <si>
    <t>BT2008NELORE-2</t>
  </si>
  <si>
    <t>888071077</t>
  </si>
  <si>
    <t>BOTA TEXANA 2008 NELORE SELA INFANTIL - 33</t>
  </si>
  <si>
    <t>BT2008NELORE-3</t>
  </si>
  <si>
    <t>888071080</t>
  </si>
  <si>
    <t>BOTA TEXANA 2008 NELORE SELA INFANTIL - 34</t>
  </si>
  <si>
    <t>BT2008NELORE-4</t>
  </si>
  <si>
    <t>888071083</t>
  </si>
  <si>
    <t>BOTA TEXANA 2008 NELORE SELA INFANTIL - 35</t>
  </si>
  <si>
    <t>BT2008NELORE-5</t>
  </si>
  <si>
    <t>888071086</t>
  </si>
  <si>
    <t>BOTA TEXANA 2008 NELORE SELA INFANTIL - 36</t>
  </si>
  <si>
    <t>BT2008NELORE-6</t>
  </si>
  <si>
    <t>888069838</t>
  </si>
  <si>
    <t>BOTA TEXANA 2014 7253 INFANTIL</t>
  </si>
  <si>
    <t>BT7253</t>
  </si>
  <si>
    <t>888000030</t>
  </si>
  <si>
    <t>BOTA TEXANA 2014 7253 INFANTIL - 26</t>
  </si>
  <si>
    <t>BT7253-01</t>
  </si>
  <si>
    <t>888069943</t>
  </si>
  <si>
    <t>BOTA TEXANA 2014 7253 INFANTIL - 28</t>
  </si>
  <si>
    <t>BT7253-2</t>
  </si>
  <si>
    <t>888069946</t>
  </si>
  <si>
    <t>BOTA TEXANA 2014 7253 INFANTIL - 29</t>
  </si>
  <si>
    <t>BT7253-3</t>
  </si>
  <si>
    <t>888069949</t>
  </si>
  <si>
    <t>BOTA TEXANA 2014 7253 INFANTIL - 30</t>
  </si>
  <si>
    <t>BT7253-4</t>
  </si>
  <si>
    <t>888001093</t>
  </si>
  <si>
    <t>BOTA TEXANA 2014 ADULTO 7253</t>
  </si>
  <si>
    <t>BOTATEX20147253</t>
  </si>
  <si>
    <t>888001244</t>
  </si>
  <si>
    <t>BOTA TEXANA 2014 ADULTO 7253 - 33</t>
  </si>
  <si>
    <t>BOTATEX20147253-33</t>
  </si>
  <si>
    <t>888001241</t>
  </si>
  <si>
    <t>BOTA TEXANA 2014 ADULTO 7253 - 34</t>
  </si>
  <si>
    <t>BOTATEX20147253-34</t>
  </si>
  <si>
    <t>888001247</t>
  </si>
  <si>
    <t>BOTA TEXANA 2014 ADULTO 7253 - 35</t>
  </si>
  <si>
    <t>BOTATEX20147253-35</t>
  </si>
  <si>
    <t>888001250</t>
  </si>
  <si>
    <t>BOTA TEXANA 2014 ADULTO 7253 - 38</t>
  </si>
  <si>
    <t>BOTATEX20147253-38</t>
  </si>
  <si>
    <t>888068993</t>
  </si>
  <si>
    <t>BOTA TEXANA 2014 APARECIDA SELA INFANTIL</t>
  </si>
  <si>
    <t>BT2014APARECIDA</t>
  </si>
  <si>
    <t>888000122</t>
  </si>
  <si>
    <t>BOTA TEXANA 2014 APARECIDA SELA INFANTIL - 28</t>
  </si>
  <si>
    <t>BT2014APARECIDA-1</t>
  </si>
  <si>
    <t>888069215</t>
  </si>
  <si>
    <t>BOTA TEXANA 2014 APARECIDA SELA INFANTIL - 30</t>
  </si>
  <si>
    <t>BT2014APARECIDA-2</t>
  </si>
  <si>
    <t>888069218</t>
  </si>
  <si>
    <t>BOTA TEXANA 2014 APARECIDA SELA INFANTIL - 34</t>
  </si>
  <si>
    <t>BT2014APARECIDA-3</t>
  </si>
  <si>
    <t>888069221</t>
  </si>
  <si>
    <t>BOTA TEXANA 2014 APARECIDA SELA INFANTIL - 35</t>
  </si>
  <si>
    <t>BT2014APARECIDA-4</t>
  </si>
  <si>
    <t>888069224</t>
  </si>
  <si>
    <t>BOTA TEXANA 2014 APARECIDA SELA INFANTIL - 36</t>
  </si>
  <si>
    <t>BT2014APARECIDA-5</t>
  </si>
  <si>
    <t>888071327</t>
  </si>
  <si>
    <t>BOTA TEXANA 2014 MUSTANG PRETA INFANTIL</t>
  </si>
  <si>
    <t>BTMUSTANG</t>
  </si>
  <si>
    <t>887999789</t>
  </si>
  <si>
    <t>BOTA TEXANA 2014 MUSTANG PRETA INFANTIL - 31</t>
  </si>
  <si>
    <t>BTMUSTANG-1</t>
  </si>
  <si>
    <t>888071648</t>
  </si>
  <si>
    <t>BOTA TEXANA 2014 MUSTANG PRETA INFANTIL - 32</t>
  </si>
  <si>
    <t>BTMUSTANG-2</t>
  </si>
  <si>
    <t>888071651</t>
  </si>
  <si>
    <t>BOTA TEXANA 2014 MUSTANG PRETA INFANTIL - 33</t>
  </si>
  <si>
    <t>BTMUSTANG-3</t>
  </si>
  <si>
    <t>888071654</t>
  </si>
  <si>
    <t>BOTA TEXANA 2014 MUSTANG PRETA INFANTIL - 34</t>
  </si>
  <si>
    <t>BTMUSTANG-4</t>
  </si>
  <si>
    <t>888071657</t>
  </si>
  <si>
    <t>BOTA TEXANA 2014 MUSTANG PRETA INFANTIL - 35</t>
  </si>
  <si>
    <t>BTMUSTANG-5</t>
  </si>
  <si>
    <t>888072627</t>
  </si>
  <si>
    <t>BOTA TEXANA ADULTO 2008 ANACONDA</t>
  </si>
  <si>
    <t>BTANACONDAADULTO</t>
  </si>
  <si>
    <t>887999586</t>
  </si>
  <si>
    <t>BOTA TEXANA ADULTO 2008 ANACONDA - 40</t>
  </si>
  <si>
    <t>BTANACONDAADULTO-1</t>
  </si>
  <si>
    <t>888072842</t>
  </si>
  <si>
    <t>BOTA TEXANA ADULTO 2008 ANACONDA - 43</t>
  </si>
  <si>
    <t>BTANACONDAADULTO-2</t>
  </si>
  <si>
    <t>888072904</t>
  </si>
  <si>
    <t>BOTA TEXANA ADULTO 2014 CAFE/TOSTADO 7251</t>
  </si>
  <si>
    <t>BT7521</t>
  </si>
  <si>
    <t>887999536</t>
  </si>
  <si>
    <t>BOTA TEXANA ADULTO 2014 CAFE/TOSTADO 7251 - 33</t>
  </si>
  <si>
    <t>BT7251-1</t>
  </si>
  <si>
    <t>888073049</t>
  </si>
  <si>
    <t>BOTA TEXANA ADULTO 2014 CAFE/TOSTADO 7251 - 34</t>
  </si>
  <si>
    <t>BT7521-2</t>
  </si>
  <si>
    <t>888073052</t>
  </si>
  <si>
    <t>BOTA TEXANA ADULTO 2014 CAFE/TOSTADO 7251 - 35</t>
  </si>
  <si>
    <t>BT7521-3</t>
  </si>
  <si>
    <t>888073055</t>
  </si>
  <si>
    <t>BOTA TEXANA ADULTO 2014 CAFE/TOSTADO 7251 - 36</t>
  </si>
  <si>
    <t>BT7521-4</t>
  </si>
  <si>
    <t>888165923</t>
  </si>
  <si>
    <t>BOTA TEXANA FEMININA- REF: 1483 - 754</t>
  </si>
  <si>
    <t>BTMONTANAFEM1483</t>
  </si>
  <si>
    <t>888165157</t>
  </si>
  <si>
    <t>BOTA TEXANA FEMININA- REF: 1483 - 754 - 34</t>
  </si>
  <si>
    <t>BTMONTANAFEM</t>
  </si>
  <si>
    <t>888165656</t>
  </si>
  <si>
    <t>BOTA TEXANA FEMININA- REF: 1483 - 754 - 35</t>
  </si>
  <si>
    <t>BTMONTANAFEM1483-2</t>
  </si>
  <si>
    <t>888072005</t>
  </si>
  <si>
    <t>Bota Texana Masculina Infantil Modelo Anaconda - Ref 2008</t>
  </si>
  <si>
    <t>BTANACONDAINFANTIL</t>
  </si>
  <si>
    <t>813316201</t>
  </si>
  <si>
    <t>Bota Texana Masculina Infantil Modelo Anaconda - Ref 2008 - 25</t>
  </si>
  <si>
    <t>BTANACONDAINFANTIL-1</t>
  </si>
  <si>
    <t>888072369</t>
  </si>
  <si>
    <t>Bota Texana Masculina Infantil Modelo Anaconda - Ref 2008 - 26</t>
  </si>
  <si>
    <t>BTANACONDAINFANTIL-2</t>
  </si>
  <si>
    <t>888072373</t>
  </si>
  <si>
    <t>Bota Texana Masculina Infantil Modelo Anaconda - Ref 2008 - 27</t>
  </si>
  <si>
    <t>BTANACONDAINFANTIL-3</t>
  </si>
  <si>
    <t>888072376</t>
  </si>
  <si>
    <t>Bota Texana Masculina Infantil Modelo Anaconda - Ref 2008 - 28</t>
  </si>
  <si>
    <t>BTANACONDAINFANTIL-4</t>
  </si>
  <si>
    <t>888072379</t>
  </si>
  <si>
    <t>Bota Texana Masculina Infantil Modelo Anaconda - Ref 2008 - 30</t>
  </si>
  <si>
    <t>BTANACONDAINFANTIL-5</t>
  </si>
  <si>
    <t>804698958</t>
  </si>
  <si>
    <t>BOTIJAO COFFEE BREAK 6,0L AZUL (1)</t>
  </si>
  <si>
    <t>804698961</t>
  </si>
  <si>
    <t>BOTIJAO COFFEE BREAK 9,0L LARANJA (1)</t>
  </si>
  <si>
    <t>803726656</t>
  </si>
  <si>
    <t>Botina Campeira</t>
  </si>
  <si>
    <t>804302986</t>
  </si>
  <si>
    <t>BOTINA CAT CAFÉ</t>
  </si>
  <si>
    <t>804302926</t>
  </si>
  <si>
    <t>BOTINA CAT PRETA</t>
  </si>
  <si>
    <t>803403660</t>
  </si>
  <si>
    <t>BOTINA INFANTIL CARAMELO - JOHN DEERE/FLORÃO/LISA</t>
  </si>
  <si>
    <t>804303141</t>
  </si>
  <si>
    <t>BOTINA NEW HOLLAND CAFÉ</t>
  </si>
  <si>
    <t>804303224</t>
  </si>
  <si>
    <t>BOTINA NEW HOLLAND CARAMELO</t>
  </si>
  <si>
    <t>804303297</t>
  </si>
  <si>
    <t>BOTINA NEW HOLLAND PRETA</t>
  </si>
  <si>
    <t>888165165</t>
  </si>
  <si>
    <t>BOTINA TEXANA BICO QUADRADOREF 1427 B  754</t>
  </si>
  <si>
    <t>BTMONTANAMASC</t>
  </si>
  <si>
    <t>887884223</t>
  </si>
  <si>
    <t>BOTINA TEXANA BICO QUADRADOREF 1427 B  754 - 42</t>
  </si>
  <si>
    <t>888165708</t>
  </si>
  <si>
    <t>BOTINA TEXANA BICO QUADRADOREF 1427 B  754 - 43</t>
  </si>
  <si>
    <t>BTMONTANAMASC-2</t>
  </si>
  <si>
    <t>803726659</t>
  </si>
  <si>
    <t>Botina Tradicional em Couro B20</t>
  </si>
  <si>
    <t>807046404</t>
  </si>
  <si>
    <t>BRIDAO DE ACO INOX J.C LEVE</t>
  </si>
  <si>
    <t>807046401</t>
  </si>
  <si>
    <t>BRIDAO DE ACO INOX MODELO "D" C/BOCAL FERRO C/COBRE</t>
  </si>
  <si>
    <t>887884214</t>
  </si>
  <si>
    <t>CAIVETE INOX BOLSO - REF: M 06 - 465</t>
  </si>
  <si>
    <t>799590492</t>
  </si>
  <si>
    <t>CAIXA SELECOES</t>
  </si>
  <si>
    <t>811606613</t>
  </si>
  <si>
    <t>CALCA BORDADA INFANTIL TEXANUS</t>
  </si>
  <si>
    <t>811606606</t>
  </si>
  <si>
    <t>CALCA CARPINTEIRA COUNTRY TEXANUS</t>
  </si>
  <si>
    <t>811606609</t>
  </si>
  <si>
    <t>CALCA CARPINTEIRA INFANTIL COUNTRY TEXANUS</t>
  </si>
  <si>
    <t>812899459</t>
  </si>
  <si>
    <t>CALCA CARPINTEIRA MASCULINO</t>
  </si>
  <si>
    <t>MRCM</t>
  </si>
  <si>
    <t>812899453</t>
  </si>
  <si>
    <t>CALCA FEMININA FLARE</t>
  </si>
  <si>
    <t>MRFF</t>
  </si>
  <si>
    <t>812899446</t>
  </si>
  <si>
    <t>CALCA FEMININA TRADICONAL</t>
  </si>
  <si>
    <t>MRTF</t>
  </si>
  <si>
    <t>812899443</t>
  </si>
  <si>
    <t>CALCA INFANTIL CARPINTEIRA UNISEX</t>
  </si>
  <si>
    <t>MRCI</t>
  </si>
  <si>
    <t>812899440</t>
  </si>
  <si>
    <t>CALCA INFANTIL TRADICIONAL UNISEX</t>
  </si>
  <si>
    <t>MRTI</t>
  </si>
  <si>
    <t>812899456</t>
  </si>
  <si>
    <t>CALCA MASCULINO TRADICIONAL</t>
  </si>
  <si>
    <t>MRTM</t>
  </si>
  <si>
    <t>888006210</t>
  </si>
  <si>
    <t xml:space="preserve">CALCA MONTARIA NASHVILLE </t>
  </si>
  <si>
    <t>CALCANASHVILLE</t>
  </si>
  <si>
    <t>798174891</t>
  </si>
  <si>
    <t>CALCA MONTARIA NASHVILLE  - G</t>
  </si>
  <si>
    <t>CALCANASHVILLE-G</t>
  </si>
  <si>
    <t>798174898</t>
  </si>
  <si>
    <t>CALCA MONTARIA NASHVILLE  - G1</t>
  </si>
  <si>
    <t>CALCANASHVILLE-G1</t>
  </si>
  <si>
    <t>798174894</t>
  </si>
  <si>
    <t>CALCA MONTARIA NASHVILLE  - GG</t>
  </si>
  <si>
    <t>CALCANASHVILLE-GG</t>
  </si>
  <si>
    <t>798174888</t>
  </si>
  <si>
    <t>CALCA MONTARIA NASHVILLE  - M</t>
  </si>
  <si>
    <t>CALCANASHVILLE-M</t>
  </si>
  <si>
    <t>798174883</t>
  </si>
  <si>
    <t>CALCA MONTARIA NASHVILLE  - P</t>
  </si>
  <si>
    <t>CALCANASHVILLE-P</t>
  </si>
  <si>
    <t>811606617</t>
  </si>
  <si>
    <t>CALCA PEDRARIA INFANTIL TEXANUS</t>
  </si>
  <si>
    <t>811859193</t>
  </si>
  <si>
    <t>CALCA TRADICIONAL COUNTRY MASCULINA</t>
  </si>
  <si>
    <t>811606622</t>
  </si>
  <si>
    <t>CALCA TRADICIONAL INFANTIL TEXANUS</t>
  </si>
  <si>
    <t>799610257</t>
  </si>
  <si>
    <t>Calcado de Couro Diversos</t>
  </si>
  <si>
    <t>799610249</t>
  </si>
  <si>
    <t>Calcado Sintetico Diversos</t>
  </si>
  <si>
    <t>812899462</t>
  </si>
  <si>
    <t>CALCAS FEMININA BORDADA</t>
  </si>
  <si>
    <t>MRBF</t>
  </si>
  <si>
    <t>796092489</t>
  </si>
  <si>
    <t>Calcinha Made in Mato Boyshort  Mescla Tamanho:M</t>
  </si>
  <si>
    <t>796092500</t>
  </si>
  <si>
    <t>Calcinha Made in Mato Boyshort  Preta Tamanho:M</t>
  </si>
  <si>
    <t>817209568</t>
  </si>
  <si>
    <t>CAMISA FEMININA 2K JEANS</t>
  </si>
  <si>
    <t>CAMF2K</t>
  </si>
  <si>
    <t>817209267</t>
  </si>
  <si>
    <t>CAMISA INFANTIL 2K JEANS</t>
  </si>
  <si>
    <t>CAMINF2K</t>
  </si>
  <si>
    <t>890533244</t>
  </si>
  <si>
    <t>CAMISA JOPPER BULLS - MULA ROSA</t>
  </si>
  <si>
    <t>817209437</t>
  </si>
  <si>
    <t>CAMISA MANGA LONGA 2K JEANS</t>
  </si>
  <si>
    <t>CAMMLM2K</t>
  </si>
  <si>
    <t>888495851</t>
  </si>
  <si>
    <t>CAMISA POLO BABY TORDILHO NEGRO - AZUL</t>
  </si>
  <si>
    <t>TNBabyAzul</t>
  </si>
  <si>
    <t>888495872</t>
  </si>
  <si>
    <t>CAMISA POLO BABY TORDILHO NEGRO - AZUL - 2</t>
  </si>
  <si>
    <t>TNBabyAzul2</t>
  </si>
  <si>
    <t>888495869</t>
  </si>
  <si>
    <t>CAMISA POLO BABY TORDILHO NEGRO - AZUL - G</t>
  </si>
  <si>
    <t>TNBabyAzul1</t>
  </si>
  <si>
    <t>888167384</t>
  </si>
  <si>
    <t>CAMISA POLO BABY TORDILHO NEGRO - VERDE</t>
  </si>
  <si>
    <t>TNBabyVerde</t>
  </si>
  <si>
    <t>888495642</t>
  </si>
  <si>
    <t>CAMISA POLO BABY TORDILHO NEGRO - VERDE - 2</t>
  </si>
  <si>
    <t>TNBabyVerde2</t>
  </si>
  <si>
    <t>BLUSA</t>
  </si>
  <si>
    <t>888495638</t>
  </si>
  <si>
    <t>CAMISA POLO BABY TORDILHO NEGRO - VERDE - G</t>
  </si>
  <si>
    <t>TNBabyVerde1</t>
  </si>
  <si>
    <t>888495763</t>
  </si>
  <si>
    <t>CAMISA POLO BABY TORDILHO NEGRO - VERMELHA</t>
  </si>
  <si>
    <t>TNBabyVerm</t>
  </si>
  <si>
    <t>888495791</t>
  </si>
  <si>
    <t>CAMISA POLO BABY TORDILHO NEGRO - VERMELHA - 2</t>
  </si>
  <si>
    <t>TNBabyVerm2</t>
  </si>
  <si>
    <t>COLETE 2K JEANS</t>
  </si>
  <si>
    <t>CORTA VENTO</t>
  </si>
  <si>
    <t>888495788</t>
  </si>
  <si>
    <t>CAMISA POLO BABY TORDILHO NEGRO - VERMELHA - G</t>
  </si>
  <si>
    <t>TNBabyVerm1</t>
  </si>
  <si>
    <t>JAQUETA AVIADOR 2K JEANS</t>
  </si>
  <si>
    <t>CC Itaú</t>
  </si>
  <si>
    <t>MOLETOM BLACK SKULL - G</t>
  </si>
  <si>
    <t>888496095</t>
  </si>
  <si>
    <t>CAMISA POLO FEMININA TORDILHO NEGRO - AZUL</t>
  </si>
  <si>
    <t>MOLETOM ADULTO BEM CAMPEIRO</t>
  </si>
  <si>
    <t>TNFemAzul</t>
  </si>
  <si>
    <t>MOLETOM OLD WEST - G</t>
  </si>
  <si>
    <t>MOLETOM PINK COWGIRL  - G</t>
  </si>
  <si>
    <t>888496109</t>
  </si>
  <si>
    <t>CAMISA POLO FEMININA TORDILHO NEGRO - AZUL - G</t>
  </si>
  <si>
    <t>TNFemAzul3</t>
  </si>
  <si>
    <t>MOLETON INFANTIL BEM CAMPEIRO</t>
  </si>
  <si>
    <t>PURA RACA JAQUETA FEM COORDENADO</t>
  </si>
  <si>
    <t>888496100</t>
  </si>
  <si>
    <t>CAMISA POLO FEMININA TORDILHO NEGRO - AZUL - GG</t>
  </si>
  <si>
    <t>PURA RACA JAQUETA MASC COORDENADO</t>
  </si>
  <si>
    <t>TNFemAzul4</t>
  </si>
  <si>
    <t/>
  </si>
  <si>
    <t>CALÇA</t>
  </si>
  <si>
    <t>CALÇA INFANTIL BORDADA</t>
  </si>
  <si>
    <t>888496106</t>
  </si>
  <si>
    <t>CAMISA POLO FEMININA TORDILHO NEGRO - AZUL - M</t>
  </si>
  <si>
    <t>TNFemAzul2</t>
  </si>
  <si>
    <t>CALÇA INFANTIL COM BRILHO</t>
  </si>
  <si>
    <t>CALÇA INFANTIL TRADICIONAL</t>
  </si>
  <si>
    <t>CALÇA INFANTIL CARPINTEIRA</t>
  </si>
  <si>
    <t>888496103</t>
  </si>
  <si>
    <t>CAMISA POLO FEMININA TORDILHO NEGRO - AZUL - P</t>
  </si>
  <si>
    <t>TNFemAzul1</t>
  </si>
  <si>
    <t>CALÇA FEMININA TRADICIONAL</t>
  </si>
  <si>
    <t>CALÇA FEMININA CARPINTEIRA</t>
  </si>
  <si>
    <t>CALÇA FEMININA COM BRILHO</t>
  </si>
  <si>
    <t>888167040</t>
  </si>
  <si>
    <t>CAMISA POLO FEMININA TORDILHO NEGRO - BRANCA</t>
  </si>
  <si>
    <t>TNFemBranca</t>
  </si>
  <si>
    <t>CALÇA FEMININA BORDADA</t>
  </si>
  <si>
    <t>888496008</t>
  </si>
  <si>
    <t>CAMISA POLO FEMININA TORDILHO NEGRO - BRANCA - G</t>
  </si>
  <si>
    <t>TNFemBranca3</t>
  </si>
  <si>
    <t>CALÇA MASCULINA TRADICIONAL</t>
  </si>
  <si>
    <t>CALÇA MASCULINA CARPINTEIRA</t>
  </si>
  <si>
    <t>CAMPEIRA C ELASTANO - 34</t>
  </si>
  <si>
    <t>888495997</t>
  </si>
  <si>
    <t>CAMISA POLO FEMININA TORDILHO NEGRO - BRANCA - GG</t>
  </si>
  <si>
    <t>TNFemBranca4</t>
  </si>
  <si>
    <t>CRIOULISTA ALG. RUST - 34</t>
  </si>
  <si>
    <t>CRIOULISTA ALG. RUST - 36</t>
  </si>
  <si>
    <t>BOMBACHA INFANTIL</t>
  </si>
  <si>
    <t>888496005</t>
  </si>
  <si>
    <t>CAMISA POLO FEMININA TORDILHO NEGRO - BRANCA - M</t>
  </si>
  <si>
    <t>TNFemBranca2</t>
  </si>
  <si>
    <t xml:space="preserve">SARJA LISA </t>
  </si>
  <si>
    <t>CALÇADO</t>
  </si>
  <si>
    <t>0015 - FOLHA SECA - FLORAL E NOBUK CAFÉ</t>
  </si>
  <si>
    <t>888496001</t>
  </si>
  <si>
    <t>CAMISA POLO FEMININA TORDILHO NEGRO - BRANCA - P</t>
  </si>
  <si>
    <t>TNFemBranca1</t>
  </si>
  <si>
    <t>888496017</t>
  </si>
  <si>
    <t>CAMISA POLO FEMININA TORDILHO NEGRO - PRETA</t>
  </si>
  <si>
    <t>TNFemPreta</t>
  </si>
  <si>
    <t>1000  FLOOTER PRETO - 1100 NOBUK FENDI FLORES DO CAMPO</t>
  </si>
  <si>
    <t>1000  MADEIRA SECA  CRAZY E 1002 CASCA DE ARVORE</t>
  </si>
  <si>
    <t>888496031</t>
  </si>
  <si>
    <t>CAMISA POLO FEMININA TORDILHO NEGRO - PRETA - G</t>
  </si>
  <si>
    <t>TNFemPreta3</t>
  </si>
  <si>
    <t>BOTA CAMPEIRA</t>
  </si>
  <si>
    <t>BOTINA INFANTIL</t>
  </si>
  <si>
    <t>BOTA TEXANA BEBE</t>
  </si>
  <si>
    <t>BOTA TEXANA INFANTIL</t>
  </si>
  <si>
    <t>BOTA TEXANA ADULTO</t>
  </si>
  <si>
    <t>BOTINA CAMPEIRA LISA E TRADICIONAL</t>
  </si>
  <si>
    <t>BOTINA CAT E NEW HOLLAND</t>
  </si>
  <si>
    <t>CALÇADO SINTETICO - MOCASSIM</t>
  </si>
  <si>
    <t>CHINELO CAMPEIRO TORDILHO NEGRO</t>
  </si>
  <si>
    <t>888496022</t>
  </si>
  <si>
    <t>CAMISA POLO FEMININA TORDILHO NEGRO - PRETA - GG</t>
  </si>
  <si>
    <t>TNFemPreta4</t>
  </si>
  <si>
    <t>CAMISA</t>
  </si>
  <si>
    <t>CAMISA ADULTO MANGA LONGA 2K JEANS</t>
  </si>
  <si>
    <t>888496028</t>
  </si>
  <si>
    <t>CAMISA POLO FEMININA TORDILHO NEGRO - PRETA - M</t>
  </si>
  <si>
    <t>TNFemPreta2</t>
  </si>
  <si>
    <t>CAMISA POLO INFANTIL TORDILHO NEGRO</t>
  </si>
  <si>
    <t>888496025</t>
  </si>
  <si>
    <t>CAMISA POLO ADULTO TORDILHO NEGRO</t>
  </si>
  <si>
    <t>CAMISA POLO FEMININA TORDILHO NEGRO - PRETA - P</t>
  </si>
  <si>
    <t>TNFemPreta1</t>
  </si>
  <si>
    <t>POLO FEMININA MADE IN MATO</t>
  </si>
  <si>
    <t>888496040</t>
  </si>
  <si>
    <t>CAMISA POLO FEMININA TORDILHO NEGRO - VERDE</t>
  </si>
  <si>
    <t>TNFemVerde</t>
  </si>
  <si>
    <t>POLO MASCULINA MADE IN MATO</t>
  </si>
  <si>
    <t>PURA RACA CAMISA MASC MANGA CURTA</t>
  </si>
  <si>
    <t>888496054</t>
  </si>
  <si>
    <t>CAMISA POLO FEMININA TORDILHO NEGRO - VERDE - G</t>
  </si>
  <si>
    <t>TNFemVerde3</t>
  </si>
  <si>
    <t>CAMISETA</t>
  </si>
  <si>
    <t>CAMISETA TEXAS FARM</t>
  </si>
  <si>
    <t>888496045</t>
  </si>
  <si>
    <t>CAMISA POLO FEMININA TORDILHO NEGRO - VERDE - GG</t>
  </si>
  <si>
    <t>TNFemVerde4</t>
  </si>
  <si>
    <t xml:space="preserve">BLUSA COWGIRL BOOTS </t>
  </si>
  <si>
    <t xml:space="preserve">BLUSA SADDLE UP COWBOY </t>
  </si>
  <si>
    <t>888496051</t>
  </si>
  <si>
    <t>CAMISA POLO FEMININA TORDILHO NEGRO - VERDE - M</t>
  </si>
  <si>
    <t>TNFemVerde2</t>
  </si>
  <si>
    <t xml:space="preserve">BLUSA TAMBORZEIRA </t>
  </si>
  <si>
    <t>BODY CIRE SEM MANGA TEXAS FARM</t>
  </si>
  <si>
    <t>888496048</t>
  </si>
  <si>
    <t>CAMISA POLO FEMININA TORDILHO NEGRO - VERDE - P</t>
  </si>
  <si>
    <t>TNFemVerde1</t>
  </si>
  <si>
    <t>CAMISETA AGRO COM PROTEÇÃO UV TRATOR RODEIO MADE IN ROÇA</t>
  </si>
  <si>
    <t>CAMISETA BABY LOOK BEM CAMPEIRO</t>
  </si>
  <si>
    <t>CAMISETA BASIC MADE IN MATO</t>
  </si>
  <si>
    <t>888496058</t>
  </si>
  <si>
    <t>CAMISA POLO FEMININA TORDILHO NEGRO - VERMELHA</t>
  </si>
  <si>
    <t>TNFemVerm</t>
  </si>
  <si>
    <t>CAMISETA ESTAMPADA MADE IN MATO</t>
  </si>
  <si>
    <t>CAMISETA INFANTIL</t>
  </si>
  <si>
    <t>888496072</t>
  </si>
  <si>
    <t>CAMISA POLO FEMININA TORDILHO NEGRO - VERMELHA - G</t>
  </si>
  <si>
    <t>TNFemVerm3</t>
  </si>
  <si>
    <t>CAMISETA ADULTO BEM CAMPEIRO</t>
  </si>
  <si>
    <t>CAMISETA MASCULINA MODA COUNTRY ESTILO TEXAS AGRO WILD BUSS</t>
  </si>
  <si>
    <t>888496063</t>
  </si>
  <si>
    <t xml:space="preserve">CAMISETA SACUDIDOS </t>
  </si>
  <si>
    <t>CAMISA POLO FEMININA TORDILHO NEGRO - VERMELHA - GG</t>
  </si>
  <si>
    <t>TNFemVerm4</t>
  </si>
  <si>
    <t>CAMISETA UV50 INFANTIL</t>
  </si>
  <si>
    <t>CAMISETA PURA RAÇA</t>
  </si>
  <si>
    <t>888496069</t>
  </si>
  <si>
    <t>CAMISA POLO FEMININA TORDILHO NEGRO - VERMELHA - M</t>
  </si>
  <si>
    <t>TNFemVerm2</t>
  </si>
  <si>
    <t>CHAPÉU</t>
  </si>
  <si>
    <t>CHAPEU BAO NU MUNDO - WILD WEST  - PALHA</t>
  </si>
  <si>
    <t>888496066</t>
  </si>
  <si>
    <t>CAMISA POLO FEMININA TORDILHO NEGRO - VERMELHA - P</t>
  </si>
  <si>
    <t>TNFemVerm1</t>
  </si>
  <si>
    <t>CHAPEU DE COURO</t>
  </si>
  <si>
    <t>888495924</t>
  </si>
  <si>
    <t>CAMISA POLO INFANTIL TORDILHO NEGRO - AZUL</t>
  </si>
  <si>
    <t>TNInfAzul</t>
  </si>
  <si>
    <t>CHIMARRAO</t>
  </si>
  <si>
    <t xml:space="preserve">CUIA BICOLOR </t>
  </si>
  <si>
    <t>CUIA C/ BOMBA TORDILHO NEGRO</t>
  </si>
  <si>
    <t>888495939</t>
  </si>
  <si>
    <t>CAMISA POLO INFANTIL TORDILHO NEGRO - AZUL - 4</t>
  </si>
  <si>
    <t>TNInfAzul1</t>
  </si>
  <si>
    <t>CUIA TERMICA 236ML PRETA (12)</t>
  </si>
  <si>
    <t>MATEIRA POPULAR 1 LITRO - ESTAMPADA</t>
  </si>
  <si>
    <t>888495942</t>
  </si>
  <si>
    <t>CAMISA POLO INFANTIL TORDILHO NEGRO - AZUL - 6</t>
  </si>
  <si>
    <t>MATEIRA RECOURO 1L</t>
  </si>
  <si>
    <t>TNInfAzul2</t>
  </si>
  <si>
    <t>MATEIRA TORDILHO NEGRO</t>
  </si>
  <si>
    <t>888495936</t>
  </si>
  <si>
    <t>CAMISA POLO INFANTIL TORDILHO NEGRO - AZUL - 8</t>
  </si>
  <si>
    <t>TNInfAzul3</t>
  </si>
  <si>
    <t>MATTE MOR/SUPORT MULT</t>
  </si>
  <si>
    <t>888168258</t>
  </si>
  <si>
    <t>CAMISA POLO INFANTIL TORDILHO NEGRO - VERDE</t>
  </si>
  <si>
    <t>TNInfVerde</t>
  </si>
  <si>
    <t>CUTELARIA</t>
  </si>
  <si>
    <t>CANIVETE INOX C TRAVA CACADOR PEQ REF: M 05 - 627</t>
  </si>
  <si>
    <t>CANIVETE INOX TRADICIONAL BOLSO- REF : M 07 - 474</t>
  </si>
  <si>
    <t>888495903</t>
  </si>
  <si>
    <t>CAMISA POLO INFANTIL TORDILHO NEGRO - VERDE - 4</t>
  </si>
  <si>
    <t>TNInfVerde1</t>
  </si>
  <si>
    <t>CANIVETE INOX TRAVA ABRIDOR GARRAFA - M 01- 622</t>
  </si>
  <si>
    <t>FACA MATERA PERSON. C B</t>
  </si>
  <si>
    <t>888495906</t>
  </si>
  <si>
    <t>CAMISA POLO INFANTIL TORDILHO NEGRO - VERDE - 6</t>
  </si>
  <si>
    <t>TNInfVerde2</t>
  </si>
  <si>
    <t>TERERE</t>
  </si>
  <si>
    <t>ERVA MATE BLACK - BURRITO</t>
  </si>
  <si>
    <t>888495900</t>
  </si>
  <si>
    <t>CAMISA POLO INFANTIL TORDILHO NEGRO - VERDE - 8</t>
  </si>
  <si>
    <t>TNInfVerde3</t>
  </si>
  <si>
    <t>ERVA MATE PREDILETA BURRITO 500G</t>
  </si>
  <si>
    <t>TERERE TAQUARAL 500 G - LIMAO</t>
  </si>
  <si>
    <t>888495952</t>
  </si>
  <si>
    <t>CAMISA POLO INFANTIL TORDILHO NEGRO - VERMELHA</t>
  </si>
  <si>
    <t>TNInfVerm</t>
  </si>
  <si>
    <t>ACESSÓRIOS</t>
  </si>
  <si>
    <t>888495967</t>
  </si>
  <si>
    <t>CAMISA POLO INFANTIL TORDILHO NEGRO - VERMELHA - 4</t>
  </si>
  <si>
    <t>TNInfVerm1</t>
  </si>
  <si>
    <t>CAPANGA SACUDIDOS</t>
  </si>
  <si>
    <t>CARTEIRA EM COURO SACUDIDOS - 329-1-LATEGO WHISKY</t>
  </si>
  <si>
    <t>888495970</t>
  </si>
  <si>
    <t>CAMISA POLO INFANTIL TORDILHO NEGRO - VERMELHA - 6</t>
  </si>
  <si>
    <t>TNInfVerm2</t>
  </si>
  <si>
    <t>CARTEIRA-503</t>
  </si>
  <si>
    <t>PINGADEIRA P/ GARRAFA BLACK ERVA</t>
  </si>
  <si>
    <t>PORTA CELULAR 003</t>
  </si>
  <si>
    <t>888495964</t>
  </si>
  <si>
    <t>CAMISA POLO INFANTIL TORDILHO NEGRO - VERMELHA - 8</t>
  </si>
  <si>
    <t>TNInfVerm3</t>
  </si>
  <si>
    <t>PORTA COPO PARA CARRO</t>
  </si>
  <si>
    <t>PORTA COPO PARA GARRAFA INOX</t>
  </si>
  <si>
    <t>RELHO MANGO CAVALO RABO DE TATU COURO TRANÇADO</t>
  </si>
  <si>
    <t>888496207</t>
  </si>
  <si>
    <t>CAMISA POLO MASCULINA TORDILHO NEGRO - AZUL</t>
  </si>
  <si>
    <t>TNMascAzul</t>
  </si>
  <si>
    <t>ARREIO</t>
  </si>
  <si>
    <t>888496221</t>
  </si>
  <si>
    <t>CAMISA POLO MASCULINA TORDILHO NEGRO - AZUL - G</t>
  </si>
  <si>
    <t>TNMascAzul3</t>
  </si>
  <si>
    <t>BONÉ</t>
  </si>
  <si>
    <t>BONÉ 2K JEANS</t>
  </si>
  <si>
    <t>BONE CHAPEU E TERCO SCAP</t>
  </si>
  <si>
    <t>888496212</t>
  </si>
  <si>
    <t>CAMISA POLO MASCULINA TORDILHO NEGRO - AZUL - GG</t>
  </si>
  <si>
    <t>BONE MADE IN MATO TRUCKER LOGO WHITE</t>
  </si>
  <si>
    <t>TNMascAzul4</t>
  </si>
  <si>
    <t>BONÉ MEDALHA SÃO BENTO FECHADO - MARRON</t>
  </si>
  <si>
    <t>BONE SACUDIDOS - APARECIDA - MARINHO</t>
  </si>
  <si>
    <t>888496218</t>
  </si>
  <si>
    <t>CAMISA POLO MASCULINA TORDILHO NEGRO - AZUL - M</t>
  </si>
  <si>
    <t>TNMascAzul2</t>
  </si>
  <si>
    <t>PURA RACA BONE MASC COUNTRY STYLE</t>
  </si>
  <si>
    <t>888496215</t>
  </si>
  <si>
    <t>CAMISA POLO MASCULINA TORDILHO NEGRO - AZUL - P</t>
  </si>
  <si>
    <t>TNMascAzul1</t>
  </si>
  <si>
    <t>888166812</t>
  </si>
  <si>
    <t>CAMISA POLO MASCULINA TORDILHO NEGRO - BRANCA</t>
  </si>
  <si>
    <t>TNmascBranca</t>
  </si>
  <si>
    <t>888496174</t>
  </si>
  <si>
    <t>CAMISA POLO MASCULINA TORDILHO NEGRO - BRANCA - G</t>
  </si>
  <si>
    <t>TNmascBranca3</t>
  </si>
  <si>
    <t>888496165</t>
  </si>
  <si>
    <t>CAMISA POLO MASCULINA TORDILHO NEGRO - BRANCA - GG</t>
  </si>
  <si>
    <t>TNmascBranca4</t>
  </si>
  <si>
    <t>888496171</t>
  </si>
  <si>
    <t>CAMISA POLO MASCULINA TORDILHO NEGRO - BRANCA - M</t>
  </si>
  <si>
    <t>TNmascBranca2</t>
  </si>
  <si>
    <t>888496168</t>
  </si>
  <si>
    <t>CAMISA POLO MASCULINA TORDILHO NEGRO - BRANCA - P</t>
  </si>
  <si>
    <t>TNmascBranca1</t>
  </si>
  <si>
    <t>888496189</t>
  </si>
  <si>
    <t>CAMISA POLO MASCULINA TORDILHO NEGRO - PRETA</t>
  </si>
  <si>
    <t>TNMascPreta</t>
  </si>
  <si>
    <t>888496203</t>
  </si>
  <si>
    <t>CAMISA POLO MASCULINA TORDILHO NEGRO - PRETA - G</t>
  </si>
  <si>
    <t>TNMascPreta3</t>
  </si>
  <si>
    <t>888496194</t>
  </si>
  <si>
    <t>CAMISA POLO MASCULINA TORDILHO NEGRO - PRETA - GG</t>
  </si>
  <si>
    <t>TNMascPreta4</t>
  </si>
  <si>
    <t>888496200</t>
  </si>
  <si>
    <t>CAMISA POLO MASCULINA TORDILHO NEGRO - PRETA - M</t>
  </si>
  <si>
    <t>TNMascPreta2</t>
  </si>
  <si>
    <t>888496197</t>
  </si>
  <si>
    <t>CAMISA POLO MASCULINA TORDILHO NEGRO - PRETA - P</t>
  </si>
  <si>
    <t>TNMascPreta1</t>
  </si>
  <si>
    <t>888496226</t>
  </si>
  <si>
    <t>CAMISA POLO MASCULINA TORDILHO NEGRO - VERDE</t>
  </si>
  <si>
    <t>TNMascVerde</t>
  </si>
  <si>
    <t>888496240</t>
  </si>
  <si>
    <t>CAMISA POLO MASCULINA TORDILHO NEGRO - VERDE - G</t>
  </si>
  <si>
    <t>TNMascVerde3</t>
  </si>
  <si>
    <t>888496231</t>
  </si>
  <si>
    <t>CAMISA POLO MASCULINA TORDILHO NEGRO - VERDE - GG</t>
  </si>
  <si>
    <t>TNMascVerde4</t>
  </si>
  <si>
    <t>888496237</t>
  </si>
  <si>
    <t>CAMISA POLO MASCULINA TORDILHO NEGRO - VERDE - M</t>
  </si>
  <si>
    <t>TNMascVerde2</t>
  </si>
  <si>
    <t>888496234</t>
  </si>
  <si>
    <t>CAMISA POLO MASCULINA TORDILHO NEGRO - VERDE - P</t>
  </si>
  <si>
    <t>TNMascVerde1</t>
  </si>
  <si>
    <t>888496246</t>
  </si>
  <si>
    <t>CAMISA POLO MASCULINA TORDILHO NEGRO - VERMELHA</t>
  </si>
  <si>
    <t>TNMascVerm</t>
  </si>
  <si>
    <t>888496260</t>
  </si>
  <si>
    <t>CAMISA POLO MASCULINA TORDILHO NEGRO - VERMELHA - G</t>
  </si>
  <si>
    <t>TNMascVerm3</t>
  </si>
  <si>
    <t>888496251</t>
  </si>
  <si>
    <t>CAMISA POLO MASCULINA TORDILHO NEGRO - VERMELHA - GG</t>
  </si>
  <si>
    <t>TNMascVerm4</t>
  </si>
  <si>
    <t>888496257</t>
  </si>
  <si>
    <t>CAMISA POLO MASCULINA TORDILHO NEGRO - VERMELHA - M</t>
  </si>
  <si>
    <t>TNMascVerm2</t>
  </si>
  <si>
    <t>888496254</t>
  </si>
  <si>
    <t>CAMISA POLO MASCULINA TORDILHO NEGRO - VERMELHA - P</t>
  </si>
  <si>
    <t>TNMascVerm1</t>
  </si>
  <si>
    <t>888052116</t>
  </si>
  <si>
    <t>CAMISA TEXANUS - M</t>
  </si>
  <si>
    <t>799693270</t>
  </si>
  <si>
    <t>Camiseta Agro com proteção UV Trator Rodeio Made in Roça</t>
  </si>
  <si>
    <t>811644088</t>
  </si>
  <si>
    <t>CBLBCM</t>
  </si>
  <si>
    <t>796092453</t>
  </si>
  <si>
    <t>Camiseta Basic Marrom 1813 Tamanho:M</t>
  </si>
  <si>
    <t>796092459</t>
  </si>
  <si>
    <t>Camiseta Basic Preto Gola Careca Tamanho:G</t>
  </si>
  <si>
    <t>796092456</t>
  </si>
  <si>
    <t>Camiseta Basic Preto Gola Careca Tamanho:GG</t>
  </si>
  <si>
    <t>796092384</t>
  </si>
  <si>
    <t>Camiseta Basica TC Made In Mato Marinho Gola Careca Tamanho:M</t>
  </si>
  <si>
    <t>796092436</t>
  </si>
  <si>
    <t>Camiseta Estampada Made in Mato Gola Careca Marinho Tamanho:G</t>
  </si>
  <si>
    <t>796092440</t>
  </si>
  <si>
    <t>Camiseta Estampada Made in Mato Gola Careca Marinho Tamanho:M</t>
  </si>
  <si>
    <t>796092525</t>
  </si>
  <si>
    <t>Camiseta Estampada Masculina Azul Marinho Selo Rustico Stone Tamanho:GG</t>
  </si>
  <si>
    <t>796092429</t>
  </si>
  <si>
    <t>Camiseta Estampada Masculina Branca Made TSL Tamanho:GG</t>
  </si>
  <si>
    <t>796092390</t>
  </si>
  <si>
    <t>Camiseta Estampada Masculina Marrom Rustic Print Stone Tamanho:G</t>
  </si>
  <si>
    <t>796092387</t>
  </si>
  <si>
    <t>Camiseta Estampada Masculina Marrom Rustic Print Stone Tamanho:GG</t>
  </si>
  <si>
    <t>796092393</t>
  </si>
  <si>
    <t>Camiseta Estampada Masculina Marrom Rustic Print Stone Tamanho:M</t>
  </si>
  <si>
    <t>796092537</t>
  </si>
  <si>
    <t>Camiseta Estampada Masculina Preta Rustic Print Stone Tamanho:G</t>
  </si>
  <si>
    <t>796092541</t>
  </si>
  <si>
    <t>Camiseta Estampada Masculina Preta Rustic Print Stone Tamanho:GG</t>
  </si>
  <si>
    <t>796092532</t>
  </si>
  <si>
    <t>Camiseta Estampada Masculina Preta Rustic Print Stone Tamanho:M</t>
  </si>
  <si>
    <t>796092529</t>
  </si>
  <si>
    <t>Camiseta Estampada Masculina Preta Selo Rustico Stone Tamanho:M</t>
  </si>
  <si>
    <t>810056782</t>
  </si>
  <si>
    <t>CAMISETA FEMININA TEXAS FARM - CF149 - DO PP AO GG - AZUL MARINHO</t>
  </si>
  <si>
    <t>810056971</t>
  </si>
  <si>
    <t>CAMISETA FEMININA TEXAS FARM - CF155 - DO P AO XG - VERDE AGUA</t>
  </si>
  <si>
    <t>810056855</t>
  </si>
  <si>
    <t>CAMISETA FEMININA TEXAS FARM - CF211 - DO P AO GG - PRETO</t>
  </si>
  <si>
    <t>810056861</t>
  </si>
  <si>
    <t>CAMISETA FEMININA TEXAS FARM - CF216 - DO PP AO GG - AZUL MARINHO</t>
  </si>
  <si>
    <t>810056811</t>
  </si>
  <si>
    <t>CAMISETA FEMININA TEXAS FARM - CF233 - DO PP AO GG - LARANJA QUEIMADO</t>
  </si>
  <si>
    <t>810056874</t>
  </si>
  <si>
    <t>CAMISETA FEMININA TEXAS FARM - CF233 - DO PP AO GG - PRETO</t>
  </si>
  <si>
    <t>810056904</t>
  </si>
  <si>
    <t>CAMISETA FEMININA TEXAS FARM - CF254 - DO P AO GG - VERDE MILITAR</t>
  </si>
  <si>
    <t>811644340</t>
  </si>
  <si>
    <t>CAMISETA INFANTIL BEM CAMPEIRO</t>
  </si>
  <si>
    <t>CIBCM</t>
  </si>
  <si>
    <t>810056800</t>
  </si>
  <si>
    <t>CAMISETA INFANTIL TEXAS FARM - CIF011 - DO 2 AO 8 - ROSA BB</t>
  </si>
  <si>
    <t>810056864</t>
  </si>
  <si>
    <t>CAMISETA INFANTIL TEXAS FARM - CIF013 - DO 2 AO 8 - AZUL MAYA</t>
  </si>
  <si>
    <t>810056882</t>
  </si>
  <si>
    <t>CAMISETA INFANTIL TEXAS FARM - CIF013 - DO 2 AO 8 - PRETO</t>
  </si>
  <si>
    <t>810056807</t>
  </si>
  <si>
    <t>CAMISETA INFANTIL TEXAS FARM - CIM002 - DO 2 AO 8 - PRETO</t>
  </si>
  <si>
    <t>810056867</t>
  </si>
  <si>
    <t>CAMISETA INFANTIL TEXAS FARM - CIM005 - DO 2 AO 8 - AZUL MARINHO</t>
  </si>
  <si>
    <t>810056803</t>
  </si>
  <si>
    <t>CAMISETA INFANTIL TEXAS FARM - CIM008 - DO 2 AO 8 - FERRUGEM</t>
  </si>
  <si>
    <t>810056901</t>
  </si>
  <si>
    <t>CAMISETA JUVENIL TEXAS FARM - CTF008 - DO 10 AO 16 - PRETO</t>
  </si>
  <si>
    <t>810056823</t>
  </si>
  <si>
    <t>CAMISETA JUVENIL TEXAS FARM - CTF009 - DO 10 AO 16 - ROSA PINK</t>
  </si>
  <si>
    <t>810056826</t>
  </si>
  <si>
    <t>CAMISETA JUVENIL TEXAS FARM - CTF009 - DO 10 AO 16 - VERMELHO BORDO</t>
  </si>
  <si>
    <t>810056833</t>
  </si>
  <si>
    <t>CAMISETA JUVENIL TEXAS FARM - CTM001 - DO 10 AO 16 - AZUL MARINHO</t>
  </si>
  <si>
    <t>810056895</t>
  </si>
  <si>
    <t>CAMISETA JUVENIL TEXAS FARM - CTM003 - DO 10 AO 16 - VERMELHO VINHO</t>
  </si>
  <si>
    <t>810056817</t>
  </si>
  <si>
    <t>CAMISETA JUVENIL TEXAS FARM - CTM007 - DO 10 AO 16 - AZUL ROYAL</t>
  </si>
  <si>
    <t>822582674</t>
  </si>
  <si>
    <t>CAMISETA MANGA LONGA ADULTO BEM CAMPEIRO</t>
  </si>
  <si>
    <t>812899465</t>
  </si>
  <si>
    <t>CAMISETA MANGA LONGA FEMININA</t>
  </si>
  <si>
    <t>MRMLF</t>
  </si>
  <si>
    <t>812899449</t>
  </si>
  <si>
    <t>CAMISETA MANGA LONGA INFANTIL</t>
  </si>
  <si>
    <t>MRMLI</t>
  </si>
  <si>
    <t>822583063</t>
  </si>
  <si>
    <t>CAMISETA MANGA LONGA INFANTIL BEM CAMPEIRO</t>
  </si>
  <si>
    <t>812899468</t>
  </si>
  <si>
    <t>CAMISETA MANGA LONGA MASCULINA</t>
  </si>
  <si>
    <t>MRMLM</t>
  </si>
  <si>
    <t>811644142</t>
  </si>
  <si>
    <t>CAMISETA MASCULINA BEM CAMPEIRO</t>
  </si>
  <si>
    <t>CMBCM</t>
  </si>
  <si>
    <t>796092482</t>
  </si>
  <si>
    <t>Camiseta Masculina Estampada Mescla Over the World Tamanho:G</t>
  </si>
  <si>
    <t>796092478</t>
  </si>
  <si>
    <t>Camiseta Masculina Estampada Mescla Over the World Tamanho:GG</t>
  </si>
  <si>
    <t>796092486</t>
  </si>
  <si>
    <t>Camiseta Masculina Estampada Mescla Over the World Tamanho:M</t>
  </si>
  <si>
    <t>799694069</t>
  </si>
  <si>
    <t>Camiseta Masculina Moda Country Estilo Texas Agro Wild Buss</t>
  </si>
  <si>
    <t>810056814</t>
  </si>
  <si>
    <t>CAMISETA MASCULINA TEXAS FARM - CM258 - DO PP AO GG - PRETO</t>
  </si>
  <si>
    <t>810056791</t>
  </si>
  <si>
    <t>CAMISETA MASCULINA TEXAS FARM - CM258 - DO PP AO GG - VERDE MENTA</t>
  </si>
  <si>
    <t>810056785</t>
  </si>
  <si>
    <t>CAMISETA MASCULINA TEXAS FARM - CM324 - DO PP AO GG - CINZA CHUMBO</t>
  </si>
  <si>
    <t>810056794</t>
  </si>
  <si>
    <t>CAMISETA MASCULINA TEXAS FARM - CM401 - DO PP AO GG - AZUL ROYAL</t>
  </si>
  <si>
    <t>810056974</t>
  </si>
  <si>
    <t>CAMISETA MASCULINA TEXAS FARM - CM419 - DO PP AO GG  - PRETO</t>
  </si>
  <si>
    <t>810056968</t>
  </si>
  <si>
    <t>CAMISETA MASCULINA TEXAS FARM - CM439 - DO PP AO GG - VERDE</t>
  </si>
  <si>
    <t>810056788</t>
  </si>
  <si>
    <t>CAMISETA MASCULINA TEXAS FARM - CM503 - DO PP AO GG - PRETO</t>
  </si>
  <si>
    <t>810056878</t>
  </si>
  <si>
    <t>CAMISETA MASCULINA TEXAS FARM - CM505 - DO PP AO GG - PRETO</t>
  </si>
  <si>
    <t>810056858</t>
  </si>
  <si>
    <t>CAMISETA MASCULINA TEXAS FARM - CM513 - DO PP AO GG - BRANCO</t>
  </si>
  <si>
    <t>810056776</t>
  </si>
  <si>
    <t>CAMISETA MASCULINA TEXAS FARM - CM518 - DO PP AO GG - AZUL ROYAL</t>
  </si>
  <si>
    <t>888389132</t>
  </si>
  <si>
    <t xml:space="preserve">Camiseta Sacudidos - Basica - Marinho </t>
  </si>
  <si>
    <t>CAMSACBASMAR</t>
  </si>
  <si>
    <t>887801628</t>
  </si>
  <si>
    <t>Camiseta Sacudidos - Basica - Marinho  - G</t>
  </si>
  <si>
    <t>CAMSACBASMAR-G</t>
  </si>
  <si>
    <t>887801676</t>
  </si>
  <si>
    <t>Camiseta Sacudidos - Basica - Marinho  - GG</t>
  </si>
  <si>
    <t>CAMSACBASMAR-GG</t>
  </si>
  <si>
    <t>888389312</t>
  </si>
  <si>
    <t>Camiseta Sacudidos - Logo Especial - Preto</t>
  </si>
  <si>
    <t>CAMSACLOGOESPP</t>
  </si>
  <si>
    <t>887801631</t>
  </si>
  <si>
    <t>Camiseta Sacudidos - Logo Especial - Preto - G</t>
  </si>
  <si>
    <t>CAMSACLOGOESPP-G</t>
  </si>
  <si>
    <t>888389499</t>
  </si>
  <si>
    <t>Camiseta Sacudidos - Sao Bento - Preto</t>
  </si>
  <si>
    <t>CAMSACSAOBENP</t>
  </si>
  <si>
    <t>887801634</t>
  </si>
  <si>
    <t>Camiseta Sacudidos - Sao Bento - Preto - P</t>
  </si>
  <si>
    <t>CAMSACSAOBENP-P</t>
  </si>
  <si>
    <t>887801637</t>
  </si>
  <si>
    <t>Camiseta SCD Plastisol -Sao Bento - Preto - M</t>
  </si>
  <si>
    <t>887801640</t>
  </si>
  <si>
    <t>Camiseta SCD Plastisol Feminina - Medalha Sao Bento - Preto - M</t>
  </si>
  <si>
    <t>888418231</t>
  </si>
  <si>
    <t xml:space="preserve">Camiseta SCDs Feminina Basica - Brasa e Marinho </t>
  </si>
  <si>
    <t>SCDFEMBBM</t>
  </si>
  <si>
    <t>887801646</t>
  </si>
  <si>
    <t>Camiseta SCDs Feminina Basica - Brasa e Marinho  - G</t>
  </si>
  <si>
    <t>SCDFEMBBM2</t>
  </si>
  <si>
    <t>887801643</t>
  </si>
  <si>
    <t>Camiseta SCDs Feminina Basica - Brasa e Marinho  - P</t>
  </si>
  <si>
    <t>SCDFEMBBM1</t>
  </si>
  <si>
    <t>887801649</t>
  </si>
  <si>
    <t>Camiseta SCDs Feminina Basica - Mescla Escuro - Rubi - P</t>
  </si>
  <si>
    <t>887801652</t>
  </si>
  <si>
    <t>Camiseta SCDs Feminina Basica - Off White - G</t>
  </si>
  <si>
    <t>810056886</t>
  </si>
  <si>
    <t>CAMISETA SOFT | HIGH WAY - CF263 - DO P AO GG - VERMELHO BORDO</t>
  </si>
  <si>
    <t>810056965</t>
  </si>
  <si>
    <t>CAMISETA UV50+ M. LONGA - UV001/ INF - DO 2 AO 16 - AZUL MARINHO/ BRANCO</t>
  </si>
  <si>
    <t>810056941</t>
  </si>
  <si>
    <t>CAMISETA UV50+ M. LONGA - UVMINI001 - DO 2 AO 8 - AZUL ROYAL</t>
  </si>
  <si>
    <t>810056944</t>
  </si>
  <si>
    <t>CAMISETA UV50+ M. LONGA - UVMINI001 - DO 2 AO 8 - CINZA CHUMBO</t>
  </si>
  <si>
    <t>810056935</t>
  </si>
  <si>
    <t>CAMISETA UV50+ M. LONGA - UVMINI001 - DO 2 AO 8 - PRETO</t>
  </si>
  <si>
    <t>810056938</t>
  </si>
  <si>
    <t>CAMISETA UV50+ M. LONGA - UVMINI001 - DO 2 AO 8 - ROXO</t>
  </si>
  <si>
    <t>810056928</t>
  </si>
  <si>
    <t>CAMISETA UV50+ M. LONGA - UVTEEN001 - DO 10 AO 16 - CINZA CHUMBO</t>
  </si>
  <si>
    <t>810056925</t>
  </si>
  <si>
    <t>CAMISETA UV50+ M. LONGA - UVTEEN001 - DO 10 AO 16 - PRETO</t>
  </si>
  <si>
    <t>798174913</t>
  </si>
  <si>
    <t>798174917</t>
  </si>
  <si>
    <t>CAMPEIRA C ELASTANO - 36</t>
  </si>
  <si>
    <t>798174922</t>
  </si>
  <si>
    <t>CAMPEIRA C ELASTANO - 38</t>
  </si>
  <si>
    <t>798174901</t>
  </si>
  <si>
    <t>CAMPEIRA C ELASTANO - 42</t>
  </si>
  <si>
    <t>798174909</t>
  </si>
  <si>
    <t>CAMPEIRA C ELASTANO - 44</t>
  </si>
  <si>
    <t>798174904</t>
  </si>
  <si>
    <t>CAMPEIRA C ELASTANO - 48</t>
  </si>
  <si>
    <t>887801601</t>
  </si>
  <si>
    <t>Canivete de Bolso Sacudidos - Com Abridor - Inox</t>
  </si>
  <si>
    <t>887801604</t>
  </si>
  <si>
    <t>Canivete de Bolso Sacudidos - Folha - Inox</t>
  </si>
  <si>
    <t>887801598</t>
  </si>
  <si>
    <t>Canivete de Bolso Sacudidos - Folha Vazada - Inox</t>
  </si>
  <si>
    <t>887801595</t>
  </si>
  <si>
    <t>Canivete de Bolso Sacudidos - Inox</t>
  </si>
  <si>
    <t>887884217</t>
  </si>
  <si>
    <t>887884211</t>
  </si>
  <si>
    <t>887884220</t>
  </si>
  <si>
    <t>810056994</t>
  </si>
  <si>
    <t>CANIVETE TEXAS FARM - CN012 - BLACK</t>
  </si>
  <si>
    <t>810056997</t>
  </si>
  <si>
    <t>CANIVETE TEXAS FARM - IMPORTADO C/ ABRIDOR GRANDE - CN009</t>
  </si>
  <si>
    <t>813754481</t>
  </si>
  <si>
    <t>Capanga Sacudidos - Nylon Cafe-Preto</t>
  </si>
  <si>
    <t>813754476</t>
  </si>
  <si>
    <t>Capanga Sacudidos - Nylon Preta / Preta</t>
  </si>
  <si>
    <t>813754349</t>
  </si>
  <si>
    <t>Capanga Sacudidos - Nylon Preto - Plastisol Laranja</t>
  </si>
  <si>
    <t>821620725</t>
  </si>
  <si>
    <t>Carteira em Couro Sacudidos - 329-1-Latego Whisky</t>
  </si>
  <si>
    <t>821620728</t>
  </si>
  <si>
    <t>Carteira em Couro Sacudidos - 329-4 - Elefante Pinhao</t>
  </si>
  <si>
    <t>821620734</t>
  </si>
  <si>
    <t>Carteira em Couro Sacudidos - 668-1 - Whisky</t>
  </si>
  <si>
    <t>821620731</t>
  </si>
  <si>
    <t>Carteira em Couro Sacudidos - 699-1-Latego Whisky</t>
  </si>
  <si>
    <t>821620737</t>
  </si>
  <si>
    <t>Carteira em Couro Sacudidos - 699-3- Elefante</t>
  </si>
  <si>
    <t>821620740</t>
  </si>
  <si>
    <t>Carteira em Couro Sacudidos - 809-1 - Latego Whisky</t>
  </si>
  <si>
    <t>827101743</t>
  </si>
  <si>
    <t>827101740</t>
  </si>
  <si>
    <t>CARTEIRA-504</t>
  </si>
  <si>
    <t>827101733</t>
  </si>
  <si>
    <t>CARTEIRA-505</t>
  </si>
  <si>
    <t>827101737</t>
  </si>
  <si>
    <t>CARTEIRA-506</t>
  </si>
  <si>
    <t>804369459</t>
  </si>
  <si>
    <t>CERA GRAFITADA</t>
  </si>
  <si>
    <t>798706705</t>
  </si>
  <si>
    <t>CEVA MATE TORDILHO NEGRO</t>
  </si>
  <si>
    <t>CMTN</t>
  </si>
  <si>
    <t>796093868</t>
  </si>
  <si>
    <t>Cevador Colorido</t>
  </si>
  <si>
    <t>798184003</t>
  </si>
  <si>
    <t>Cevador de Couro Vira Mate Personalizado</t>
  </si>
  <si>
    <t>798184000</t>
  </si>
  <si>
    <t>Cevador Vira Mate de Couro Premium Caramelo</t>
  </si>
  <si>
    <t>813754500</t>
  </si>
  <si>
    <t>Chapeu Bao Nu Mundo - Wild West  - Palha</t>
  </si>
  <si>
    <t>813754506</t>
  </si>
  <si>
    <t>Chapeu Bao Nu Mundo - Wild West  - Palha - Tamanho Especial</t>
  </si>
  <si>
    <t>813316188</t>
  </si>
  <si>
    <t>Chapéu Branco Barretos - P - Kappel</t>
  </si>
  <si>
    <t>816032874</t>
  </si>
  <si>
    <t>CHAPEU CAMPEIRO ESP II</t>
  </si>
  <si>
    <t>VINICIUS</t>
  </si>
  <si>
    <t>831612745</t>
  </si>
  <si>
    <t>Chapeu de Couro</t>
  </si>
  <si>
    <t>889406138</t>
  </si>
  <si>
    <t>Chapeu de Couro - Anaconda</t>
  </si>
  <si>
    <t>ChapeuAnaconda</t>
  </si>
  <si>
    <t>889406115</t>
  </si>
  <si>
    <t>Chapeu de Couro - Branco c/ detalhe</t>
  </si>
  <si>
    <t>Chaperanco</t>
  </si>
  <si>
    <t>889406121</t>
  </si>
  <si>
    <t>Chapeu de Couro - Caramelo c/ detalhe</t>
  </si>
  <si>
    <t>ChapeuCouroCaramelo</t>
  </si>
  <si>
    <t>889406118</t>
  </si>
  <si>
    <t>Chapeu de Couro - Marrom c/ detalhe</t>
  </si>
  <si>
    <t>ChapeuCouroMarron</t>
  </si>
  <si>
    <t>889406131</t>
  </si>
  <si>
    <t>Chapeu de Couro - Nobuck Caramelo</t>
  </si>
  <si>
    <t>ChapeuNobuckCaramelo</t>
  </si>
  <si>
    <t>889406127</t>
  </si>
  <si>
    <t>Chapeu de Couro - Nobuck Marrom</t>
  </si>
  <si>
    <t>ChapeuNobuckMarron</t>
  </si>
  <si>
    <t>889406124</t>
  </si>
  <si>
    <t>Chapeu de Couro - Rosa c/ detalhe</t>
  </si>
  <si>
    <t>ChapeuRosaDetalh</t>
  </si>
  <si>
    <t>889406135</t>
  </si>
  <si>
    <t>Chapeu de Couro - Rosa s/ detalhe</t>
  </si>
  <si>
    <t>ChapeuRosaDetalhe</t>
  </si>
  <si>
    <t>889406141</t>
  </si>
  <si>
    <t>Chapeu de Couro Infantil - Branco</t>
  </si>
  <si>
    <t>ChapeuBrancoInfantil</t>
  </si>
  <si>
    <t>889406144</t>
  </si>
  <si>
    <t>Chapeu de Couro Infantil - Marrom</t>
  </si>
  <si>
    <t>ChapeuMarronInfantil</t>
  </si>
  <si>
    <t>889406147</t>
  </si>
  <si>
    <t>Chapeu de Couro Infantil - Rosa</t>
  </si>
  <si>
    <t>ChapeuRosaInfantil</t>
  </si>
  <si>
    <t>890524073</t>
  </si>
  <si>
    <t>CHAPEU DE FELTRO GAUCHO</t>
  </si>
  <si>
    <t>813316191</t>
  </si>
  <si>
    <t>Chapéu em Juta - Kappel</t>
  </si>
  <si>
    <t>ChapeuJutaAdulto</t>
  </si>
  <si>
    <t>813316195</t>
  </si>
  <si>
    <t>Chapéu em Juta - P - Kappel</t>
  </si>
  <si>
    <t>ChapeuJutaP</t>
  </si>
  <si>
    <t>816032867</t>
  </si>
  <si>
    <t>CHAPEU FINO INFANTIL</t>
  </si>
  <si>
    <t>890524077</t>
  </si>
  <si>
    <t>CHAPEU FLOCADO COUNTRY</t>
  </si>
  <si>
    <t>816032871</t>
  </si>
  <si>
    <t>CHAPEU PANT. FINO QUEB. ABA-12 C  AR. E COR.</t>
  </si>
  <si>
    <t>813316184</t>
  </si>
  <si>
    <t>Chapeu Rosa Barretos - M - Kappel</t>
  </si>
  <si>
    <t>813754497</t>
  </si>
  <si>
    <t>Chapeu Sacudidos - Estilo Americano  - Palha</t>
  </si>
  <si>
    <t>813754361</t>
  </si>
  <si>
    <t>Chapeu Sacudidos - Estilo Boiadeiro - Palha</t>
  </si>
  <si>
    <t>813754509</t>
  </si>
  <si>
    <t>Chapeu Sacudidos - Estilo Coronel - Palha</t>
  </si>
  <si>
    <t>813754490</t>
  </si>
  <si>
    <t>Chapeu Sacudidos - Estilo Muladeiro - Palha</t>
  </si>
  <si>
    <t>813754484</t>
  </si>
  <si>
    <t>Chapeu Sacudidos - Gota - Tamanho Especial 65 CM - Palha</t>
  </si>
  <si>
    <t>813754465</t>
  </si>
  <si>
    <t>Chapeu Sacudidos - Pega - Palha</t>
  </si>
  <si>
    <t>813754460</t>
  </si>
  <si>
    <t>Chapeu Sacudidos - Tropeiro Gigante - Palha</t>
  </si>
  <si>
    <t>813754487</t>
  </si>
  <si>
    <t>Chapeu Sacudidos Da Lida - Estilo Araguaia - Palha</t>
  </si>
  <si>
    <t>808803351</t>
  </si>
  <si>
    <t>CHAVEIRO CIARIN</t>
  </si>
  <si>
    <t>798706714</t>
  </si>
  <si>
    <t>CCTN</t>
  </si>
  <si>
    <t>796093900</t>
  </si>
  <si>
    <t>Chocker - 030</t>
  </si>
  <si>
    <t>796093905</t>
  </si>
  <si>
    <t>Chocker - 031</t>
  </si>
  <si>
    <t>796093911</t>
  </si>
  <si>
    <t>Chocker - 042B</t>
  </si>
  <si>
    <t>796093915</t>
  </si>
  <si>
    <t>Chocker - 042P</t>
  </si>
  <si>
    <t>796093922</t>
  </si>
  <si>
    <t>Chocker - 057</t>
  </si>
  <si>
    <t>796093927</t>
  </si>
  <si>
    <t>Chocker - 074</t>
  </si>
  <si>
    <t>796093933</t>
  </si>
  <si>
    <t>Chocker - 078</t>
  </si>
  <si>
    <t>796093939</t>
  </si>
  <si>
    <t>Chocker - 083</t>
  </si>
  <si>
    <t>796093942</t>
  </si>
  <si>
    <t>Chocker - 098A</t>
  </si>
  <si>
    <t>796093950</t>
  </si>
  <si>
    <t>Chocker - 098D</t>
  </si>
  <si>
    <t>800641951</t>
  </si>
  <si>
    <t>CINTO</t>
  </si>
  <si>
    <t>803726678</t>
  </si>
  <si>
    <t>Cinto Country 6012</t>
  </si>
  <si>
    <t>803726631</t>
  </si>
  <si>
    <t>Cinto Country 6020</t>
  </si>
  <si>
    <t>803726666</t>
  </si>
  <si>
    <t>Cinto Country Uinissex 7020 Palha</t>
  </si>
  <si>
    <t>810395087</t>
  </si>
  <si>
    <t>Cinto Coutry - Quadriculado</t>
  </si>
  <si>
    <t>803726683</t>
  </si>
  <si>
    <t>Cinto Cowboy Infantil 5348</t>
  </si>
  <si>
    <t>806785755</t>
  </si>
  <si>
    <t>CINTO FEMENINO - 234</t>
  </si>
  <si>
    <t>806785768</t>
  </si>
  <si>
    <t>CINTO FEMININO -050</t>
  </si>
  <si>
    <t>806785772</t>
  </si>
  <si>
    <t>CINTO INFANTIL - 046</t>
  </si>
  <si>
    <t>806785784</t>
  </si>
  <si>
    <t>CINTO INFANTIL - 060</t>
  </si>
  <si>
    <t>806785778</t>
  </si>
  <si>
    <t>CINTO INFANTIL - 259</t>
  </si>
  <si>
    <t>806785746</t>
  </si>
  <si>
    <t>CINTO INFANTIL - 273</t>
  </si>
  <si>
    <t>810393913</t>
  </si>
  <si>
    <t>Cinto Liso Marron - Couro</t>
  </si>
  <si>
    <t>810393701</t>
  </si>
  <si>
    <t>Cinto Liso Preto - Couro</t>
  </si>
  <si>
    <t>803726688</t>
  </si>
  <si>
    <t>Cinto Mangalarga Infantil M07</t>
  </si>
  <si>
    <t>803726637</t>
  </si>
  <si>
    <t>Cinto Mangalarga M02</t>
  </si>
  <si>
    <t>806785750</t>
  </si>
  <si>
    <t>CINTO MASCULINO - 210</t>
  </si>
  <si>
    <t>806785775</t>
  </si>
  <si>
    <t>CINTO MASCULINO - 216</t>
  </si>
  <si>
    <t>806785759</t>
  </si>
  <si>
    <t>CINTO MASCULINO - 266</t>
  </si>
  <si>
    <t>806785763</t>
  </si>
  <si>
    <t>CINTO MASCULINO - 267</t>
  </si>
  <si>
    <t>803726675</t>
  </si>
  <si>
    <t>Cinto Muladeiro + Bainha de Canivete Infantil (Marrom)</t>
  </si>
  <si>
    <t>803726634</t>
  </si>
  <si>
    <t>Cinto Rodeio 8 segundos</t>
  </si>
  <si>
    <t>823472901</t>
  </si>
  <si>
    <t>CJ CHUR BAMBOO TABUA 50x30cm C/ ALCA (3)</t>
  </si>
  <si>
    <t>817210013</t>
  </si>
  <si>
    <t>823472898</t>
  </si>
  <si>
    <t>CONJUNTO CAIPIRINHA 5 PCS BAMBOO (4)</t>
  </si>
  <si>
    <t>799480354</t>
  </si>
  <si>
    <t>COPO BLACK ALUMINIO CLASSIC ESCOVADO</t>
  </si>
  <si>
    <t>799480361</t>
  </si>
  <si>
    <t>COPO BLACK ALUMINIO CLASSIC PRETO</t>
  </si>
  <si>
    <t>799480376</t>
  </si>
  <si>
    <t>COPO BLACK PLASTICO DOURADO</t>
  </si>
  <si>
    <t>799480373</t>
  </si>
  <si>
    <t>COPO BLACK PLASTICO FUME</t>
  </si>
  <si>
    <t>803508510</t>
  </si>
  <si>
    <t>COPO BLACK PLASTICO PRETO QUADRADO</t>
  </si>
  <si>
    <t>799480364</t>
  </si>
  <si>
    <t>COPO BLACK TERMICO PLASTICO PRETO</t>
  </si>
  <si>
    <t>803508516</t>
  </si>
  <si>
    <t>COPO CALDERETA CINZA 350ML BLACK ERVA</t>
  </si>
  <si>
    <t>805638549</t>
  </si>
  <si>
    <t>COPO INOX FIVELA CROMADO</t>
  </si>
  <si>
    <t>805638552</t>
  </si>
  <si>
    <t>COPO INOX QUADRADO PRETO FOSCO</t>
  </si>
  <si>
    <t>810057000</t>
  </si>
  <si>
    <t>COPO INOX REDONDO COM LISTRAS | TEXAS FARM - CAN004</t>
  </si>
  <si>
    <t>805638544</t>
  </si>
  <si>
    <t>COPO INOX SEXTAVADO PRETO FOSCO</t>
  </si>
  <si>
    <t>803508513</t>
  </si>
  <si>
    <t>COPO PLASTICO QUADRADO CORES</t>
  </si>
  <si>
    <t>816032898</t>
  </si>
  <si>
    <t>COPO TERERE DE CHIFRE</t>
  </si>
  <si>
    <t>799480370</t>
  </si>
  <si>
    <t>COPO TERMICO CALDERETA AZUL BEBE BLACK ERVA</t>
  </si>
  <si>
    <t>799480367</t>
  </si>
  <si>
    <t>COPO TERMICO CALDERETA ROSA BEBE BLACK ERVA</t>
  </si>
  <si>
    <t>798183960</t>
  </si>
  <si>
    <t>Coquinho sem pe</t>
  </si>
  <si>
    <t>807046408</t>
  </si>
  <si>
    <t>CORRENTE P/FREIO DE ACO INOX C/19CM</t>
  </si>
  <si>
    <t>803565147</t>
  </si>
  <si>
    <t>804370806</t>
  </si>
  <si>
    <t>CREME GRAFITADO</t>
  </si>
  <si>
    <t>803544057</t>
  </si>
  <si>
    <t>Google One</t>
  </si>
  <si>
    <t>Adobe</t>
  </si>
  <si>
    <t>Yelum</t>
  </si>
  <si>
    <t>803544060</t>
  </si>
  <si>
    <t>Google F1 TV</t>
  </si>
  <si>
    <t>Tim</t>
  </si>
  <si>
    <t>Havan</t>
  </si>
  <si>
    <t>888005766</t>
  </si>
  <si>
    <t xml:space="preserve">Cuia Bicolor </t>
  </si>
  <si>
    <t>CUIABICOLOR</t>
  </si>
  <si>
    <t>796093781</t>
  </si>
  <si>
    <t>pago</t>
  </si>
  <si>
    <t>Cuia Bicolor  - AMARELA</t>
  </si>
  <si>
    <t>CUIABICOLOR-AMARELA</t>
  </si>
  <si>
    <t>HBO Max</t>
  </si>
  <si>
    <t>Tiny</t>
  </si>
  <si>
    <t>796093842</t>
  </si>
  <si>
    <t>Cuia Bicolor  - AZUL ESCURO</t>
  </si>
  <si>
    <t>CUIABICOLOR-AZULESCURO</t>
  </si>
  <si>
    <t>Youtube</t>
  </si>
  <si>
    <t>MM</t>
  </si>
  <si>
    <t>AWS</t>
  </si>
  <si>
    <t>Neiva- Faca Motosserra</t>
  </si>
  <si>
    <t>796093752</t>
  </si>
  <si>
    <t>Cuia Bicolor  - BORDO</t>
  </si>
  <si>
    <t>CUIABICOLOR-BORDO</t>
  </si>
  <si>
    <t>Disney</t>
  </si>
  <si>
    <t>796093733</t>
  </si>
  <si>
    <t>Cuia Bicolor  - BRANCA</t>
  </si>
  <si>
    <t>CUIABICOLOR-BRANCA</t>
  </si>
  <si>
    <t>Workspace AC</t>
  </si>
  <si>
    <t>Workspace SR</t>
  </si>
  <si>
    <t>796093785</t>
  </si>
  <si>
    <t>Cuia Bicolor  - BRANCA/ROSA BEBE</t>
  </si>
  <si>
    <t>CUIABICOLOR-BRANCAROSA</t>
  </si>
  <si>
    <t>Vercel</t>
  </si>
  <si>
    <t>796093823</t>
  </si>
  <si>
    <t>Cuia Bicolor  - BRANCA/ROSA NEON</t>
  </si>
  <si>
    <t>CUIABICOLOR-BRANCAROSANEON</t>
  </si>
  <si>
    <t>IOF Vercel</t>
  </si>
  <si>
    <t>Spotify</t>
  </si>
  <si>
    <t>796093775</t>
  </si>
  <si>
    <t>Cuia Bicolor  - CARAMELO</t>
  </si>
  <si>
    <t>CUIABICOLOR-CARAMELO</t>
  </si>
  <si>
    <t>Microsoft</t>
  </si>
  <si>
    <t>Custo Mensal</t>
  </si>
  <si>
    <t>796093799</t>
  </si>
  <si>
    <t>Cuia Bicolor  - LILAS</t>
  </si>
  <si>
    <t>CUIABICOLOR-LILAS</t>
  </si>
  <si>
    <t>Creditas</t>
  </si>
  <si>
    <t>Emp Nu Gis</t>
  </si>
  <si>
    <t>Itau</t>
  </si>
  <si>
    <t>Emp Nu Vi</t>
  </si>
  <si>
    <t>796093725</t>
  </si>
  <si>
    <t>Cuia Bicolor  - NATURAL</t>
  </si>
  <si>
    <t>CUIABICOLOR-NATURAL</t>
  </si>
  <si>
    <t>796093730</t>
  </si>
  <si>
    <t>Cuia Bicolor  - NUDE</t>
  </si>
  <si>
    <t>CUIABICOLOR-NUDE</t>
  </si>
  <si>
    <t>Nubank Gis</t>
  </si>
  <si>
    <t>796093846</t>
  </si>
  <si>
    <t>Cuia Bicolor  - PRETA</t>
  </si>
  <si>
    <t>CUIABICOLOR-PRETA</t>
  </si>
  <si>
    <t>796093740</t>
  </si>
  <si>
    <t>Cuia Bicolor  - ROSA</t>
  </si>
  <si>
    <t>CUIABICOLOR-ROSA</t>
  </si>
  <si>
    <t>796093853</t>
  </si>
  <si>
    <t>Cuia Bicolor  - ROSA BEBE</t>
  </si>
  <si>
    <t>CUIABICOLOR-ROSABEBE</t>
  </si>
  <si>
    <t>796093769</t>
  </si>
  <si>
    <t>Cuia Bicolor  - ROSA NEON</t>
  </si>
  <si>
    <t>CUIABICOLOR-ROSANEON</t>
  </si>
  <si>
    <t>796093832</t>
  </si>
  <si>
    <t>Cuia Bicolor  - ROSA/AMARELA</t>
  </si>
  <si>
    <t>CUIABICOLOR-ROSAAMARELA</t>
  </si>
  <si>
    <t>796093817</t>
  </si>
  <si>
    <t>Cuia Bicolor  - ROSA/VERDE</t>
  </si>
  <si>
    <t>CUIABICOLOR-ROSAVERDE</t>
  </si>
  <si>
    <t>796093809</t>
  </si>
  <si>
    <t>Cuia Bicolor  - ROXO NEON</t>
  </si>
  <si>
    <t>CUIABICOLOR-ROXONEON</t>
  </si>
  <si>
    <t>796093745</t>
  </si>
  <si>
    <t>Cuia Bicolor  - VERDE AGUA</t>
  </si>
  <si>
    <t>CUIABICOLOR-VERDEAGUA</t>
  </si>
  <si>
    <t>796093804</t>
  </si>
  <si>
    <t>Cuia Bicolor  - VERDE MILITAR</t>
  </si>
  <si>
    <t>CUIABICOLOR-VERDEMILITAR</t>
  </si>
  <si>
    <t>796093837</t>
  </si>
  <si>
    <t>Cuia Bicolor  - VERMELHA</t>
  </si>
  <si>
    <t>CUIABICOLOR-VERMELHA</t>
  </si>
  <si>
    <t>798706708</t>
  </si>
  <si>
    <t>CCBTN</t>
  </si>
  <si>
    <t>798183972</t>
  </si>
  <si>
    <t>Cuia Cavalo Crioulo Clara</t>
  </si>
  <si>
    <t>798183975</t>
  </si>
  <si>
    <t>Cuia Cavalo Crioulo Escura</t>
  </si>
  <si>
    <t>798183963</t>
  </si>
  <si>
    <t>cuia coquinho s/ bocal</t>
  </si>
  <si>
    <t>888006006</t>
  </si>
  <si>
    <t xml:space="preserve">Cuia de Chimarrao Porongo Revestida Pvc  </t>
  </si>
  <si>
    <t>CUIAPORONGPVC</t>
  </si>
  <si>
    <t>798183978</t>
  </si>
  <si>
    <t>Cuia de Chimarrao Porongo Revestida Pvc   - NUDE</t>
  </si>
  <si>
    <t>CUIAPORONGPVC-NUDE</t>
  </si>
  <si>
    <t>798183981</t>
  </si>
  <si>
    <t>Cuia de Chimarrao Porongo Revestida Pvc   - PRETA</t>
  </si>
  <si>
    <t>CUIAPORONGPVC-PRETA</t>
  </si>
  <si>
    <t>798183985</t>
  </si>
  <si>
    <t>Cuia de Chimarrao Porongo Revestida Pvc   - ROSA</t>
  </si>
  <si>
    <t>CUIAPORONGPVC-ROSA</t>
  </si>
  <si>
    <t>888005893</t>
  </si>
  <si>
    <t xml:space="preserve">Cuia Madeira Inteira </t>
  </si>
  <si>
    <t>CUIAMADEIRA</t>
  </si>
  <si>
    <t>796093829</t>
  </si>
  <si>
    <t>Cuia Madeira Inteira  - AMARELA</t>
  </si>
  <si>
    <t>CUIAMADEIRA-AMARELA</t>
  </si>
  <si>
    <t>796093793</t>
  </si>
  <si>
    <t>Cuia Madeira Inteira  - ARCO IRIS</t>
  </si>
  <si>
    <t>CUIAMADEIRA-ARCOIRIS</t>
  </si>
  <si>
    <t>796093748</t>
  </si>
  <si>
    <t>Cuia Madeira Inteira  - BRANCA</t>
  </si>
  <si>
    <t>CUIAMADEIRA-BRANCA</t>
  </si>
  <si>
    <t>798183989</t>
  </si>
  <si>
    <t>Cuia Madeira Inteira  - NUDE</t>
  </si>
  <si>
    <t>CUIAMADEIRA-NUDE</t>
  </si>
  <si>
    <t>796093762</t>
  </si>
  <si>
    <t>Cuia Madeira Inteira  - NUDE PEROLIZADA</t>
  </si>
  <si>
    <t>CUIAMADEIRA-NUDEPEROLIZADO</t>
  </si>
  <si>
    <t>796093757</t>
  </si>
  <si>
    <t>Cuia Madeira Inteira  - PRETA FOSCA</t>
  </si>
  <si>
    <t>CUIAMADEIRA-PRETAFOSCA</t>
  </si>
  <si>
    <t>798183966</t>
  </si>
  <si>
    <t>Cuia porongo pe massa</t>
  </si>
  <si>
    <t>798183957</t>
  </si>
  <si>
    <t>Cuia porongo pe metal</t>
  </si>
  <si>
    <t>798183969</t>
  </si>
  <si>
    <t>Cuia porongo Sem Pe</t>
  </si>
  <si>
    <t>823472889</t>
  </si>
  <si>
    <t>810056962</t>
  </si>
  <si>
    <t>DIV - UV/ INF - DO 2 AO 16 - VERMELHO</t>
  </si>
  <si>
    <t>796093859</t>
  </si>
  <si>
    <t>Enfeite de Chimarrao Biscuit - Mini Flor - Amarelo</t>
  </si>
  <si>
    <t>821620746</t>
  </si>
  <si>
    <t>Enfeite de Retrovisor Sacudidos - Cruz</t>
  </si>
  <si>
    <t>821620749</t>
  </si>
  <si>
    <t>Enfeite de Retrovisor Sacudidos - Mula</t>
  </si>
  <si>
    <t>821620753</t>
  </si>
  <si>
    <t>Enfeite Retrovisor Sacudidos Couro - Laco - Charroa Preta</t>
  </si>
  <si>
    <t>803508498</t>
  </si>
  <si>
    <t>831928671</t>
  </si>
  <si>
    <t>ERVA MATE BLACK - CEREJA ICE PCT</t>
  </si>
  <si>
    <t>803508504</t>
  </si>
  <si>
    <t>ERVA MATE BLACK - DOUBLE BLACK</t>
  </si>
  <si>
    <t>799480345</t>
  </si>
  <si>
    <t>ERVA MATE BLACK - ENERGETICO PCT</t>
  </si>
  <si>
    <t>831929211</t>
  </si>
  <si>
    <t>ERVA MATE BLACK - HORTELÃ ICE</t>
  </si>
  <si>
    <t>799480348</t>
  </si>
  <si>
    <t>ERVA MATE BLACK - LEMON BLEND PCT</t>
  </si>
  <si>
    <t>799480329</t>
  </si>
  <si>
    <t>ERVA MATE BLACK - MENTA BLACK PCT</t>
  </si>
  <si>
    <t>831928909</t>
  </si>
  <si>
    <t>ERVA MATE BLACK - MENTA E BOLDO PCT</t>
  </si>
  <si>
    <t>799480339</t>
  </si>
  <si>
    <t>ERVA MATE BLACK - MENTA E LIMAO PCT</t>
  </si>
  <si>
    <t>799480351</t>
  </si>
  <si>
    <t>ERVA MATE BLACK - MENTA PARAGUAIA</t>
  </si>
  <si>
    <t>831929168</t>
  </si>
  <si>
    <t>ERVA MATE BLACK - PURA FOLHA PCT</t>
  </si>
  <si>
    <t>784809133</t>
  </si>
  <si>
    <t>ERVA MATE MAZUTTI A VACUO 1KG</t>
  </si>
  <si>
    <t>784809136</t>
  </si>
  <si>
    <t>ERVA MATE MAZUTTI A VACUO 500G</t>
  </si>
  <si>
    <t>784809130</t>
  </si>
  <si>
    <t>ERVA MATE MAZUTTI COMPOSTA A VACUO 1KG</t>
  </si>
  <si>
    <t>784809139</t>
  </si>
  <si>
    <t>ERVA MATE MAZUTTI MOIDA GROSSA VACUO 1 KG</t>
  </si>
  <si>
    <t>784809142</t>
  </si>
  <si>
    <t>ERVA MATE MAZUTTI PREMIUM</t>
  </si>
  <si>
    <t>784809148</t>
  </si>
  <si>
    <t>ERVA MATE MAZUTTI TERERE ABACAXI 500G</t>
  </si>
  <si>
    <t>784809154</t>
  </si>
  <si>
    <t>ERVA MATE MAZUTTI TERERE LIMAO 500G</t>
  </si>
  <si>
    <t>784809151</t>
  </si>
  <si>
    <t>ERVA MATE MAZUTTI TERERE MENTA E BOLDO 500G</t>
  </si>
  <si>
    <t>784809145</t>
  </si>
  <si>
    <t>ERVA MATE MAZUTTI TERERE NATURAL 500G</t>
  </si>
  <si>
    <t>807787233</t>
  </si>
  <si>
    <t>ERVA MATE POLACA 1 KG</t>
  </si>
  <si>
    <t>807787227</t>
  </si>
  <si>
    <t>ERVA MATE POLACA 500 G</t>
  </si>
  <si>
    <t>805638528</t>
  </si>
  <si>
    <t>ERVA MATE PREDILETA BURRITO 500g</t>
  </si>
  <si>
    <t>805638541</t>
  </si>
  <si>
    <t>ERVA MATE PREDILETA CEREJA ICE 500g</t>
  </si>
  <si>
    <t>805638565</t>
  </si>
  <si>
    <t>ERVA MATE PREDILETA LIMAO TAHITI 500g</t>
  </si>
  <si>
    <t>805638501</t>
  </si>
  <si>
    <t>ERVA MATE PREDILETA MENTA FOGO 500g</t>
  </si>
  <si>
    <t>805638538</t>
  </si>
  <si>
    <t>ERVA MATE PREDILETA MENTA UVA 500g</t>
  </si>
  <si>
    <t>805638532</t>
  </si>
  <si>
    <t>ERVA MATE PREDILETA SUB ZERO 500g</t>
  </si>
  <si>
    <t>807787246</t>
  </si>
  <si>
    <t>ERVA MATE TAQ SENS 500G - ACONCHEGO</t>
  </si>
  <si>
    <t>807787249</t>
  </si>
  <si>
    <t>ERVA MATE TAQ SENS 500G - CALMARIA</t>
  </si>
  <si>
    <t>807787258</t>
  </si>
  <si>
    <t>ERVA MATE TAQ SENS 500G - ESPECIARIAS</t>
  </si>
  <si>
    <t>807787252</t>
  </si>
  <si>
    <t>ERVA MATE TAQ SENS 500G - LARANJA</t>
  </si>
  <si>
    <t>807787255</t>
  </si>
  <si>
    <t>ERVA MATE TAQ SENS 500G - TROPICAL TEA</t>
  </si>
  <si>
    <t>807787236</t>
  </si>
  <si>
    <t>ERVA MATE TAQUARAL - MOIDA GROSSA 1KG</t>
  </si>
  <si>
    <t>807787230</t>
  </si>
  <si>
    <t>ERVA MATE TAQUARAL 1 KG</t>
  </si>
  <si>
    <t>807787224</t>
  </si>
  <si>
    <t>ERVA MATE TAQUARAL 500 G</t>
  </si>
  <si>
    <t>807787239</t>
  </si>
  <si>
    <t>ERVA MATE TAQUARAL A VACUO 1KG</t>
  </si>
  <si>
    <t>807787243</t>
  </si>
  <si>
    <t>ERVA MATE TAQUARAL PREMIUM 500G - COM INDICACAO GEOGRAFICA</t>
  </si>
  <si>
    <t>800510785</t>
  </si>
  <si>
    <t>ERVA-MATE SOKOLOWSKI MOAGEM EXTRA GROSSA</t>
  </si>
  <si>
    <t>800510779</t>
  </si>
  <si>
    <t>ERVA-MATE SOKOLOWSKI MOAGEM FINA</t>
  </si>
  <si>
    <t>800510782</t>
  </si>
  <si>
    <t>ERVA-MATE SOKOLOWSKI MOAGEM GROSSA</t>
  </si>
  <si>
    <t>887832145</t>
  </si>
  <si>
    <t>ESCOVA DE MADEIRA VASSOURA</t>
  </si>
  <si>
    <t>803726628</t>
  </si>
  <si>
    <t>Espora Cavalgada Inox</t>
  </si>
  <si>
    <t>807046411</t>
  </si>
  <si>
    <t>ESPORA DE ACO INOX 5/16 C/ROSETA 10 PONTAS C/ARG. C/CORREIA</t>
  </si>
  <si>
    <t>803726625</t>
  </si>
  <si>
    <t>Espora Mineirinha 16 Pontas</t>
  </si>
  <si>
    <t>803726622</t>
  </si>
  <si>
    <t>Espora Roseta Serrilhada Inox</t>
  </si>
  <si>
    <t>889555761</t>
  </si>
  <si>
    <t>EXTRATOR DE ERVA</t>
  </si>
  <si>
    <t>816032915</t>
  </si>
  <si>
    <t>816032910</t>
  </si>
  <si>
    <t>FACA MINI C B</t>
  </si>
  <si>
    <t>785656888</t>
  </si>
  <si>
    <t>FILTRO P/ BOMBA DE CHIMARRÃO</t>
  </si>
  <si>
    <t>816032878</t>
  </si>
  <si>
    <t>FIVELA</t>
  </si>
  <si>
    <t>816032884</t>
  </si>
  <si>
    <t>816032892</t>
  </si>
  <si>
    <t>813754355</t>
  </si>
  <si>
    <t>Fivela Cinto Sacudidos - Aparecida Rogai Por Nos</t>
  </si>
  <si>
    <t>813754515</t>
  </si>
  <si>
    <t>Fivela Cinto Sacudidos - Boiadeira Azul Claro</t>
  </si>
  <si>
    <t>813754471</t>
  </si>
  <si>
    <t>Fivela Cinto Sacudidos - Cavalo - Prata Detalhes Rosa</t>
  </si>
  <si>
    <t>803726653</t>
  </si>
  <si>
    <t>Fivela Cowboy 5291</t>
  </si>
  <si>
    <t>803726650</t>
  </si>
  <si>
    <t>Fivela Cowboy 5641</t>
  </si>
  <si>
    <t>803726647</t>
  </si>
  <si>
    <t>Fivela Cowboy Infantil 5370</t>
  </si>
  <si>
    <t>803726643</t>
  </si>
  <si>
    <t>Fivela Cowboy Infantil 5372</t>
  </si>
  <si>
    <t>803726640</t>
  </si>
  <si>
    <t>Fivela Infantil Mangalarga 68-A</t>
  </si>
  <si>
    <t>803726672</t>
  </si>
  <si>
    <t>Fivela Nossa Senhora Aparecida M15</t>
  </si>
  <si>
    <t>807046414</t>
  </si>
  <si>
    <t>FREIO DE ACO INOX GAUCHO C/BOCAL ALTO</t>
  </si>
  <si>
    <t>807046417</t>
  </si>
  <si>
    <t>FREIO DE ACO INOX GAUCHO C/BOCAL BAIXO</t>
  </si>
  <si>
    <t>799480413</t>
  </si>
  <si>
    <t>GARRAFA TERMICA PLASTICO 2,5L - AMARELA</t>
  </si>
  <si>
    <t>799480392</t>
  </si>
  <si>
    <t>GARRAFA TERMICA PLASTICO 2,5L - PRETA</t>
  </si>
  <si>
    <t>889555768</t>
  </si>
  <si>
    <t>GARRAFA TERMICA PLASTICO 2,5L - VERDE TIFANY</t>
  </si>
  <si>
    <t>799480405</t>
  </si>
  <si>
    <t>GARRAFA TERMICA PLASTICO 2,5L - VERMELHA</t>
  </si>
  <si>
    <t>889555765</t>
  </si>
  <si>
    <t>GARRAFA TERMICA PLASTICO 2,5LT - AZUL</t>
  </si>
  <si>
    <t>888338301</t>
  </si>
  <si>
    <t>GT PRESSAO FARROUP 1,9L</t>
  </si>
  <si>
    <t>GTFARROUP19</t>
  </si>
  <si>
    <t>804698949</t>
  </si>
  <si>
    <t>GT PRESSAO FARROUP 1,9L - BEGE</t>
  </si>
  <si>
    <t>GTFARROUP19BEGE</t>
  </si>
  <si>
    <t>804698952</t>
  </si>
  <si>
    <t>GT PRESSAO FARROUP 1,9L - PRETA</t>
  </si>
  <si>
    <t>GTFARROUP19PRETA</t>
  </si>
  <si>
    <t>804698955</t>
  </si>
  <si>
    <t>GT PRESSAO FARROUP 1,9L - VERDE</t>
  </si>
  <si>
    <t>GTFARROUP19VERDE</t>
  </si>
  <si>
    <t>823472886</t>
  </si>
  <si>
    <t>GT TOTAL INOX AIRPOT C/ ALAV 2,5L (2)</t>
  </si>
  <si>
    <t>823472883</t>
  </si>
  <si>
    <t>GT TOTAL INOX AIRPOT C/ ALAVANCA 1,9L (2)</t>
  </si>
  <si>
    <t>804698946</t>
  </si>
  <si>
    <t>GT USE FARROUPIL BEGE CAVALO 1L (6)</t>
  </si>
  <si>
    <t>827101749</t>
  </si>
  <si>
    <t>GUAIACA - 143</t>
  </si>
  <si>
    <t>827101753</t>
  </si>
  <si>
    <t>GUAIACA - 312</t>
  </si>
  <si>
    <t>827101765</t>
  </si>
  <si>
    <t>GUAIACA - 315</t>
  </si>
  <si>
    <t>827101746</t>
  </si>
  <si>
    <t>GUAIACA -140</t>
  </si>
  <si>
    <t>827101756</t>
  </si>
  <si>
    <t>GUAIACA INFANTIL - 133</t>
  </si>
  <si>
    <t>806799090</t>
  </si>
  <si>
    <t>INF F CASTELHANA - 08</t>
  </si>
  <si>
    <t>806799096</t>
  </si>
  <si>
    <t>806799083</t>
  </si>
  <si>
    <t>INF F CASTELHANA - 10</t>
  </si>
  <si>
    <t>806799100</t>
  </si>
  <si>
    <t>806799086</t>
  </si>
  <si>
    <t>INF F CASTELHANA - 12</t>
  </si>
  <si>
    <t>806799103</t>
  </si>
  <si>
    <t>806799093</t>
  </si>
  <si>
    <t>INF F CASTELHANA - 14</t>
  </si>
  <si>
    <t>806799107</t>
  </si>
  <si>
    <t>806799054</t>
  </si>
  <si>
    <t>INF M CAMPEIRA C FAVO - 08</t>
  </si>
  <si>
    <t>806799065</t>
  </si>
  <si>
    <t>INF M CAMPEIRA C FAVO - 10</t>
  </si>
  <si>
    <t>806799072</t>
  </si>
  <si>
    <t>806799057</t>
  </si>
  <si>
    <t>INF M CAMPEIRA C FAVO - 12</t>
  </si>
  <si>
    <t>806799075</t>
  </si>
  <si>
    <t>806799061</t>
  </si>
  <si>
    <t>INF M CAMPEIRA C FAVO - 14</t>
  </si>
  <si>
    <t>806799069</t>
  </si>
  <si>
    <t>806799080</t>
  </si>
  <si>
    <t>830758412</t>
  </si>
  <si>
    <t>INF M CAMPEIRA C FAVO - AZUL NOITE - 02</t>
  </si>
  <si>
    <t>830758415</t>
  </si>
  <si>
    <t>INF M CAMPEIRA C FAVO - AZUL NOITE - 04</t>
  </si>
  <si>
    <t>830758418</t>
  </si>
  <si>
    <t>INF M CAMPEIRA C FAVO - AZUL NOITE - 06</t>
  </si>
  <si>
    <t>806799027</t>
  </si>
  <si>
    <t>INF M CAMPEIRA LISA - 08</t>
  </si>
  <si>
    <t>806799033</t>
  </si>
  <si>
    <t>806799037</t>
  </si>
  <si>
    <t>INF M CAMPEIRA LISA - 10</t>
  </si>
  <si>
    <t>806799044</t>
  </si>
  <si>
    <t>806799040</t>
  </si>
  <si>
    <t>INF M CAMPEIRA LISA - 12</t>
  </si>
  <si>
    <t>806799047</t>
  </si>
  <si>
    <t>806799030</t>
  </si>
  <si>
    <t>INF M CAMPEIRA LISA - 14</t>
  </si>
  <si>
    <t>806799051</t>
  </si>
  <si>
    <t>817210251</t>
  </si>
  <si>
    <t>887801607</t>
  </si>
  <si>
    <t>Kit 3 Cuecas Premium Boxer Sacudidos - GG</t>
  </si>
  <si>
    <t>821620717</t>
  </si>
  <si>
    <t>Kit Canivete Sacudidos + Bainha - Cabo Madeira</t>
  </si>
  <si>
    <t>805638520</t>
  </si>
  <si>
    <t>KIT COPO ALUMINIO ESTAMPADO COM BOMBA DE FERRO</t>
  </si>
  <si>
    <t>805638510</t>
  </si>
  <si>
    <t>KIT TERERE ALUMINIO ROLICO TERMICO CARIBE GRANDE COM BOMBA</t>
  </si>
  <si>
    <t>805638507</t>
  </si>
  <si>
    <t>KIT TERERE PLASTICO PORTAL COM TAMPA E BOMBA</t>
  </si>
  <si>
    <t>805638516</t>
  </si>
  <si>
    <t>KIT TERERE TERMICO PLASTICO COM TAMPA E BOMBA</t>
  </si>
  <si>
    <t>824568232</t>
  </si>
  <si>
    <t>Laço para cabelo</t>
  </si>
  <si>
    <t>807046423</t>
  </si>
  <si>
    <t>LACO PP.10MM BRANCO TORC.MACIO CRN 15 MTS.</t>
  </si>
  <si>
    <t>807046420</t>
  </si>
  <si>
    <t>LACO PP.10MM TORC.15MTS CAN. CAB. CHUMBADO C/ARG.INOX....</t>
  </si>
  <si>
    <t>799590523</t>
  </si>
  <si>
    <t>LATA CHA GOURMATE AGUAS DE ARAGUAIA 50GR</t>
  </si>
  <si>
    <t>799590515</t>
  </si>
  <si>
    <t>LATA CHA GOURMATE ALMA BAIANA 50GR</t>
  </si>
  <si>
    <t>799590520</t>
  </si>
  <si>
    <t>LATA CHA GOURMATE ESPIRITO CAMPEIRO 50GR</t>
  </si>
  <si>
    <t>799590511</t>
  </si>
  <si>
    <t>LATA CHA GOURMATE SOL DO NORTE  50GR</t>
  </si>
  <si>
    <t>808322443</t>
  </si>
  <si>
    <t>LENCO GAUCHO - G - BRANCO</t>
  </si>
  <si>
    <t>808323634</t>
  </si>
  <si>
    <t>LENCO GAUCHO - G - PRETO</t>
  </si>
  <si>
    <t>808323420</t>
  </si>
  <si>
    <t>LENCO GAUCHO - G - VERMELHO</t>
  </si>
  <si>
    <t>808325170</t>
  </si>
  <si>
    <t>LENCO GAUCHO - M - BRANCO</t>
  </si>
  <si>
    <t>808325352</t>
  </si>
  <si>
    <t>LENCO GAUCHO - M - VERMELHO</t>
  </si>
  <si>
    <t>808325753</t>
  </si>
  <si>
    <t>LENCO GAUCHO - PP - BRANCO</t>
  </si>
  <si>
    <t>808326056</t>
  </si>
  <si>
    <t>LENCO GAUCHO - PP - VERMELHO</t>
  </si>
  <si>
    <t>812897170</t>
  </si>
  <si>
    <t>M234 BOTINA INFANTIL NOB.CASTOR -BR</t>
  </si>
  <si>
    <t>812897174</t>
  </si>
  <si>
    <t>M236 BOTINA INFANTIL NOB.TERRA -BR</t>
  </si>
  <si>
    <t>887832094</t>
  </si>
  <si>
    <t>MANTA P/SELA AMERICANA XADREZ ARTESANAL MODELO INDIANO C/FEL NOSSA SENHORA</t>
  </si>
  <si>
    <t>817688201</t>
  </si>
  <si>
    <t>MANTA P/SELA AMERICANA XADREZ CORES C/FELTRO C/PELUCIA VERM.</t>
  </si>
  <si>
    <t>796093953</t>
  </si>
  <si>
    <t>Marcador de Chimarrao em MDF - M1</t>
  </si>
  <si>
    <t>796093959</t>
  </si>
  <si>
    <t>Marcador de Chimarrao em MDF - M10</t>
  </si>
  <si>
    <t>796093963</t>
  </si>
  <si>
    <t>Marcador de Chimarrao em MDF - M11</t>
  </si>
  <si>
    <t>796093969</t>
  </si>
  <si>
    <t>Marcador de Chimarrao em MDF - M12</t>
  </si>
  <si>
    <t>796093975</t>
  </si>
  <si>
    <t>Marcador de Chimarrao em MDF - M14</t>
  </si>
  <si>
    <t>796093979</t>
  </si>
  <si>
    <t>Marcador de Chimarrao em MDF - M16</t>
  </si>
  <si>
    <t>796093984</t>
  </si>
  <si>
    <t>Marcador de Chimarrao em MDF - M18</t>
  </si>
  <si>
    <t>796093988</t>
  </si>
  <si>
    <t>Marcador de Chimarrao em MDF - M19</t>
  </si>
  <si>
    <t>796093992</t>
  </si>
  <si>
    <t>Marcador de Chimarrao em MDF - M2</t>
  </si>
  <si>
    <t>796093997</t>
  </si>
  <si>
    <t>Marcador de Chimarrao em MDF - M20</t>
  </si>
  <si>
    <t>796094001</t>
  </si>
  <si>
    <t>Marcador de Chimarrao em MDF - M21</t>
  </si>
  <si>
    <t>796094006</t>
  </si>
  <si>
    <t>Marcador de Chimarrao em MDF - M3</t>
  </si>
  <si>
    <t>796094010</t>
  </si>
  <si>
    <t>Marcador de Chimarrao em MDF - M4</t>
  </si>
  <si>
    <t>796094094</t>
  </si>
  <si>
    <t>Mateira Montana 1 LITRO - PRETA</t>
  </si>
  <si>
    <t>796094103</t>
  </si>
  <si>
    <t>Mateira Popular 1 Litro</t>
  </si>
  <si>
    <t>796094099</t>
  </si>
  <si>
    <t>Mateira Recouro 1L</t>
  </si>
  <si>
    <t>798706711</t>
  </si>
  <si>
    <t>TNMATEIRA</t>
  </si>
  <si>
    <t>823472895</t>
  </si>
  <si>
    <t>MATTE MOR/SUPORT MULT FENDI</t>
  </si>
  <si>
    <t>MATTEMORFENDI</t>
  </si>
  <si>
    <t>823472892</t>
  </si>
  <si>
    <t>MATTE MOR/SUPORT MULT PRETA</t>
  </si>
  <si>
    <t>MATTEMORPRETA</t>
  </si>
  <si>
    <t>807787270</t>
  </si>
  <si>
    <t>MISTURA PARA CHIMARRAO TAQUARAL - ANIS ESTRELADO</t>
  </si>
  <si>
    <t>807787273</t>
  </si>
  <si>
    <t>MISTURA PARA CHIMARRAO TAQUARAL - CAMOMILA FLOR</t>
  </si>
  <si>
    <t>807787276</t>
  </si>
  <si>
    <t>MISTURA PARA CHIMARRAO TAQUARAL - CAPIM CIDREIRA</t>
  </si>
  <si>
    <t>807787279</t>
  </si>
  <si>
    <t>MISTURA PARA CHIMARRAO TAQUARAL - ERVA DOCE</t>
  </si>
  <si>
    <t>807787282</t>
  </si>
  <si>
    <t>MISTURA PARA CHIMARRAO TAQUARAL - HIBISCUS</t>
  </si>
  <si>
    <t>807787285</t>
  </si>
  <si>
    <t>MISTURA PARA CHIMARRAO TAQUARAL - HORTELA</t>
  </si>
  <si>
    <t>804464741</t>
  </si>
  <si>
    <t>Moletom Black Skull - G</t>
  </si>
  <si>
    <t>804464744</t>
  </si>
  <si>
    <t>Moletom Black Skull - M</t>
  </si>
  <si>
    <t>804464748</t>
  </si>
  <si>
    <t>Moletom Black Skull - P</t>
  </si>
  <si>
    <t>811644669</t>
  </si>
  <si>
    <t>MOLETOM MASCULINO BEM CAMPEIRO</t>
  </si>
  <si>
    <t>MMBCM</t>
  </si>
  <si>
    <t>804464754</t>
  </si>
  <si>
    <t>Moletom Old West - G</t>
  </si>
  <si>
    <t>804464759</t>
  </si>
  <si>
    <t>Moletom Old West - M</t>
  </si>
  <si>
    <t>804464764</t>
  </si>
  <si>
    <t>Moletom Old West - P</t>
  </si>
  <si>
    <t>804464767</t>
  </si>
  <si>
    <t>Moletom Pink Cowgirl  - G</t>
  </si>
  <si>
    <t>804464770</t>
  </si>
  <si>
    <t>Moletom Pink Cowgirl  - M</t>
  </si>
  <si>
    <t>804464773</t>
  </si>
  <si>
    <t>Moletom Pink Cowgirl  - P</t>
  </si>
  <si>
    <t>811644742</t>
  </si>
  <si>
    <t>MOLETON FEMININO BEM CAMPEIRO</t>
  </si>
  <si>
    <t>MFBCM</t>
  </si>
  <si>
    <t>811644573</t>
  </si>
  <si>
    <t>MIBCM</t>
  </si>
  <si>
    <t>807787264</t>
  </si>
  <si>
    <t>NOVO TERERE TAQ. ABAC C/ MENTA 500G</t>
  </si>
  <si>
    <t>887832129</t>
  </si>
  <si>
    <t>OLEO DE MOCOTO C. M. 900ML</t>
  </si>
  <si>
    <t>796093876</t>
  </si>
  <si>
    <t>Pega Erva Porongo</t>
  </si>
  <si>
    <t>817688364</t>
  </si>
  <si>
    <t>PELEGO LA CARNEIRO GRANDE</t>
  </si>
  <si>
    <t>889555758</t>
  </si>
  <si>
    <t>796092422</t>
  </si>
  <si>
    <t>POLO FEMININA MADE IN MATO MARROM 1819 Tamanho:M</t>
  </si>
  <si>
    <t>796092522</t>
  </si>
  <si>
    <t>Polo Feminina Made In Mato Preta Tamanho:G</t>
  </si>
  <si>
    <t>796092519</t>
  </si>
  <si>
    <t>Polo Feminina Made In Mato Preta Tamanho:M</t>
  </si>
  <si>
    <t>796092516</t>
  </si>
  <si>
    <t>Polo Feminina Made In Mato Preta Tamanho:P</t>
  </si>
  <si>
    <t>796092400</t>
  </si>
  <si>
    <t>Polo Premium Masculina Mescla Escuro Algodao com Elastano Tamanho:GG</t>
  </si>
  <si>
    <t>796092409</t>
  </si>
  <si>
    <t>Polo Premium Masculina Mescla Escuro Algodao com Elastano Tamanho:M</t>
  </si>
  <si>
    <t>796092404</t>
  </si>
  <si>
    <t>Polo Premium Masculina Mescla Escuro Algodao com Elastano Tamanho:P</t>
  </si>
  <si>
    <t>796092505</t>
  </si>
  <si>
    <t>Polo Premium Masculina Termocolante Marinho Tamanho:G</t>
  </si>
  <si>
    <t>796092509</t>
  </si>
  <si>
    <t>Polo Premium Masculina Termocolante Marinho Tamanho:M</t>
  </si>
  <si>
    <t>806785789</t>
  </si>
  <si>
    <t>806785797</t>
  </si>
  <si>
    <t>889555755</t>
  </si>
  <si>
    <t>799480416</t>
  </si>
  <si>
    <t>798876944</t>
  </si>
  <si>
    <t>Porta Cuia Alto</t>
  </si>
  <si>
    <t>798184008</t>
  </si>
  <si>
    <t>Porta Cuia Costurado Cafe</t>
  </si>
  <si>
    <t>798184011</t>
  </si>
  <si>
    <t>Porta Cuia Costurado Caramelo</t>
  </si>
  <si>
    <t>798184015</t>
  </si>
  <si>
    <t>Porta Cuia Costurado Caramelo Brsao</t>
  </si>
  <si>
    <t>798184018</t>
  </si>
  <si>
    <t>Porta Cuia Costurado Cavalo</t>
  </si>
  <si>
    <t>796093879</t>
  </si>
  <si>
    <t>Porta Cuia Tradicional</t>
  </si>
  <si>
    <t>796093888</t>
  </si>
  <si>
    <t>Porta Cuia Uruguaio - Marrom</t>
  </si>
  <si>
    <t>796093885</t>
  </si>
  <si>
    <t>Porta Cuia Uruguaio - Natural</t>
  </si>
  <si>
    <t>796093864</t>
  </si>
  <si>
    <t>Porta Enfeites de Chimarrao/cuia Biscuit 5 Andares Mdf 3mm Cru</t>
  </si>
  <si>
    <t>796093894</t>
  </si>
  <si>
    <t>Porta Erva</t>
  </si>
  <si>
    <t>799480419</t>
  </si>
  <si>
    <t>PORTA ERVA BLACK</t>
  </si>
  <si>
    <t>804529209</t>
  </si>
  <si>
    <t>POST CALCA FEM CIGARRETE</t>
  </si>
  <si>
    <t>804529206</t>
  </si>
  <si>
    <t>POST CALCA FEM CIGARRETE NERVURA</t>
  </si>
  <si>
    <t>888007927</t>
  </si>
  <si>
    <t>Pulseira Silicone Sacudidos</t>
  </si>
  <si>
    <t>PULSILSAC</t>
  </si>
  <si>
    <t>813754381</t>
  </si>
  <si>
    <t>Pulseira Silicone Sacudidos - AMARELO - PRETA</t>
  </si>
  <si>
    <t>PULSILSACAP</t>
  </si>
  <si>
    <t>813754384</t>
  </si>
  <si>
    <t>Pulseira Silicone Sacudidos - ERVA DOCE - AZUL</t>
  </si>
  <si>
    <t>PULSILSACEDA</t>
  </si>
  <si>
    <t>813754430</t>
  </si>
  <si>
    <t>Pulseira Silicone Sacudidos - ERVA DOCE - VERMELHA</t>
  </si>
  <si>
    <t>PULSILSACEDV</t>
  </si>
  <si>
    <t>813754434</t>
  </si>
  <si>
    <t>Pulseira Silicone Sacudidos - GOIABA - BRANCA</t>
  </si>
  <si>
    <t>PULSILSACGB</t>
  </si>
  <si>
    <t>813754400</t>
  </si>
  <si>
    <t>Pulseira Silicone Sacudidos - LARANJA - PRETA</t>
  </si>
  <si>
    <t>PULSILSACLP</t>
  </si>
  <si>
    <t>813754424</t>
  </si>
  <si>
    <t>Pulseira Silicone Sacudidos - OFF WHITE - PRETA</t>
  </si>
  <si>
    <t>PULSILSACOWP</t>
  </si>
  <si>
    <t>813754387</t>
  </si>
  <si>
    <t>Pulseira Silicone Sacudidos - PRETA - PRETA</t>
  </si>
  <si>
    <t>PULSILSACPP</t>
  </si>
  <si>
    <t>813754419</t>
  </si>
  <si>
    <t>Pulseira Silicone Sacudidos - PRETO - AMARELA</t>
  </si>
  <si>
    <t>PULSILSACPA</t>
  </si>
  <si>
    <t>813754393</t>
  </si>
  <si>
    <t>Pulseira Silicone Sacudidos - ROYAL - BRANCA</t>
  </si>
  <si>
    <t>PULSILSACRB</t>
  </si>
  <si>
    <t>813754413</t>
  </si>
  <si>
    <t>Pulseira Silicone Sacudidos - VERDE - AMARELA</t>
  </si>
  <si>
    <t>PULSILSACVA</t>
  </si>
  <si>
    <t>813754427</t>
  </si>
  <si>
    <t>Pulseira Silicone Sacudidos - VERDE - BRANCA</t>
  </si>
  <si>
    <t>PULSILSACVB</t>
  </si>
  <si>
    <t>813754438</t>
  </si>
  <si>
    <t>Pulseira Silicone Sacudidos - VERMELHO ESCURO - BRANCA</t>
  </si>
  <si>
    <t>PULSILSACVEB</t>
  </si>
  <si>
    <t>813754407</t>
  </si>
  <si>
    <t>Pulseira Silicone Sacudidos - VERMELHO SANGUE - BRANCA</t>
  </si>
  <si>
    <t>PULSILSACVSB</t>
  </si>
  <si>
    <t>801497556</t>
  </si>
  <si>
    <t>801497559</t>
  </si>
  <si>
    <t>PURA RACA BONE MASC JEANS EST 1996</t>
  </si>
  <si>
    <t>801497552</t>
  </si>
  <si>
    <t>PURA RACA BONE MASC PURA RACA JEANS</t>
  </si>
  <si>
    <t>801497562</t>
  </si>
  <si>
    <t>PURA RACA BRINDE PDV</t>
  </si>
  <si>
    <t>887831604</t>
  </si>
  <si>
    <t>PURA RACA BRINDE SACOLAS DE PLASTICO 2024 KIT COM 10</t>
  </si>
  <si>
    <t>819132264</t>
  </si>
  <si>
    <t>PURA RACA CALCA FEM BOOT COORDENADO</t>
  </si>
  <si>
    <t>801497535</t>
  </si>
  <si>
    <t>PURA RACA CALCA FEM BOOT COUNTRY</t>
  </si>
  <si>
    <t>804531194</t>
  </si>
  <si>
    <t>PURA RACA CALCA FEM BOOT COUNTRY - STRASS</t>
  </si>
  <si>
    <t>801497541</t>
  </si>
  <si>
    <t>PURA RACA CALCA FEM BOOT COUNTRY BRILHO PENAS</t>
  </si>
  <si>
    <t>804529213</t>
  </si>
  <si>
    <t>PURA RACA CALCA FEM BOOT COUNTRY BRILHOS PENA</t>
  </si>
  <si>
    <t>801497538</t>
  </si>
  <si>
    <t>PURA RACA CALCA FEM BOOT COUNTRY CAVALO FLORES</t>
  </si>
  <si>
    <t>823119648</t>
  </si>
  <si>
    <t>PURA RACA CALCA FEM CARPINTERO</t>
  </si>
  <si>
    <t>823119663</t>
  </si>
  <si>
    <t>PURA RACA CALCA FEM INFANTO JUVENIL COUNTRY PREMIUM BOOT</t>
  </si>
  <si>
    <t>801497532</t>
  </si>
  <si>
    <t>PURA RACA CALCA FEM RETA COUNTRY</t>
  </si>
  <si>
    <t>801497549</t>
  </si>
  <si>
    <t>PURA RACA CALCA MASC COUNTRY BOLSO CANIVETE</t>
  </si>
  <si>
    <t>823119666</t>
  </si>
  <si>
    <t>PURA RACA CALCA MASC INFANTO JUVENIL RETA COUNTRY PREMIUM</t>
  </si>
  <si>
    <t>887831595</t>
  </si>
  <si>
    <t>PURA RACA CALCA MASC RETA CARPINTEIRO</t>
  </si>
  <si>
    <t>801497544</t>
  </si>
  <si>
    <t>PURA RACA CALCA MASC RETA COUNTRY</t>
  </si>
  <si>
    <t>823119651</t>
  </si>
  <si>
    <t>PURA RACA CALCA MASC RETA COUNTRY CARPINTEIRO</t>
  </si>
  <si>
    <t>887831600</t>
  </si>
  <si>
    <t>804529221</t>
  </si>
  <si>
    <t>PURA RACA CAMISETA MASC BASICA LOGOTIPO</t>
  </si>
  <si>
    <t>804529217</t>
  </si>
  <si>
    <t>PURA RACA CAMISETA MASC TEMA AUSTIN TEXAS</t>
  </si>
  <si>
    <t>804529224</t>
  </si>
  <si>
    <t>PURA RACA CAMISETA MASC TEMA EUA AMERICAN BRAND</t>
  </si>
  <si>
    <t>804529227</t>
  </si>
  <si>
    <t>PURA RACA CAMISETA MASC TEMA TEXAS AMERICAN BRAND</t>
  </si>
  <si>
    <t>823119657</t>
  </si>
  <si>
    <t>823119660</t>
  </si>
  <si>
    <t>887832124</t>
  </si>
  <si>
    <t>RASPADEIRA DE PLASTICO C/ALCA CORES</t>
  </si>
  <si>
    <t>827101762</t>
  </si>
  <si>
    <t>RASTRA - 138</t>
  </si>
  <si>
    <t>890057118</t>
  </si>
  <si>
    <t>827101759</t>
  </si>
  <si>
    <t>RASTRA - 318</t>
  </si>
  <si>
    <t>824805323</t>
  </si>
  <si>
    <t>Relho Mango Cavalo Rabo De Tatu Couro Trançado</t>
  </si>
  <si>
    <t>799590527</t>
  </si>
  <si>
    <t>SACHE DE CHA BLOOD BERRY</t>
  </si>
  <si>
    <t>800973719</t>
  </si>
  <si>
    <t>Sache de Chá Gourmate</t>
  </si>
  <si>
    <t>799590534</t>
  </si>
  <si>
    <t>SACHE DE CHA MOJITO</t>
  </si>
  <si>
    <t>799590530</t>
  </si>
  <si>
    <t>SACHE DE CHA PINA COLODA</t>
  </si>
  <si>
    <t>799590538</t>
  </si>
  <si>
    <t>SACHE DE CHA TROPICAL PEACH</t>
  </si>
  <si>
    <t>888006706</t>
  </si>
  <si>
    <t>SARJALISA</t>
  </si>
  <si>
    <t>888008320</t>
  </si>
  <si>
    <t>SARJA LISA  - 38</t>
  </si>
  <si>
    <t>SARJALISA-1</t>
  </si>
  <si>
    <t>888008323</t>
  </si>
  <si>
    <t>SARJA LISA  - 40</t>
  </si>
  <si>
    <t>SARJALISA-2</t>
  </si>
  <si>
    <t>888008326</t>
  </si>
  <si>
    <t>SARJA LISA  - 42</t>
  </si>
  <si>
    <t>SARJALISA-3</t>
  </si>
  <si>
    <t>888008329</t>
  </si>
  <si>
    <t>SARJA LISA  - 44</t>
  </si>
  <si>
    <t>SARJALISA-4</t>
  </si>
  <si>
    <t>888008332</t>
  </si>
  <si>
    <t>SARJA LISA  - 46</t>
  </si>
  <si>
    <t>SARJALISA-5</t>
  </si>
  <si>
    <t>888008317</t>
  </si>
  <si>
    <t>SARJA LISA  - 48</t>
  </si>
  <si>
    <t>SARJALISA-6</t>
  </si>
  <si>
    <t>803726619</t>
  </si>
  <si>
    <t>Sela Americana Patusca Marrom</t>
  </si>
  <si>
    <t>816032904</t>
  </si>
  <si>
    <t>SUPORTE COURO  PARA CHAPEU</t>
  </si>
  <si>
    <t>798183995</t>
  </si>
  <si>
    <t>Tapa Erva 346 - PP</t>
  </si>
  <si>
    <t>798876939</t>
  </si>
  <si>
    <t>Tapa Erva Costurado</t>
  </si>
  <si>
    <t>799590504</t>
  </si>
  <si>
    <t>TEMPERO CHIMICHURRI 110GR</t>
  </si>
  <si>
    <t>799590500</t>
  </si>
  <si>
    <t>TEMPERO ERVAS DE PROVENCE 110GR</t>
  </si>
  <si>
    <t>799590497</t>
  </si>
  <si>
    <t>TEMPERO LEMON PEPPER 110GR</t>
  </si>
  <si>
    <t>799590507</t>
  </si>
  <si>
    <t>TEMPERO MIX PRATICO 110GR</t>
  </si>
  <si>
    <t>807787261</t>
  </si>
  <si>
    <t>807787267</t>
  </si>
  <si>
    <t>TERERE TAQUARAL 500 G - MENTA</t>
  </si>
  <si>
    <t>804370090</t>
  </si>
  <si>
    <t>TINTA PARA LAÇO</t>
  </si>
  <si>
    <t>821620756</t>
  </si>
  <si>
    <t>TOUCA GORRO SACUDIDOS - CINZA</t>
  </si>
  <si>
    <t>821620759</t>
  </si>
  <si>
    <t>TOUCA GORRO SACUDIDOS - PRETO</t>
  </si>
  <si>
    <t>796092494</t>
  </si>
  <si>
    <t>Tshirt Basic Made In Mato Gola Careca Mescla Tamanho:G</t>
  </si>
  <si>
    <t>796092462</t>
  </si>
  <si>
    <t>Tshirt Basic Made In Mato Gola Careca Off White Tamanho:M</t>
  </si>
  <si>
    <t>796092465</t>
  </si>
  <si>
    <t>Tshirt Basic Made In Mato Gola Careca Off White Tamanho:P</t>
  </si>
  <si>
    <t>796092412</t>
  </si>
  <si>
    <t>TSHIRT BASIC MADE IN MATO PRETO Tamanho:GG</t>
  </si>
  <si>
    <t>796092419</t>
  </si>
  <si>
    <t>TSHIRT BASIC MADE IN MATO PRETO Tamanho:M</t>
  </si>
  <si>
    <t>796092447</t>
  </si>
  <si>
    <t>Tshirt Basic TC Made In Mato Gola Careca Marrom Tamanho:EG</t>
  </si>
  <si>
    <t>796092450</t>
  </si>
  <si>
    <t>Tshirt Carolina Made In Mato Branca Tamanho:P</t>
  </si>
  <si>
    <t>796092474</t>
  </si>
  <si>
    <t>Tshirt Estampada Feminina Peta Postal Made Tamanho:M</t>
  </si>
  <si>
    <t>796092468</t>
  </si>
  <si>
    <t>Tshirt Estampada Feminina Peta Postal Made Tamanho:P</t>
  </si>
  <si>
    <t>804370393</t>
  </si>
  <si>
    <t>VERNIZ PARA LAÇO</t>
  </si>
  <si>
    <t>Empréstimo Consignado</t>
  </si>
  <si>
    <t>Financiamento Tucson</t>
  </si>
  <si>
    <t xml:space="preserve">Itaú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</si>
</sst>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yyyy"/>
    <numFmt numFmtId="165" formatCode="[$R$ -416]#,##0.00"/>
    <numFmt numFmtId="166" formatCode="dd/MM/yyyy"/>
    <numFmt numFmtId="167" formatCode="mm&quot;/&quot;yyyy"/>
    <numFmt numFmtId="168" formatCode="mm/yyyy"/>
    <numFmt numFmtId="169" formatCode="&quot;$&quot;#,##0.00"/>
    <numFmt numFmtId="170" formatCode="d/m/yyyy"/>
    <numFmt numFmtId="171" formatCode="dd/mm/yyyy"/>
    <numFmt numFmtId="172" formatCode="dd&quot;/&quot;mm&quot;/&quot;yyyy"/>
  </numFmts>
  <fonts count="16">
    <font>
      <sz val="10.0"/>
      <color rgb="FF000000"/>
      <name val="Calibri"/>
      <scheme val="minor"/>
    </font>
    <font>
      <color theme="1"/>
      <name val="Calibri"/>
      <scheme val="minor"/>
    </font>
    <font>
      <sz val="8.0"/>
      <color theme="1"/>
      <name val="Calibri"/>
      <scheme val="minor"/>
    </font>
    <font>
      <b/>
      <color theme="1"/>
      <name val="Calibri"/>
      <scheme val="minor"/>
    </font>
    <font>
      <u/>
      <sz val="8.0"/>
      <color rgb="FF0000FF"/>
      <name val="Roboto"/>
    </font>
    <font/>
    <font>
      <color rgb="FFFFFFFF"/>
      <name val="Calibri"/>
      <scheme val="minor"/>
    </font>
    <font>
      <color rgb="FF666666"/>
      <name val="Calibri"/>
      <scheme val="minor"/>
    </font>
    <font>
      <b/>
      <sz val="8.0"/>
      <color theme="1"/>
      <name val="Calibri"/>
      <scheme val="minor"/>
    </font>
    <font>
      <b/>
      <sz val="10.0"/>
      <color theme="1"/>
      <name val="Calibri"/>
      <scheme val="minor"/>
    </font>
    <font>
      <sz val="10.0"/>
      <color theme="1"/>
      <name val="Calibri"/>
      <scheme val="minor"/>
    </font>
    <font>
      <sz val="11.0"/>
      <color rgb="FF000000"/>
      <name val="Calibri"/>
    </font>
    <font>
      <sz val="8.0"/>
      <color theme="1"/>
      <name val="Roboto"/>
    </font>
    <font>
      <color rgb="FF434343"/>
      <name val="Roboto"/>
    </font>
    <font>
      <color theme="1"/>
      <name val="Calibri"/>
    </font>
    <font>
      <color rgb="FFD4EDBC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D9EAD3"/>
        <bgColor rgb="FFD9EAD3"/>
      </patternFill>
    </fill>
    <fill>
      <patternFill patternType="solid">
        <fgColor rgb="FF11734B"/>
        <bgColor rgb="FF11734B"/>
      </patternFill>
    </fill>
  </fills>
  <borders count="51">
    <border/>
    <border>
      <left style="thick">
        <color rgb="FF434343"/>
      </left>
      <right style="thin">
        <color rgb="FF434343"/>
      </right>
      <top style="thick">
        <color rgb="FF434343"/>
      </top>
      <bottom style="thin">
        <color rgb="FF434343"/>
      </bottom>
    </border>
    <border>
      <right style="thin">
        <color rgb="FF434343"/>
      </right>
      <top style="thick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ck">
        <color rgb="FF434343"/>
      </top>
      <bottom style="thin">
        <color rgb="FF434343"/>
      </bottom>
    </border>
    <border>
      <left style="thin">
        <color rgb="FF434343"/>
      </left>
      <top style="thick">
        <color rgb="FF434343"/>
      </top>
      <bottom style="thin">
        <color rgb="FF434343"/>
      </bottom>
    </border>
    <border>
      <left style="thin">
        <color rgb="FF434343"/>
      </left>
      <right style="thick">
        <color rgb="FF434343"/>
      </right>
      <top style="thick">
        <color rgb="FF434343"/>
      </top>
      <bottom style="thin">
        <color rgb="FF434343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top style="thin">
        <color rgb="FFFFFFFF"/>
      </top>
      <bottom style="thin">
        <color rgb="FFFFFFFF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left style="thin">
        <color rgb="FF434343"/>
      </left>
      <right style="thick">
        <color rgb="FF434343"/>
      </right>
      <top style="thin">
        <color rgb="FF434343"/>
      </top>
      <bottom style="thin">
        <color rgb="FF434343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34343"/>
      </left>
      <right style="thick">
        <color rgb="FF000000"/>
      </right>
      <top style="thin">
        <color rgb="FF434343"/>
      </top>
      <bottom style="thin">
        <color rgb="FF434343"/>
      </bottom>
    </border>
    <border>
      <left style="thin">
        <color rgb="FFD9EAD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ck">
        <color rgb="FF434343"/>
      </left>
      <right style="thin">
        <color rgb="FF434343"/>
      </right>
      <top style="thin">
        <color rgb="FF434343"/>
      </top>
      <bottom style="thick">
        <color rgb="FF434343"/>
      </bottom>
    </border>
    <border>
      <right style="thin">
        <color rgb="FF434343"/>
      </right>
      <top style="thin">
        <color rgb="FF434343"/>
      </top>
      <bottom style="thick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ck">
        <color rgb="FF434343"/>
      </bottom>
    </border>
    <border>
      <left style="thin">
        <color rgb="FF434343"/>
      </left>
      <top style="thin">
        <color rgb="FF434343"/>
      </top>
      <bottom style="thick">
        <color rgb="FF434343"/>
      </bottom>
    </border>
    <border>
      <left style="thin">
        <color rgb="FF434343"/>
      </left>
      <right style="thick">
        <color rgb="FF434343"/>
      </right>
      <top style="thin">
        <color rgb="FF434343"/>
      </top>
      <bottom style="thick">
        <color rgb="FF434343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horizontal="left" readingOrder="0" shrinkToFit="0" vertical="center" wrapText="0"/>
    </xf>
    <xf borderId="0" fillId="0" fontId="3" numFmtId="49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166" xfId="0" applyAlignment="1" applyFont="1" applyNumberFormat="1">
      <alignment shrinkToFit="0" vertical="center" wrapText="0"/>
    </xf>
    <xf borderId="0" fillId="0" fontId="4" numFmtId="3" xfId="0" applyAlignment="1" applyFont="1" applyNumberFormat="1">
      <alignment horizontal="center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2" numFmtId="3" xfId="0" applyAlignment="1" applyFont="1" applyNumberFormat="1">
      <alignment horizontal="center" shrinkToFit="0" vertical="center" wrapText="0"/>
    </xf>
    <xf borderId="2" fillId="0" fontId="1" numFmtId="49" xfId="0" applyAlignment="1" applyBorder="1" applyFont="1" applyNumberForma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166" xfId="0" applyAlignment="1" applyBorder="1" applyFont="1" applyNumberFormat="1">
      <alignment readingOrder="0" shrinkToFit="0" vertical="center" wrapText="0"/>
    </xf>
    <xf borderId="3" fillId="0" fontId="1" numFmtId="167" xfId="0" applyAlignment="1" applyBorder="1" applyFont="1" applyNumberFormat="1">
      <alignment shrinkToFit="0" vertical="center" wrapText="0"/>
    </xf>
    <xf borderId="3" fillId="0" fontId="1" numFmtId="165" xfId="0" applyAlignment="1" applyBorder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4" fillId="0" fontId="1" numFmtId="165" xfId="0" applyAlignment="1" applyBorder="1" applyFont="1" applyNumberFormat="1">
      <alignment shrinkToFit="0" vertical="center" wrapText="0"/>
    </xf>
    <xf borderId="5" fillId="0" fontId="1" numFmtId="166" xfId="0" applyAlignment="1" applyBorder="1" applyFont="1" applyNumberFormat="1">
      <alignment readingOrder="0" shrinkToFit="0" vertical="center" wrapText="0"/>
    </xf>
    <xf borderId="6" fillId="0" fontId="3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Border="1" applyFont="1"/>
    <xf borderId="9" fillId="0" fontId="3" numFmtId="0" xfId="0" applyAlignment="1" applyBorder="1" applyFont="1">
      <alignment readingOrder="0"/>
    </xf>
    <xf borderId="10" fillId="0" fontId="5" numFmtId="0" xfId="0" applyBorder="1" applyFont="1"/>
    <xf borderId="11" fillId="0" fontId="3" numFmtId="0" xfId="0" applyAlignment="1" applyBorder="1" applyFont="1">
      <alignment readingOrder="0"/>
    </xf>
    <xf borderId="11" fillId="0" fontId="3" numFmtId="0" xfId="0" applyAlignment="1" applyBorder="1" applyFont="1">
      <alignment horizontal="center" readingOrder="0"/>
    </xf>
    <xf borderId="12" fillId="0" fontId="1" numFmtId="0" xfId="0" applyBorder="1" applyFont="1"/>
    <xf borderId="13" fillId="0" fontId="1" numFmtId="0" xfId="0" applyBorder="1" applyFont="1"/>
    <xf borderId="14" fillId="0" fontId="3" numFmtId="0" xfId="0" applyAlignment="1" applyBorder="1" applyFont="1">
      <alignment readingOrder="0"/>
    </xf>
    <xf borderId="15" fillId="2" fontId="6" numFmtId="2" xfId="0" applyBorder="1" applyFill="1" applyFont="1" applyNumberFormat="1"/>
    <xf borderId="16" fillId="0" fontId="3" numFmtId="0" xfId="0" applyAlignment="1" applyBorder="1" applyFont="1">
      <alignment readingOrder="0"/>
    </xf>
    <xf borderId="17" fillId="2" fontId="6" numFmtId="0" xfId="0" applyAlignment="1" applyBorder="1" applyFill="1" applyFont="1">
      <alignment readingOrder="0"/>
    </xf>
    <xf borderId="18" fillId="2" fontId="6" numFmtId="2" xfId="0" applyAlignment="1" applyBorder="1" applyFill="1" applyFont="1" applyNumberFormat="1">
      <alignment readingOrder="0"/>
    </xf>
    <xf borderId="19" fillId="2" fontId="6" numFmtId="2" xfId="0" applyAlignment="1" applyBorder="1" applyFill="1" applyFont="1" applyNumberFormat="1">
      <alignment readingOrder="0"/>
    </xf>
    <xf borderId="20" fillId="0" fontId="1" numFmtId="0" xfId="0" applyAlignment="1" applyBorder="1" applyFont="1">
      <alignment readingOrder="0" shrinkToFit="0" vertical="center" wrapText="0"/>
    </xf>
    <xf borderId="0" fillId="0" fontId="2" numFmtId="165" xfId="0" applyAlignment="1" applyFont="1" applyNumberFormat="1">
      <alignment shrinkToFit="0" vertical="center" wrapText="0"/>
    </xf>
    <xf borderId="21" fillId="2" fontId="6" numFmtId="0" xfId="0" applyBorder="1" applyFill="1" applyFont="1"/>
    <xf borderId="13" fillId="0" fontId="1" numFmtId="0" xfId="0" applyAlignment="1" applyBorder="1" applyFont="1">
      <alignment readingOrder="0"/>
    </xf>
    <xf borderId="22" fillId="0" fontId="1" numFmtId="49" xfId="0" applyAlignment="1" applyBorder="1" applyFont="1" applyNumberFormat="1">
      <alignment readingOrder="0" shrinkToFit="0" vertical="center" wrapText="0"/>
    </xf>
    <xf borderId="15" fillId="0" fontId="1" numFmtId="4" xfId="0" applyAlignment="1" applyBorder="1" applyFont="1" applyNumberFormat="1">
      <alignment readingOrder="0"/>
    </xf>
    <xf borderId="15" fillId="2" fontId="6" numFmtId="0" xfId="0" applyAlignment="1" applyBorder="1" applyFill="1" applyFont="1">
      <alignment readingOrder="0"/>
    </xf>
    <xf borderId="23" fillId="0" fontId="1" numFmtId="0" xfId="0" applyAlignment="1" applyBorder="1" applyFont="1">
      <alignment readingOrder="0" shrinkToFit="0" vertical="center" wrapText="0"/>
    </xf>
    <xf borderId="23" fillId="0" fontId="1" numFmtId="0" xfId="0" applyAlignment="1" applyBorder="1" applyFont="1">
      <alignment readingOrder="0" shrinkToFit="0" vertical="center" wrapText="0"/>
    </xf>
    <xf borderId="24" fillId="2" fontId="6" numFmtId="2" xfId="0" applyBorder="1" applyFill="1" applyFont="1" applyNumberFormat="1"/>
    <xf borderId="23" fillId="0" fontId="1" numFmtId="166" xfId="0" applyAlignment="1" applyBorder="1" applyFont="1" applyNumberFormat="1">
      <alignment readingOrder="0" shrinkToFit="0" vertical="center" wrapText="0"/>
    </xf>
    <xf borderId="0" fillId="0" fontId="2" numFmtId="165" xfId="0" applyFont="1" applyNumberFormat="1"/>
    <xf borderId="25" fillId="2" fontId="6" numFmtId="2" xfId="0" applyBorder="1" applyFill="1" applyFont="1" applyNumberFormat="1"/>
    <xf borderId="23" fillId="0" fontId="1" numFmtId="167" xfId="0" applyAlignment="1" applyBorder="1" applyFont="1" applyNumberFormat="1">
      <alignment shrinkToFit="0" vertical="center" wrapText="0"/>
    </xf>
    <xf borderId="23" fillId="0" fontId="1" numFmtId="165" xfId="0" applyAlignment="1" applyBorder="1" applyFont="1" applyNumberFormat="1">
      <alignment readingOrder="0" shrinkToFit="0" vertical="center" wrapText="0"/>
    </xf>
    <xf borderId="26" fillId="2" fontId="6" numFmtId="2" xfId="0" applyBorder="1" applyFill="1" applyFont="1" applyNumberFormat="1"/>
    <xf borderId="27" fillId="0" fontId="1" numFmtId="165" xfId="0" applyAlignment="1" applyBorder="1" applyFont="1" applyNumberFormat="1">
      <alignment shrinkToFit="0" vertical="center" wrapText="0"/>
    </xf>
    <xf borderId="28" fillId="0" fontId="1" numFmtId="166" xfId="0" applyAlignment="1" applyBorder="1" applyFont="1" applyNumberFormat="1">
      <alignment readingOrder="0" shrinkToFit="0" vertical="center" wrapText="0"/>
    </xf>
    <xf borderId="15" fillId="0" fontId="1" numFmtId="10" xfId="0" applyAlignment="1" applyBorder="1" applyFont="1" applyNumberFormat="1">
      <alignment readingOrder="0"/>
    </xf>
    <xf borderId="29" fillId="0" fontId="3" numFmtId="0" xfId="0" applyAlignment="1" applyBorder="1" applyFont="1">
      <alignment readingOrder="0"/>
    </xf>
    <xf borderId="30" fillId="2" fontId="6" numFmtId="0" xfId="0" applyAlignment="1" applyBorder="1" applyFill="1" applyFont="1">
      <alignment readingOrder="0"/>
    </xf>
    <xf borderId="25" fillId="2" fontId="7" numFmtId="2" xfId="0" applyBorder="1" applyFill="1" applyFont="1" applyNumberFormat="1"/>
    <xf borderId="26" fillId="2" fontId="7" numFmtId="2" xfId="0" applyBorder="1" applyFill="1" applyFont="1" applyNumberFormat="1"/>
    <xf borderId="12" fillId="0" fontId="1" numFmtId="0" xfId="0" applyAlignment="1" applyBorder="1" applyFont="1">
      <alignment readingOrder="0"/>
    </xf>
    <xf borderId="31" fillId="0" fontId="1" numFmtId="0" xfId="0" applyBorder="1" applyFont="1"/>
    <xf borderId="32" fillId="0" fontId="1" numFmtId="0" xfId="0" applyBorder="1" applyFont="1"/>
    <xf borderId="15" fillId="2" fontId="6" numFmtId="0" xfId="0" applyBorder="1" applyFill="1" applyFont="1"/>
    <xf borderId="0" fillId="0" fontId="2" numFmtId="168" xfId="0" applyAlignment="1" applyFont="1" applyNumberFormat="1">
      <alignment horizontal="center" readingOrder="0"/>
    </xf>
    <xf borderId="0" fillId="0" fontId="2" numFmtId="169" xfId="0" applyAlignment="1" applyFont="1" applyNumberFormat="1">
      <alignment readingOrder="0"/>
    </xf>
    <xf borderId="0" fillId="0" fontId="2" numFmtId="169" xfId="0" applyFont="1" applyNumberFormat="1"/>
    <xf borderId="33" fillId="2" fontId="6" numFmtId="2" xfId="0" applyBorder="1" applyFill="1" applyFont="1" applyNumberFormat="1"/>
    <xf borderId="34" fillId="2" fontId="6" numFmtId="2" xfId="0" applyBorder="1" applyFill="1" applyFont="1" applyNumberFormat="1"/>
    <xf borderId="35" fillId="2" fontId="6" numFmtId="2" xfId="0" applyBorder="1" applyFill="1" applyFont="1" applyNumberFormat="1"/>
    <xf borderId="0" fillId="0" fontId="2" numFmtId="49" xfId="0" applyAlignment="1" applyFont="1" applyNumberFormat="1">
      <alignment shrinkToFit="0" vertical="center" wrapText="0"/>
    </xf>
    <xf borderId="0" fillId="0" fontId="2" numFmtId="170" xfId="0" applyAlignment="1" applyFont="1" applyNumberFormat="1">
      <alignment readingOrder="0"/>
    </xf>
    <xf borderId="0" fillId="0" fontId="2" numFmtId="171" xfId="0" applyAlignment="1" applyFont="1" applyNumberFormat="1">
      <alignment readingOrder="0"/>
    </xf>
    <xf borderId="27" fillId="0" fontId="1" numFmtId="165" xfId="0" applyAlignment="1" applyBorder="1" applyFont="1" applyNumberFormat="1">
      <alignment readingOrder="0" shrinkToFit="0" vertical="center" wrapText="0"/>
    </xf>
    <xf borderId="0" fillId="0" fontId="2" numFmtId="165" xfId="0" applyAlignment="1" applyFont="1" applyNumberFormat="1">
      <alignment horizontal="right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0" xfId="0" applyFont="1"/>
    <xf borderId="0" fillId="0" fontId="8" numFmtId="0" xfId="0" applyAlignment="1" applyFont="1">
      <alignment readingOrder="0" shrinkToFit="0" vertical="center" wrapText="0"/>
    </xf>
    <xf borderId="0" fillId="0" fontId="8" numFmtId="165" xfId="0" applyAlignment="1" applyFont="1" applyNumberForma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0" xfId="0" applyFont="1"/>
    <xf borderId="0" fillId="0" fontId="2" numFmtId="172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172" xfId="0" applyAlignment="1" applyFont="1" applyNumberFormat="1">
      <alignment shrinkToFit="0" vertical="center" wrapText="0"/>
    </xf>
    <xf borderId="0" fillId="0" fontId="1" numFmtId="172" xfId="0" applyFont="1" applyNumberFormat="1"/>
    <xf borderId="0" fillId="0" fontId="2" numFmtId="171" xfId="0" applyAlignment="1" applyFont="1" applyNumberFormat="1">
      <alignment readingOrder="0" shrinkToFit="0" vertical="center" wrapText="0"/>
    </xf>
    <xf borderId="0" fillId="0" fontId="1" numFmtId="49" xfId="0" applyFont="1" applyNumberFormat="1"/>
    <xf borderId="0" fillId="0" fontId="1" numFmtId="165" xfId="0" applyFont="1" applyNumberFormat="1"/>
    <xf borderId="0" fillId="0" fontId="1" numFmtId="165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69" xfId="0" applyFont="1" applyNumberFormat="1"/>
    <xf borderId="0" fillId="0" fontId="2" numFmtId="172" xfId="0" applyAlignment="1" applyFont="1" applyNumberFormat="1">
      <alignment readingOrder="0" shrinkToFit="0" vertical="center" wrapText="0"/>
    </xf>
    <xf borderId="0" fillId="0" fontId="2" numFmtId="170" xfId="0" applyAlignment="1" applyFont="1" applyNumberFormat="1">
      <alignment readingOrder="0" shrinkToFit="0" vertical="center" wrapText="0"/>
    </xf>
    <xf borderId="0" fillId="0" fontId="2" numFmtId="172" xfId="0" applyAlignment="1" applyFont="1" applyNumberFormat="1">
      <alignment readingOrder="0"/>
    </xf>
    <xf borderId="0" fillId="0" fontId="8" numFmtId="0" xfId="0" applyAlignment="1" applyFont="1">
      <alignment shrinkToFit="0" vertical="center" wrapText="0"/>
    </xf>
    <xf borderId="0" fillId="0" fontId="8" numFmtId="165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171" xfId="0" applyAlignment="1" applyFont="1" applyNumberFormat="1">
      <alignment readingOrder="0" shrinkToFit="0" vertical="center" wrapText="0"/>
    </xf>
    <xf borderId="0" fillId="0" fontId="8" numFmtId="165" xfId="0" applyFont="1" applyNumberFormat="1"/>
    <xf borderId="0" fillId="0" fontId="8" numFmtId="165" xfId="0" applyAlignment="1" applyFont="1" applyNumberFormat="1">
      <alignment readingOrder="0"/>
    </xf>
    <xf borderId="6" fillId="0" fontId="9" numFmtId="0" xfId="0" applyAlignment="1" applyBorder="1" applyFont="1">
      <alignment horizontal="center" readingOrder="0"/>
    </xf>
    <xf borderId="36" fillId="0" fontId="9" numFmtId="0" xfId="0" applyAlignment="1" applyBorder="1" applyFont="1">
      <alignment horizontal="center" readingOrder="0"/>
    </xf>
    <xf borderId="37" fillId="0" fontId="5" numFmtId="0" xfId="0" applyBorder="1" applyFont="1"/>
    <xf borderId="38" fillId="0" fontId="9" numFmtId="0" xfId="0" applyAlignment="1" applyBorder="1" applyFont="1">
      <alignment horizontal="center" readingOrder="0"/>
    </xf>
    <xf borderId="7" fillId="0" fontId="9" numFmtId="0" xfId="0" applyAlignment="1" applyBorder="1" applyFont="1">
      <alignment horizontal="center" readingOrder="0"/>
    </xf>
    <xf borderId="0" fillId="0" fontId="10" numFmtId="0" xfId="0" applyFont="1"/>
    <xf borderId="14" fillId="0" fontId="10" numFmtId="0" xfId="0" applyAlignment="1" applyBorder="1" applyFont="1">
      <alignment readingOrder="0"/>
    </xf>
    <xf borderId="39" fillId="0" fontId="10" numFmtId="0" xfId="0" applyAlignment="1" applyBorder="1" applyFont="1">
      <alignment horizontal="center" readingOrder="0"/>
    </xf>
    <xf borderId="29" fillId="0" fontId="10" numFmtId="0" xfId="0" applyAlignment="1" applyBorder="1" applyFont="1">
      <alignment readingOrder="0"/>
    </xf>
    <xf borderId="40" fillId="0" fontId="10" numFmtId="0" xfId="0" applyAlignment="1" applyBorder="1" applyFont="1">
      <alignment horizontal="center" readingOrder="0"/>
    </xf>
    <xf borderId="41" fillId="0" fontId="10" numFmtId="0" xfId="0" applyBorder="1" applyFont="1"/>
    <xf borderId="41" fillId="0" fontId="10" numFmtId="0" xfId="0" applyAlignment="1" applyBorder="1" applyFont="1">
      <alignment readingOrder="0"/>
    </xf>
    <xf borderId="42" fillId="0" fontId="10" numFmtId="0" xfId="0" applyBorder="1" applyFont="1"/>
    <xf borderId="43" fillId="0" fontId="10" numFmtId="0" xfId="0" applyBorder="1" applyFont="1"/>
    <xf borderId="39" fillId="0" fontId="10" numFmtId="0" xfId="0" applyBorder="1" applyFont="1"/>
    <xf borderId="20" fillId="0" fontId="1" numFmtId="49" xfId="0" applyAlignment="1" applyBorder="1" applyFont="1" applyNumberFormat="1">
      <alignment readingOrder="0" shrinkToFit="0" vertical="center" wrapText="0"/>
    </xf>
    <xf borderId="23" fillId="0" fontId="1" numFmtId="49" xfId="0" applyAlignment="1" applyBorder="1" applyFont="1" applyNumberFormat="1">
      <alignment readingOrder="0" shrinkToFit="0" vertical="center" wrapText="0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22" fillId="0" fontId="1" numFmtId="49" xfId="0" applyAlignment="1" applyBorder="1" applyFont="1" applyNumberFormat="1">
      <alignment shrinkToFit="0" vertical="center" wrapText="0"/>
    </xf>
    <xf borderId="39" fillId="0" fontId="12" numFmtId="0" xfId="0" applyAlignment="1" applyBorder="1" applyFont="1">
      <alignment readingOrder="0"/>
    </xf>
    <xf borderId="39" fillId="0" fontId="12" numFmtId="0" xfId="0" applyBorder="1" applyFont="1"/>
    <xf borderId="0" fillId="0" fontId="12" numFmtId="0" xfId="0" applyFont="1"/>
    <xf borderId="0" fillId="0" fontId="12" numFmtId="0" xfId="0" applyAlignment="1" applyFont="1">
      <alignment readingOrder="0"/>
    </xf>
    <xf borderId="44" fillId="0" fontId="1" numFmtId="166" xfId="0" applyAlignment="1" applyBorder="1" applyFont="1" applyNumberFormat="1">
      <alignment readingOrder="0" shrinkToFit="0" vertical="center" wrapText="0"/>
    </xf>
    <xf borderId="0" fillId="0" fontId="1" numFmtId="168" xfId="0" applyAlignment="1" applyFont="1" applyNumberFormat="1">
      <alignment readingOrder="0"/>
    </xf>
    <xf borderId="20" fillId="3" fontId="13" numFmtId="49" xfId="0" applyAlignment="1" applyBorder="1" applyFill="1" applyFont="1" applyNumberFormat="1">
      <alignment shrinkToFit="0" vertical="center" wrapText="0"/>
    </xf>
    <xf borderId="22" fillId="3" fontId="14" numFmtId="49" xfId="0" applyAlignment="1" applyBorder="1" applyFill="1" applyFont="1" applyNumberFormat="1">
      <alignment shrinkToFit="0" vertical="center" wrapText="0"/>
    </xf>
    <xf borderId="23" fillId="3" fontId="13" numFmtId="49" xfId="0" applyAlignment="1" applyBorder="1" applyFill="1" applyFont="1" applyNumberFormat="1">
      <alignment shrinkToFit="0" vertical="center" wrapText="0"/>
    </xf>
    <xf borderId="23" fillId="4" fontId="15" numFmtId="0" xfId="0" applyAlignment="1" applyBorder="1" applyFill="1" applyFont="1">
      <alignment shrinkToFit="0" vertical="center" wrapText="0"/>
    </xf>
    <xf borderId="20" fillId="3" fontId="13" numFmtId="49" xfId="0" applyAlignment="1" applyBorder="1" applyFill="1" applyFont="1" applyNumberFormat="1">
      <alignment readingOrder="0" shrinkToFit="0" vertical="center" wrapText="0"/>
    </xf>
    <xf borderId="23" fillId="3" fontId="13" numFmtId="49" xfId="0" applyAlignment="1" applyBorder="1" applyFill="1" applyFont="1" applyNumberFormat="1">
      <alignment readingOrder="0" shrinkToFit="0" vertical="center" wrapText="0"/>
    </xf>
    <xf borderId="23" fillId="4" fontId="15" numFmtId="0" xfId="0" applyAlignment="1" applyBorder="1" applyFill="1" applyFont="1">
      <alignment readingOrder="0" shrinkToFit="0" vertical="center" wrapText="0"/>
    </xf>
    <xf borderId="28" fillId="0" fontId="1" numFmtId="166" xfId="0" applyAlignment="1" applyBorder="1" applyFont="1" applyNumberFormat="1">
      <alignment shrinkToFit="0" vertical="center" wrapText="0"/>
    </xf>
    <xf borderId="45" fillId="0" fontId="1" numFmtId="49" xfId="0" applyAlignment="1" applyBorder="1" applyFont="1" applyNumberFormat="1">
      <alignment readingOrder="0" shrinkToFit="0" vertical="center" wrapText="0"/>
    </xf>
    <xf borderId="20" fillId="0" fontId="1" numFmtId="49" xfId="0" applyAlignment="1" applyBorder="1" applyFont="1" applyNumberFormat="1">
      <alignment shrinkToFit="0" vertical="center" wrapText="0"/>
    </xf>
    <xf borderId="23" fillId="0" fontId="1" numFmtId="49" xfId="0" applyAlignment="1" applyBorder="1" applyFont="1" applyNumberFormat="1">
      <alignment shrinkToFit="0" vertical="center" wrapText="0"/>
    </xf>
    <xf borderId="23" fillId="0" fontId="1" numFmtId="166" xfId="0" applyAlignment="1" applyBorder="1" applyFont="1" applyNumberFormat="1">
      <alignment shrinkToFit="0" vertical="center" wrapText="0"/>
    </xf>
    <xf borderId="23" fillId="0" fontId="1" numFmtId="165" xfId="0" applyAlignment="1" applyBorder="1" applyFont="1" applyNumberFormat="1">
      <alignment shrinkToFit="0" vertical="center" wrapText="0"/>
    </xf>
    <xf borderId="46" fillId="0" fontId="1" numFmtId="49" xfId="0" applyAlignment="1" applyBorder="1" applyFont="1" applyNumberFormat="1">
      <alignment shrinkToFit="0" vertical="center" wrapText="0"/>
    </xf>
    <xf borderId="47" fillId="0" fontId="1" numFmtId="49" xfId="0" applyAlignment="1" applyBorder="1" applyFont="1" applyNumberFormat="1">
      <alignment shrinkToFit="0" vertical="center" wrapText="0"/>
    </xf>
    <xf borderId="48" fillId="0" fontId="1" numFmtId="49" xfId="0" applyAlignment="1" applyBorder="1" applyFont="1" applyNumberFormat="1">
      <alignment shrinkToFit="0" vertical="center" wrapText="0"/>
    </xf>
    <xf borderId="48" fillId="0" fontId="1" numFmtId="0" xfId="0" applyAlignment="1" applyBorder="1" applyFont="1">
      <alignment readingOrder="0" shrinkToFit="0" vertical="center" wrapText="0"/>
    </xf>
    <xf borderId="48" fillId="0" fontId="1" numFmtId="166" xfId="0" applyAlignment="1" applyBorder="1" applyFont="1" applyNumberFormat="1">
      <alignment shrinkToFit="0" vertical="center" wrapText="0"/>
    </xf>
    <xf borderId="48" fillId="0" fontId="1" numFmtId="167" xfId="0" applyAlignment="1" applyBorder="1" applyFont="1" applyNumberFormat="1">
      <alignment shrinkToFit="0" vertical="center" wrapText="0"/>
    </xf>
    <xf borderId="48" fillId="0" fontId="1" numFmtId="165" xfId="0" applyAlignment="1" applyBorder="1" applyFont="1" applyNumberFormat="1">
      <alignment shrinkToFit="0" vertical="center" wrapText="0"/>
    </xf>
    <xf borderId="49" fillId="0" fontId="1" numFmtId="165" xfId="0" applyAlignment="1" applyBorder="1" applyFont="1" applyNumberFormat="1">
      <alignment shrinkToFit="0" vertical="center" wrapText="0"/>
    </xf>
    <xf borderId="50" fillId="0" fontId="1" numFmtId="166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18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90562C"/>
          <bgColor rgb="FF90562C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>
        <color rgb="FF38761D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  <tableStyles count="15">
    <tableStyle count="2" pivot="0" name="Mês a Mês-style">
      <tableStyleElement dxfId="1" type="firstRowStripe"/>
      <tableStyleElement dxfId="2" type="secondRowStripe"/>
    </tableStyle>
    <tableStyle count="4" pivot="0" name="Controle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Dashboard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Dashboard-style 2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Dashboard-style 3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Dashboard-style 4">
      <tableStyleElement dxfId="5" type="headerRow"/>
      <tableStyleElement dxfId="1" type="firstRowStripe"/>
      <tableStyleElement dxfId="6" type="secondRowStripe"/>
      <tableStyleElement dxfId="4" size="0" type="wholeTable"/>
    </tableStyle>
    <tableStyle count="4" pivot="0" name="Dashboard-style 5">
      <tableStyleElement dxfId="5" type="headerRow"/>
      <tableStyleElement dxfId="1" type="firstRowStripe"/>
      <tableStyleElement dxfId="2" type="secondRowStripe"/>
      <tableStyleElement dxfId="4" size="0" type="wholeTable"/>
    </tableStyle>
    <tableStyle count="4" pivot="0" name="Dashboard-style 6">
      <tableStyleElement dxfId="5" type="headerRow"/>
      <tableStyleElement dxfId="1" type="firstRowStripe"/>
      <tableStyleElement dxfId="2" type="secondRowStripe"/>
      <tableStyleElement dxfId="4" size="0" type="wholeTable"/>
    </tableStyle>
    <tableStyle count="4" pivot="0" name="Dashboard-style 7">
      <tableStyleElement dxfId="5" type="headerRow"/>
      <tableStyleElement dxfId="1" type="firstRowStripe"/>
      <tableStyleElement dxfId="2" type="secondRowStripe"/>
      <tableStyleElement dxfId="4" size="0" type="wholeTable"/>
    </tableStyle>
    <tableStyle count="4" pivot="0" name="Dashboard-style 8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5" pivot="0" name="Dashboard-style 9">
      <tableStyleElement dxfId="3" type="headerRow"/>
      <tableStyleElement dxfId="1" type="firstRowStripe"/>
      <tableStyleElement dxfId="2" type="secondRowStripe"/>
      <tableStyleElement dxfId="7" type="totalRow"/>
      <tableStyleElement dxfId="4" size="0" type="wholeTable"/>
    </tableStyle>
    <tableStyle count="5" pivot="0" name="Dashboard-style 10">
      <tableStyleElement dxfId="3" type="headerRow"/>
      <tableStyleElement dxfId="1" type="firstRowStripe"/>
      <tableStyleElement dxfId="2" type="secondRowStripe"/>
      <tableStyleElement dxfId="8" type="totalRow"/>
      <tableStyleElement dxfId="4" size="0" type="wholeTable"/>
    </tableStyle>
    <tableStyle count="3" pivot="0" name="Dashboard-style 11">
      <tableStyleElement dxfId="2" type="firstRowStripe"/>
      <tableStyleElement dxfId="1" type="secondRowStripe"/>
      <tableStyleElement dxfId="7" type="totalRow"/>
    </tableStyle>
    <tableStyle count="5" pivot="0" name="Dashboard-style 12">
      <tableStyleElement dxfId="3" type="headerRow"/>
      <tableStyleElement dxfId="1" type="firstRowStripe"/>
      <tableStyleElement dxfId="2" type="secondRowStripe"/>
      <tableStyleElement dxfId="8" type="totalRow"/>
      <tableStyleElement dxfId="4" size="0" type="wholeTable"/>
    </tableStyle>
    <tableStyle count="3" pivot="0" name="Dashboard-style 13">
      <tableStyleElement dxfId="2" type="firstRowStripe"/>
      <tableStyleElement dxfId="1" type="secondRowStripe"/>
      <tableStyleElement dxfId="7" type="totalRow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E1:I13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Mês a Mês-style" showColumnStripes="0" showFirstColumn="1" showLastColumn="1" showRowStripes="1"/>
</table>
</file>

<file path=xl/tables/table2.xml><?xml version="1.0" encoding="utf-8"?>
<table xmlns="http://schemas.openxmlformats.org/spreadsheetml/2006/main" ref="A1:B4" displayName="Mês_atual" name="Mês_atual" id="3">
  <tableColumns count="2">
    <tableColumn name="Mês" id="1"/>
    <tableColumn name="9/2026" id="2"/>
  </tableColumns>
  <tableStyleInfo name="Dashboard-style" showColumnStripes="0" showFirstColumn="1" showLastColumn="1" showRowStripes="1"/>
</table>
</file>

<file path=xl/tables/table3.xml><?xml version="1.0" encoding="utf-8"?>
<table xmlns="http://schemas.openxmlformats.org/spreadsheetml/2006/main" ref="E1:J19" displayName="Vencimentos" name="Vencimentos" id="4">
  <tableColumns count="6">
    <tableColumn name="Vencimento" id="1"/>
    <tableColumn name="Link" id="2"/>
    <tableColumn name="Contas" id="3"/>
    <tableColumn name="Pago" id="4"/>
    <tableColumn name="Á Pagar" id="5"/>
    <tableColumn name="Total" id="6"/>
  </tableColumns>
  <tableStyleInfo name="Dashboard-style 2" showColumnStripes="0" showFirstColumn="1" showLastColumn="1" showRowStripes="1"/>
</table>
</file>

<file path=xl/tables/table4.xml><?xml version="1.0" encoding="utf-8"?>
<table xmlns="http://schemas.openxmlformats.org/spreadsheetml/2006/main" ref="L1:O13" displayName="Por_Mês" name="Por_Mês" id="5">
  <tableColumns count="4">
    <tableColumn name="Mês" id="1"/>
    <tableColumn name="A pagar" id="2"/>
    <tableColumn name="Pago" id="3"/>
    <tableColumn name="Falta" id="4"/>
  </tableColumns>
  <tableStyleInfo name="Dashboard-style 3" showColumnStripes="0" showFirstColumn="1" showLastColumn="1" showRowStripes="1"/>
</table>
</file>

<file path=xl/tables/table5.xml><?xml version="1.0" encoding="utf-8"?>
<table xmlns="http://schemas.openxmlformats.org/spreadsheetml/2006/main" ref="Q1:T19" displayName="Dívidas" name="Dívidas" id="6">
  <tableColumns count="4">
    <tableColumn name="Credor" id="1"/>
    <tableColumn name="Pago" id="2"/>
    <tableColumn name="Devendo" id="3"/>
    <tableColumn name="Total" id="4"/>
  </tableColumns>
  <tableStyleInfo name="Dashboard-style 4" showColumnStripes="0" showFirstColumn="1" showLastColumn="1" showRowStripes="1"/>
</table>
</file>

<file path=xl/tables/table6.xml><?xml version="1.0" encoding="utf-8"?>
<table xmlns="http://schemas.openxmlformats.org/spreadsheetml/2006/main" ref="V1:Y19" displayName="Fornecedores" name="Fornecedores" id="7">
  <tableColumns count="4">
    <tableColumn name="Fornecedor" id="1"/>
    <tableColumn name="Pago" id="2"/>
    <tableColumn name="Devendo" id="3"/>
    <tableColumn name="Total" id="4"/>
  </tableColumns>
  <tableStyleInfo name="Dashboard-style 5" showColumnStripes="0" showFirstColumn="1" showLastColumn="1" showRowStripes="1"/>
</table>
</file>

<file path=xl/tables/table7.xml><?xml version="1.0" encoding="utf-8"?>
<table xmlns="http://schemas.openxmlformats.org/spreadsheetml/2006/main" ref="AA1:AB19" displayName="Tabela_1" name="Tabela_1" id="8">
  <tableColumns count="2">
    <tableColumn name="Destino" id="1"/>
    <tableColumn name="Pago" id="2"/>
  </tableColumns>
  <tableStyleInfo name="Dashboard-style 6" showColumnStripes="0" showFirstColumn="1" showLastColumn="1" showRowStripes="1"/>
</table>
</file>

<file path=xl/tables/table8.xml><?xml version="1.0" encoding="utf-8"?>
<table xmlns="http://schemas.openxmlformats.org/spreadsheetml/2006/main" ref="AD1:AE19" displayName="Por_Categoria" name="Por_Categoria" id="9">
  <tableColumns count="2">
    <tableColumn name="Categorias" id="1"/>
    <tableColumn name="Pago" id="2"/>
  </tableColumns>
  <tableStyleInfo name="Dashboard-style 7" showColumnStripes="0" showFirstColumn="1" showLastColumn="1" showRowStripes="1"/>
</table>
</file>

<file path=xl/tables/table9.xml><?xml version="1.0" encoding="utf-8"?>
<table xmlns="http://schemas.openxmlformats.org/spreadsheetml/2006/main" ref="A7:C19" displayName="Saldos" name="Saldos" id="10">
  <tableColumns count="3">
    <tableColumn name="Local" id="1"/>
    <tableColumn name="Valor" id="2"/>
    <tableColumn name="Aplicação" id="3"/>
  </tableColumns>
  <tableStyleInfo name="Dashboard-style 8" showColumnStripes="0" showFirstColumn="1" showLastColumn="1" showRowStripes="1"/>
</table>
</file>

<file path=xl/tables/table10.xml><?xml version="1.0" encoding="utf-8"?>
<table xmlns="http://schemas.openxmlformats.org/spreadsheetml/2006/main" totalsRowCount="1" ref="A22:H38" displayName="Santander" name="Santander" id="11">
  <tableColumns count="8">
    <tableColumn name="Usado" id="1"/>
    <tableColumn totalsRowFunction="custom" name="Parcela" id="2"/>
    <tableColumn name="Column 8" id="3"/>
    <tableColumn name="Vezes" id="4"/>
    <tableColumn name="Pendentes" id="5"/>
    <tableColumn totalsRowFunction="custom" name="Total Pendente" id="6"/>
    <tableColumn name="Pagas" id="7"/>
    <tableColumn totalsRowFunction="custom" name="Total Pago" id="8"/>
  </tableColumns>
  <tableStyleInfo name="Dashboard-style 9" showColumnStripes="0" showFirstColumn="1" showLastColumn="1" showRowStripes="1"/>
</table>
</file>

<file path=xl/tables/table11.xml><?xml version="1.0" encoding="utf-8"?>
<table xmlns="http://schemas.openxmlformats.org/spreadsheetml/2006/main" totalsRowCount="1" ref="A41:H47" displayName="Itaú" name="Itaú" id="12">
  <tableColumns count="8">
    <tableColumn totalsRowLabel="25/08/2025" name="Usado" id="1"/>
    <tableColumn totalsRowLabel="R$ 533.34" name="Parcela" id="2"/>
    <tableColumn name="Column 8" id="3"/>
    <tableColumn totalsRowLabel="3" name="Vezes" id="4"/>
    <tableColumn totalsRowFunction="custom" name="Pendentes" id="5"/>
    <tableColumn totalsRowFunction="custom" name="Total Pendente" id="6"/>
    <tableColumn totalsRowFunction="custom" name="Pagas" id="7"/>
    <tableColumn totalsRowFunction="custom" name="Total Pago" id="8"/>
  </tableColumns>
  <tableStyleInfo name="Dashboard-style 10" showColumnStripes="0" showFirstColumn="1" showLastColumn="1" showRowStripes="1"/>
</table>
</file>

<file path=xl/tables/table12.xml><?xml version="1.0" encoding="utf-8"?>
<table xmlns="http://schemas.openxmlformats.org/spreadsheetml/2006/main" totalsRowCount="1" headerRowCount="0" ref="A48:H48" displayName="Table_2" name="Table_2" id="13">
  <tableColumns count="8">
    <tableColumn name="Column1" id="1"/>
    <tableColumn totalsRowFunction="custom" name="Column2" id="2"/>
    <tableColumn name="Column3" id="3"/>
    <tableColumn name="Column4" id="4"/>
    <tableColumn name="Column5" id="5"/>
    <tableColumn totalsRowFunction="custom" name="Column6" id="6"/>
    <tableColumn name="Column7" id="7"/>
    <tableColumn totalsRowFunction="custom" name="Column8" id="8"/>
  </tableColumns>
  <tableStyleInfo name="Dashboard-style 11" showColumnStripes="0" showFirstColumn="1" showLastColumn="1" showRowStripes="1"/>
</table>
</file>

<file path=xl/tables/table13.xml><?xml version="1.0" encoding="utf-8"?>
<table xmlns="http://schemas.openxmlformats.org/spreadsheetml/2006/main" totalsRowCount="1" ref="A51:H58" displayName="Nubank" name="Nubank" id="14">
  <tableColumns count="8">
    <tableColumn totalsRowLabel="15/10/2024" name="Usado" id="1"/>
    <tableColumn totalsRowLabel="R$ 216.67" name="Parcela" id="2"/>
    <tableColumn name="Column 8" id="3"/>
    <tableColumn totalsRowLabel="3" name="Vezes" id="4"/>
    <tableColumn totalsRowFunction="custom" name="Pendentes" id="5"/>
    <tableColumn totalsRowFunction="custom" name="Total Pendente" id="6"/>
    <tableColumn totalsRowFunction="custom" name="Pagas" id="7"/>
    <tableColumn totalsRowFunction="custom" name="Total Pago" id="8"/>
  </tableColumns>
  <tableStyleInfo name="Dashboard-style 12" showColumnStripes="0" showFirstColumn="1" showLastColumn="1" showRowStripes="1"/>
</table>
</file>

<file path=xl/tables/table14.xml><?xml version="1.0" encoding="utf-8"?>
<table xmlns="http://schemas.openxmlformats.org/spreadsheetml/2006/main" totalsRowCount="1" headerRowCount="0" ref="A59:H59" displayName="Table_3" name="Table_3" id="15">
  <tableColumns count="8">
    <tableColumn name="Column1" id="1"/>
    <tableColumn totalsRowFunction="custom" name="Column2" id="2"/>
    <tableColumn name="Column3" id="3"/>
    <tableColumn name="Column4" id="4"/>
    <tableColumn name="Column5" id="5"/>
    <tableColumn totalsRowFunction="custom" name="Column6" id="6"/>
    <tableColumn name="Column7" id="7"/>
    <tableColumn totalsRowFunction="custom" name="Column8" id="8"/>
  </tableColumns>
  <tableStyleInfo name="Dashboard-style 13" showColumnStripes="0" showFirstColumn="1" showLastColumn="1" showRowStripes="1"/>
</table>
</file>

<file path=xl/tables/table15.xml><?xml version="1.0" encoding="utf-8"?>
<table xmlns="http://schemas.openxmlformats.org/spreadsheetml/2006/main" ref="A1:AD1971" displayName="Contas" name="Contas" id="2">
  <autoFilter ref="$A$1:$AD$1971"/>
  <tableColumns count="30">
    <tableColumn name="Conta" id="1"/>
    <tableColumn name="Local" id="2"/>
    <tableColumn name="Tipo" id="3"/>
    <tableColumn name="Categoria" id="4"/>
    <tableColumn name="Vencimento" id="5"/>
    <tableColumn name="Mês" id="6"/>
    <tableColumn name="Valor" id="7"/>
    <tableColumn name="Valor Pago" id="8"/>
    <tableColumn name="Data Pagamento" id="9"/>
    <tableColumn name="Coluna 2" id="10"/>
    <tableColumn name="Coluna 3" id="11"/>
    <tableColumn name="Coluna 4" id="12"/>
    <tableColumn name="Coluna 5" id="13"/>
    <tableColumn name="Coluna 6" id="14"/>
    <tableColumn name="Coluna 7" id="15"/>
    <tableColumn name="Coluna 8" id="16"/>
    <tableColumn name="Coluna 9" id="17"/>
    <tableColumn name="Coluna 10" id="18"/>
    <tableColumn name="Coluna 11" id="19"/>
    <tableColumn name="Coluna 12" id="20"/>
    <tableColumn name="Coluna 13" id="21"/>
    <tableColumn name="Coluna 14" id="22"/>
    <tableColumn name="Coluna 15" id="23"/>
    <tableColumn name="Coluna 16" id="24"/>
    <tableColumn name="Coluna 17" id="25"/>
    <tableColumn name="Coluna 18" id="26"/>
    <tableColumn name="Coluna 19" id="27"/>
    <tableColumn name="Coluna 20" id="28"/>
    <tableColumn name="Coluna 21" id="29"/>
    <tableColumn name="Coluna 22" id="30"/>
  </tableColumns>
  <tableStyleInfo name="Contro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7.xml"/><Relationship Id="rId22" Type="http://schemas.openxmlformats.org/officeDocument/2006/relationships/table" Target="../tables/table9.xml"/><Relationship Id="rId21" Type="http://schemas.openxmlformats.org/officeDocument/2006/relationships/table" Target="../tables/table8.xml"/><Relationship Id="rId24" Type="http://schemas.openxmlformats.org/officeDocument/2006/relationships/table" Target="../tables/table11.xml"/><Relationship Id="rId23" Type="http://schemas.openxmlformats.org/officeDocument/2006/relationships/table" Target="../tables/table10.xml"/><Relationship Id="rId1" Type="http://schemas.openxmlformats.org/officeDocument/2006/relationships/drawing" Target="../drawings/drawing2.xml"/><Relationship Id="rId15" Type="http://schemas.openxmlformats.org/officeDocument/2006/relationships/table" Target="../tables/table2.xml"/><Relationship Id="rId26" Type="http://schemas.openxmlformats.org/officeDocument/2006/relationships/table" Target="../tables/table13.xml"/><Relationship Id="rId25" Type="http://schemas.openxmlformats.org/officeDocument/2006/relationships/table" Target="../tables/table12.xml"/><Relationship Id="rId17" Type="http://schemas.openxmlformats.org/officeDocument/2006/relationships/table" Target="../tables/table4.xml"/><Relationship Id="rId16" Type="http://schemas.openxmlformats.org/officeDocument/2006/relationships/table" Target="../tables/table3.xml"/><Relationship Id="rId27" Type="http://schemas.openxmlformats.org/officeDocument/2006/relationships/table" Target="../tables/table14.xml"/><Relationship Id="rId19" Type="http://schemas.openxmlformats.org/officeDocument/2006/relationships/table" Target="../tables/table6.xml"/><Relationship Id="rId18" Type="http://schemas.openxmlformats.org/officeDocument/2006/relationships/table" Target="../tables/table5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2</v>
      </c>
      <c r="B1" s="1" t="s">
        <v>3</v>
      </c>
      <c r="C1" s="1" t="s">
        <v>4</v>
      </c>
      <c r="E1" s="3" t="s">
        <v>6</v>
      </c>
      <c r="F1" s="3" t="s">
        <v>8</v>
      </c>
      <c r="G1" s="3" t="s">
        <v>9</v>
      </c>
      <c r="H1" s="3" t="s">
        <v>10</v>
      </c>
      <c r="I1" s="3" t="s">
        <v>11</v>
      </c>
    </row>
    <row r="2">
      <c r="A2" s="1" t="s">
        <v>13</v>
      </c>
      <c r="B2" s="1">
        <v>7297.86</v>
      </c>
      <c r="C2" s="1">
        <v>7297.86</v>
      </c>
      <c r="E2" s="4" t="str">
        <f>IFERROR(__xludf.DUMMYFUNCTION("QUERY(UNIQUE(FILTER(Controle!F2:F1000,Controle!F2:F1000&lt;&gt;"""",Controle!E2:E1000&gt;=DATE(YEAR(EDATE(TODAY(),-1)),MONTH(EDATE(TODAY(),-1)),""01""))),""LIMIT 12"")"),"7/2026")</f>
        <v>7/2026</v>
      </c>
      <c r="F2" s="4">
        <f>SUMIFS(Controle!G:G,Controle!F:F,CONCAT("=",$E2),Controle!H:H,"=0")</f>
        <v>0</v>
      </c>
      <c r="G2" s="4">
        <f t="shared" ref="G2:G13" si="1">$B$10-$F2</f>
        <v>8297.86</v>
      </c>
      <c r="H2" s="4">
        <f>SUMIFS(Controle!H:H,Controle!F:F,CONCAT("=",$E2),Controle!I:I,"&lt;&gt;")</f>
        <v>13020.34</v>
      </c>
      <c r="I2" s="4">
        <f t="shared" ref="I2:I13" si="2">IF(F2&gt;H2,F2-H2,0)</f>
        <v>0</v>
      </c>
    </row>
    <row r="3">
      <c r="A3" s="1" t="s">
        <v>30</v>
      </c>
      <c r="B3" s="1">
        <v>1000.0</v>
      </c>
      <c r="C3" s="1">
        <v>210.0</v>
      </c>
      <c r="E3" s="4" t="str">
        <f>IFERROR(__xludf.DUMMYFUNCTION("""COMPUTED_VALUE"""),"8/2026")</f>
        <v>8/2026</v>
      </c>
      <c r="F3" s="4">
        <f>SUMIFS(Controle!G:G,Controle!F:F,CONCAT("=",$E3),Controle!H:H,"=0")</f>
        <v>0</v>
      </c>
      <c r="G3" s="4">
        <f t="shared" si="1"/>
        <v>8297.86</v>
      </c>
      <c r="H3" s="4">
        <f>SUMIFS(Controle!H:H,Controle!F:F,CONCAT("=",$E3),Controle!I:I,"&lt;&gt;")</f>
        <v>10578.62</v>
      </c>
      <c r="I3" s="4">
        <f t="shared" si="2"/>
        <v>0</v>
      </c>
    </row>
    <row r="4">
      <c r="E4" s="4" t="str">
        <f>IFERROR(__xludf.DUMMYFUNCTION("""COMPUTED_VALUE"""),"9/2026")</f>
        <v>9/2026</v>
      </c>
      <c r="F4" s="4">
        <f>SUMIFS(Controle!G:G,Controle!F:F,CONCAT("=",$E4),Controle!H:H,"=0")</f>
        <v>9373.86</v>
      </c>
      <c r="G4" s="4">
        <f t="shared" si="1"/>
        <v>-1076</v>
      </c>
      <c r="H4" s="4">
        <f>SUMIFS(Controle!H:H,Controle!F:F,CONCAT("=",$E4),Controle!I:I,"&lt;&gt;")</f>
        <v>3401.62</v>
      </c>
      <c r="I4" s="4">
        <f t="shared" si="2"/>
        <v>5972.24</v>
      </c>
    </row>
    <row r="5">
      <c r="E5" s="3" t="str">
        <f>IFERROR(__xludf.DUMMYFUNCTION("""COMPUTED_VALUE"""),"10/2026")</f>
        <v>10/2026</v>
      </c>
      <c r="F5" s="4">
        <f>SUMIFS(Controle!G:G,Controle!F:F,CONCAT("=",$E5),Controle!H:H,"=0")</f>
        <v>4652.76</v>
      </c>
      <c r="G5" s="4">
        <f t="shared" si="1"/>
        <v>3645.1</v>
      </c>
      <c r="H5" s="4">
        <f>SUMIFS(Controle!H:H,Controle!F:F,CONCAT("=",$E5),Controle!I:I,"&lt;&gt;")</f>
        <v>3401.62</v>
      </c>
      <c r="I5" s="4">
        <f t="shared" si="2"/>
        <v>1251.14</v>
      </c>
    </row>
    <row r="6">
      <c r="E6" s="4" t="str">
        <f>IFERROR(__xludf.DUMMYFUNCTION("""COMPUTED_VALUE"""),"11/2026")</f>
        <v>11/2026</v>
      </c>
      <c r="F6" s="4">
        <f>SUMIFS(Controle!G:G,Controle!F:F,CONCAT("=",$E6),Controle!H:H,"=0")</f>
        <v>5627.76</v>
      </c>
      <c r="G6" s="4">
        <f t="shared" si="1"/>
        <v>2670.1</v>
      </c>
      <c r="H6" s="4">
        <f>SUMIFS(Controle!H:H,Controle!F:F,CONCAT("=",$E6),Controle!I:I,"&lt;&gt;")</f>
        <v>901.22</v>
      </c>
      <c r="I6" s="4">
        <f t="shared" si="2"/>
        <v>4726.54</v>
      </c>
    </row>
    <row r="7">
      <c r="E7" s="4" t="str">
        <f>IFERROR(__xludf.DUMMYFUNCTION("""COMPUTED_VALUE"""),"12/2026")</f>
        <v>12/2026</v>
      </c>
      <c r="F7" s="4">
        <f>SUMIFS(Controle!G:G,Controle!F:F,CONCAT("=",$E7),Controle!H:H,"=0")</f>
        <v>24812.58</v>
      </c>
      <c r="G7" s="4">
        <f t="shared" si="1"/>
        <v>-16514.72</v>
      </c>
      <c r="H7" s="4">
        <f>SUMIFS(Controle!H:H,Controle!F:F,CONCAT("=",$E7),Controle!I:I,"&lt;&gt;")</f>
        <v>901.22</v>
      </c>
      <c r="I7" s="4">
        <f t="shared" si="2"/>
        <v>23911.36</v>
      </c>
    </row>
    <row r="8">
      <c r="E8" s="4" t="str">
        <f>IFERROR(__xludf.DUMMYFUNCTION("""COMPUTED_VALUE"""),"1/2027")</f>
        <v>1/2027</v>
      </c>
      <c r="F8" s="4">
        <f>SUMIFS(Controle!G:G,Controle!F:F,CONCAT("=",$E8),Controle!H:H,"=0")</f>
        <v>4219.71</v>
      </c>
      <c r="G8" s="4">
        <f t="shared" si="1"/>
        <v>4078.15</v>
      </c>
      <c r="H8" s="4">
        <f>SUMIFS(Controle!H:H,Controle!F:F,CONCAT("=",$E8),Controle!I:I,"&lt;&gt;")</f>
        <v>901.22</v>
      </c>
      <c r="I8" s="4">
        <f t="shared" si="2"/>
        <v>3318.49</v>
      </c>
    </row>
    <row r="9">
      <c r="E9" s="4" t="str">
        <f>IFERROR(__xludf.DUMMYFUNCTION("""COMPUTED_VALUE"""),"2/2027")</f>
        <v>2/2027</v>
      </c>
      <c r="F9" s="4">
        <f>SUMIFS(Controle!G:G,Controle!F:F,CONCAT("=",$E9),Controle!H:H,"=0")</f>
        <v>4219.71</v>
      </c>
      <c r="G9" s="4">
        <f t="shared" si="1"/>
        <v>4078.15</v>
      </c>
      <c r="H9" s="4">
        <f>SUMIFS(Controle!H:H,Controle!F:F,CONCAT("=",$E9),Controle!I:I,"&lt;&gt;")</f>
        <v>901.22</v>
      </c>
      <c r="I9" s="4">
        <f t="shared" si="2"/>
        <v>3318.49</v>
      </c>
    </row>
    <row r="10">
      <c r="A10" s="1" t="s">
        <v>39</v>
      </c>
      <c r="B10" s="2">
        <f t="shared" ref="B10:C10" si="3">SUM(B2:B9)</f>
        <v>8297.86</v>
      </c>
      <c r="C10" s="2">
        <f t="shared" si="3"/>
        <v>7507.86</v>
      </c>
      <c r="E10" s="4" t="str">
        <f>IFERROR(__xludf.DUMMYFUNCTION("""COMPUTED_VALUE"""),"3/2027")</f>
        <v>3/2027</v>
      </c>
      <c r="F10" s="4">
        <f>SUMIFS(Controle!G:G,Controle!F:F,CONCAT("=",$E10),Controle!H:H,"=0")</f>
        <v>4219.71</v>
      </c>
      <c r="G10" s="4">
        <f t="shared" si="1"/>
        <v>4078.15</v>
      </c>
      <c r="H10" s="4">
        <f>SUMIFS(Controle!H:H,Controle!F:F,CONCAT("=",$E10),Controle!I:I,"&lt;&gt;")</f>
        <v>901.22</v>
      </c>
      <c r="I10" s="4">
        <f t="shared" si="2"/>
        <v>3318.49</v>
      </c>
    </row>
    <row r="11">
      <c r="E11" s="4" t="str">
        <f>IFERROR(__xludf.DUMMYFUNCTION("""COMPUTED_VALUE"""),"4/2027")</f>
        <v>4/2027</v>
      </c>
      <c r="F11" s="4">
        <f>SUMIFS(Controle!G:G,Controle!F:F,CONCAT("=",$E11),Controle!H:H,"=0")</f>
        <v>4219.71</v>
      </c>
      <c r="G11" s="4">
        <f t="shared" si="1"/>
        <v>4078.15</v>
      </c>
      <c r="H11" s="4">
        <f>SUMIFS(Controle!H:H,Controle!F:F,CONCAT("=",$E11),Controle!I:I,"&lt;&gt;")</f>
        <v>901.22</v>
      </c>
      <c r="I11" s="4">
        <f t="shared" si="2"/>
        <v>3318.49</v>
      </c>
    </row>
    <row r="12">
      <c r="E12" s="4" t="str">
        <f>IFERROR(__xludf.DUMMYFUNCTION("""COMPUTED_VALUE"""),"5/2027")</f>
        <v>5/2027</v>
      </c>
      <c r="F12" s="4">
        <f>SUMIFS(Controle!G:G,Controle!F:F,CONCAT("=",$E12),Controle!H:H,"=0")</f>
        <v>4219.71</v>
      </c>
      <c r="G12" s="4">
        <f t="shared" si="1"/>
        <v>4078.15</v>
      </c>
      <c r="H12" s="4">
        <f>SUMIFS(Controle!H:H,Controle!F:F,CONCAT("=",$E12),Controle!I:I,"&lt;&gt;")</f>
        <v>901.22</v>
      </c>
      <c r="I12" s="4">
        <f t="shared" si="2"/>
        <v>3318.49</v>
      </c>
    </row>
    <row r="13">
      <c r="E13" s="4" t="str">
        <f>IFERROR(__xludf.DUMMYFUNCTION("""COMPUTED_VALUE"""),"6/2027")</f>
        <v>6/2027</v>
      </c>
      <c r="F13" s="4">
        <f>SUMIFS(Controle!G:G,Controle!F:F,CONCAT("=",$E13),Controle!H:H,"=0")</f>
        <v>4219.71</v>
      </c>
      <c r="G13" s="4">
        <f t="shared" si="1"/>
        <v>4078.15</v>
      </c>
      <c r="H13" s="4">
        <f>SUMIFS(Controle!H:H,Controle!F:F,CONCAT("=",$E13),Controle!I:I,"&lt;&gt;")</f>
        <v>901.22</v>
      </c>
      <c r="I13" s="4">
        <f t="shared" si="2"/>
        <v>3318.49</v>
      </c>
    </row>
    <row r="16">
      <c r="A16" s="1">
        <v>7000.0</v>
      </c>
      <c r="B16" s="1">
        <v>7073.23</v>
      </c>
      <c r="C16" s="2">
        <f t="shared" ref="C16:C17" si="4">B16-A16</f>
        <v>73.23</v>
      </c>
    </row>
    <row r="17">
      <c r="A17" s="1">
        <v>2000000.0</v>
      </c>
      <c r="B17" s="2">
        <f>(A17*B16)/A16</f>
        <v>2020922.857</v>
      </c>
      <c r="C17" s="2">
        <f t="shared" si="4"/>
        <v>20922.85714</v>
      </c>
    </row>
    <row r="21">
      <c r="B21" s="2">
        <f>B17/A17</f>
        <v>1.010461429</v>
      </c>
      <c r="C21" s="2">
        <f>B17*B21</f>
        <v>2042064.597</v>
      </c>
      <c r="D21" s="2">
        <f>C21-B17</f>
        <v>21141.74012</v>
      </c>
    </row>
  </sheetData>
  <conditionalFormatting sqref="E1:I13">
    <cfRule type="expression" dxfId="9" priority="1">
      <formula>$O1=0</formula>
    </cfRule>
  </conditionalFormatting>
  <conditionalFormatting sqref="E1:I13">
    <cfRule type="expression" dxfId="10" priority="2">
      <formula>$P1&gt;0</formula>
    </cfRule>
  </conditionalFormatting>
  <conditionalFormatting sqref="E1:I13">
    <cfRule type="expression" dxfId="11" priority="3">
      <formula>$P1=0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0.0"/>
    <col customWidth="1" min="2" max="2" width="15.71"/>
    <col customWidth="1" min="3" max="3" width="13.71"/>
    <col customWidth="1" min="4" max="4" width="7.14"/>
    <col customWidth="1" min="5" max="5" width="14.43"/>
    <col customWidth="1" min="6" max="6" width="10.43"/>
    <col customWidth="1" min="7" max="7" width="14.86"/>
    <col customWidth="1" min="8" max="8" width="13.57"/>
    <col customWidth="1" min="9" max="9" width="15.29"/>
    <col customWidth="1" min="10" max="10" width="13.43"/>
    <col customWidth="1" min="11" max="11" width="6.71"/>
    <col customWidth="1" min="12" max="12" width="9.14"/>
    <col customWidth="1" min="13" max="13" width="11.57"/>
    <col customWidth="1" min="14" max="14" width="9.86"/>
    <col customWidth="1" min="15" max="15" width="12.0"/>
    <col customWidth="1" min="16" max="16" width="6.71"/>
    <col customWidth="1" min="17" max="17" width="30.57"/>
    <col customWidth="1" min="18" max="18" width="11.71"/>
    <col customWidth="1" min="19" max="19" width="12.14"/>
    <col customWidth="1" min="20" max="20" width="12.29"/>
    <col customWidth="1" min="21" max="21" width="5.57"/>
    <col customWidth="1" min="22" max="22" width="30.57"/>
    <col customWidth="1" min="23" max="23" width="9.86"/>
    <col customWidth="1" min="24" max="24" width="12.14"/>
    <col customWidth="1" min="25" max="26" width="9.71"/>
    <col customWidth="1" min="27" max="27" width="16.43"/>
    <col customWidth="1" min="28" max="28" width="12.29"/>
    <col customWidth="1" min="29" max="29" width="9.71"/>
    <col customWidth="1" min="30" max="30" width="16.14"/>
    <col customWidth="1" min="31" max="31" width="9.86"/>
    <col customWidth="1" min="32" max="33" width="9.71"/>
  </cols>
  <sheetData>
    <row r="1" ht="15.0" customHeight="1">
      <c r="A1" s="5" t="s">
        <v>6</v>
      </c>
      <c r="B1" s="7" t="s">
        <v>31</v>
      </c>
      <c r="C1" s="4"/>
      <c r="D1" s="4"/>
      <c r="E1" s="5" t="s">
        <v>33</v>
      </c>
      <c r="F1" s="10" t="s">
        <v>35</v>
      </c>
      <c r="G1" s="10" t="s">
        <v>37</v>
      </c>
      <c r="H1" s="5" t="s">
        <v>10</v>
      </c>
      <c r="I1" s="5" t="s">
        <v>38</v>
      </c>
      <c r="J1" s="5" t="s">
        <v>39</v>
      </c>
      <c r="K1" s="3"/>
      <c r="L1" s="5" t="s">
        <v>6</v>
      </c>
      <c r="M1" s="5" t="s">
        <v>8</v>
      </c>
      <c r="N1" s="5" t="s">
        <v>10</v>
      </c>
      <c r="O1" s="5" t="s">
        <v>11</v>
      </c>
      <c r="P1" s="3"/>
      <c r="Q1" s="5" t="s">
        <v>44</v>
      </c>
      <c r="R1" s="5" t="s">
        <v>10</v>
      </c>
      <c r="S1" s="5" t="s">
        <v>47</v>
      </c>
      <c r="T1" s="5" t="s">
        <v>39</v>
      </c>
      <c r="U1" s="12"/>
      <c r="V1" s="5" t="s">
        <v>50</v>
      </c>
      <c r="W1" s="5" t="s">
        <v>10</v>
      </c>
      <c r="X1" s="5" t="s">
        <v>47</v>
      </c>
      <c r="Y1" s="5" t="s">
        <v>39</v>
      </c>
      <c r="Z1" s="3"/>
      <c r="AA1" s="5" t="s">
        <v>55</v>
      </c>
      <c r="AB1" s="5" t="s">
        <v>10</v>
      </c>
      <c r="AC1" s="3"/>
      <c r="AD1" s="5" t="s">
        <v>58</v>
      </c>
      <c r="AE1" s="5" t="s">
        <v>10</v>
      </c>
      <c r="AF1" s="3"/>
      <c r="AG1" s="3"/>
    </row>
    <row r="2" ht="15.0" customHeight="1">
      <c r="A2" s="13" t="s">
        <v>10</v>
      </c>
      <c r="B2" s="14">
        <f>SUMIFS(Controle!H:H,Controle!F:F,CONCAT("=",$B$1),Controle!I:I,"&lt;&gt;")</f>
        <v>3401.62</v>
      </c>
      <c r="C2" s="4"/>
      <c r="D2" s="4"/>
      <c r="E2" s="15">
        <f>IFERROR(__xludf.DUMMYFUNCTION("SORT(UNIQUE(FILTER(Controle!E:E,Controle!F:F=$B$1)))"),46269.0)</f>
        <v>46269</v>
      </c>
      <c r="F2" s="16" t="str">
        <f>HYPERLINK("https://docs.google.com/spreadsheets/d/1Uj96w5r3n0cneD7LaJDh3hKPtO69t6MtHFm4lkQ5K7I/edit?gid=775169775#gid=775169775&amp;range=A"&amp;MATCH(E2,Controle!E:E,0),"Ir")</f>
        <v>Ir</v>
      </c>
      <c r="G2" s="18">
        <f>COUNTIF(Controle!E:E,CONCAT("=",E2))</f>
        <v>1</v>
      </c>
      <c r="H2" s="14">
        <f>SUMIFS(Controle!G:G,Controle!E:E,CONCAT("=",$E2),Controle!H:H,"&lt;&gt;0")</f>
        <v>0</v>
      </c>
      <c r="I2" s="14">
        <f>SUMIFS(Controle!G:G,Controle!E:E,CONCAT("=",$E2),Controle!H:H,"=0")</f>
        <v>1236.78</v>
      </c>
      <c r="J2" s="14">
        <f>SUMIFS(Controle!G:G,Controle!E:E,CONCAT("=",$E2))</f>
        <v>1236.78</v>
      </c>
      <c r="K2" s="4"/>
      <c r="L2" s="25" t="str">
        <f>IFERROR(__xludf.DUMMYFUNCTION("QUERY(UNIQUE(FILTER(Controle!F2:F1009,Controle!F2:F1009&lt;&gt;"""",Controle!E2:E1009&gt;=DATE(YEAR(EDATE(TODAY(),-1)),MONTH(EDATE(TODAY(),-1)),""01""))),""LIMIT 12"")"),"7/2026")</f>
        <v>7/2026</v>
      </c>
      <c r="M2" s="25">
        <f>SUMIFS(Controle!G:G,Controle!F:F,CONCAT("=",$L2),Controle!H:H,"=0")</f>
        <v>0</v>
      </c>
      <c r="N2" s="25">
        <f>SUMIFS(Controle!H:H,Controle!F:F,CONCAT("=",$L2),Controle!I:I,"&lt;&gt;")</f>
        <v>13020.34</v>
      </c>
      <c r="O2" s="25">
        <f t="shared" ref="O2:O13" si="1">IF(M2&gt;N2,M2-N2,0)</f>
        <v>0</v>
      </c>
      <c r="P2" s="4"/>
      <c r="Q2" s="25" t="str">
        <f>IFERROR(__xludf.DUMMYFUNCTION("SORT(UNIQUE(FILTER(Controle!A:A,Controle!C:C=""Dívida"")))"),"Ademicon")</f>
        <v>Ademicon</v>
      </c>
      <c r="R2" s="44">
        <f>SUMIFS(Controle!G:G,Controle!A:A,CONCAT("=",$Q2),Controle!H:H,"&lt;&gt;0")</f>
        <v>44652</v>
      </c>
      <c r="S2" s="44">
        <f>SUMIFS(Controle!G:G,Controle!A:A,CONCAT("=",$Q2),Controle!H:H,"=0")</f>
        <v>95810.05</v>
      </c>
      <c r="T2" s="44">
        <f>SUMIFS(Controle!G:G,Controle!A:A,CONCAT("=",$Q2))</f>
        <v>140462.05</v>
      </c>
      <c r="U2" s="54"/>
      <c r="V2" s="25" t="str">
        <f>IFERROR(__xludf.DUMMYFUNCTION("UNIQUE(FILTER(Controle!A:A,Controle!C:C=""Fornecedor""))"),"Élio Squena - Tordilho Negro")</f>
        <v>Élio Squena - Tordilho Negro</v>
      </c>
      <c r="W2" s="25">
        <f>SUMIFS(Controle!G:G,Controle!A:A,CONCAT("=",$V2),Controle!H:H,"&lt;&gt;0")</f>
        <v>1717.87</v>
      </c>
      <c r="X2" s="25">
        <f>SUMIFS(Controle!G:G,Controle!A:A,CONCAT("=",$V2),Controle!H:H,"=0")</f>
        <v>19976.48</v>
      </c>
      <c r="Y2" s="25">
        <f>SUMIFS(Controle!G:G,Controle!A:A,CONCAT("=",$V2))</f>
        <v>21694.35</v>
      </c>
      <c r="Z2" s="4"/>
      <c r="AA2" s="25" t="str">
        <f>IFERROR(__xludf.DUMMYFUNCTION("UNIQUE(FILTER(Controle!A2:A1009,Controle!C2:C1009&lt;&gt;""Fornecedor"",Controle!C2:C1009&lt;&gt;""Dívida""))"),"Copel")</f>
        <v>Copel</v>
      </c>
      <c r="AB2" s="25">
        <f>SUMIFS(Controle!H:H,Controle!A:A,CONCAT("=",$AA2),Controle!I:I,"&lt;&gt;0")</f>
        <v>7988.43</v>
      </c>
      <c r="AC2" s="4"/>
      <c r="AD2" s="25" t="str">
        <f t="array" ref="AD2:AD15">SORT(UNIQUE(Categorias!A:A))</f>
        <v>Água</v>
      </c>
      <c r="AE2" s="25">
        <f>SUMIFS(Controle!H:H,Controle!D:D,CONCAT("=",$AD2),Controle!I:I,"&lt;&gt;0")</f>
        <v>3835.4</v>
      </c>
      <c r="AF2" s="4"/>
      <c r="AG2" s="4"/>
    </row>
    <row r="3" ht="15.0" customHeight="1">
      <c r="A3" s="13" t="s">
        <v>102</v>
      </c>
      <c r="B3" s="14">
        <f>SUMIFS(Controle!G:G,Controle!F:F,CONCAT("=",$B$1),Controle!I:I,"=")</f>
        <v>9373.86</v>
      </c>
      <c r="C3" s="4"/>
      <c r="D3" s="4"/>
      <c r="E3" s="15">
        <f>IFERROR(__xludf.DUMMYFUNCTION("""COMPUTED_VALUE"""),46272.0)</f>
        <v>46272</v>
      </c>
      <c r="F3" s="16" t="str">
        <f>HYPERLINK("https://docs.google.com/spreadsheets/d/1Uj96w5r3n0cneD7LaJDh3hKPtO69t6MtHFm4lkQ5K7I/edit?gid=775169775#gid=775169775&amp;range=A"&amp;MATCH(E3,Controle!E:E,0),"Ir")</f>
        <v>Ir</v>
      </c>
      <c r="G3" s="18">
        <f>COUNTIF(Controle!E:E,CONCAT("=",E3))</f>
        <v>1</v>
      </c>
      <c r="H3" s="14">
        <f>SUMIFS(Controle!G:G,Controle!E:E,CONCAT("=",$E3),Controle!H:H,"&lt;&gt;0")</f>
        <v>1231.13</v>
      </c>
      <c r="I3" s="14">
        <f>SUMIFS(Controle!G:G,Controle!E:E,CONCAT("=",$E3),Controle!H:H,"=0")</f>
        <v>0</v>
      </c>
      <c r="J3" s="14">
        <f>SUMIFS(Controle!G:G,Controle!E:E,CONCAT("=",$E3))</f>
        <v>1231.13</v>
      </c>
      <c r="K3" s="4"/>
      <c r="L3" s="25" t="str">
        <f>IFERROR(__xludf.DUMMYFUNCTION("""COMPUTED_VALUE"""),"8/2026")</f>
        <v>8/2026</v>
      </c>
      <c r="M3" s="25">
        <f>SUMIFS(Controle!G:G,Controle!F:F,CONCAT("=",$L3),Controle!H:H,"=0")</f>
        <v>0</v>
      </c>
      <c r="N3" s="25">
        <f>SUMIFS(Controle!H:H,Controle!F:F,CONCAT("=",$L3),Controle!I:I,"&lt;&gt;")</f>
        <v>10578.62</v>
      </c>
      <c r="O3" s="25">
        <f t="shared" si="1"/>
        <v>0</v>
      </c>
      <c r="P3" s="4"/>
      <c r="Q3" s="25" t="str">
        <f>IFERROR(__xludf.DUMMYFUNCTION("""COMPUTED_VALUE"""),"CC Cresol")</f>
        <v>CC Cresol</v>
      </c>
      <c r="R3" s="44">
        <f>SUMIFS(Controle!G:G,Controle!A:A,CONCAT("=",$Q3),Controle!H:H,"&lt;&gt;0")</f>
        <v>7469.5</v>
      </c>
      <c r="S3" s="44">
        <f>SUMIFS(Controle!G:G,Controle!A:A,CONCAT("=",$Q3),Controle!H:H,"=0")</f>
        <v>0</v>
      </c>
      <c r="T3" s="44">
        <f>SUMIFS(Controle!G:G,Controle!A:A,CONCAT("=",$Q3))</f>
        <v>7469.5</v>
      </c>
      <c r="U3" s="54"/>
      <c r="V3" s="25" t="str">
        <f>IFERROR(__xludf.DUMMYFUNCTION("""COMPUTED_VALUE"""),"Pampasul")</f>
        <v>Pampasul</v>
      </c>
      <c r="W3" s="25">
        <f>SUMIFS(Controle!G:G,Controle!A:A,CONCAT("=",$V3),Controle!H:H,"&lt;&gt;0")</f>
        <v>9005.58</v>
      </c>
      <c r="X3" s="25">
        <f>SUMIFS(Controle!G:G,Controle!A:A,CONCAT("=",$V3),Controle!H:H,"=0")</f>
        <v>0</v>
      </c>
      <c r="Y3" s="25">
        <f>SUMIFS(Controle!G:G,Controle!A:A,CONCAT("=",$V3))</f>
        <v>9005.58</v>
      </c>
      <c r="Z3" s="4"/>
      <c r="AA3" s="25" t="str">
        <f>IFERROR(__xludf.DUMMYFUNCTION("""COMPUTED_VALUE"""),"Sanepar")</f>
        <v>Sanepar</v>
      </c>
      <c r="AB3" s="25">
        <f>SUMIFS(Controle!H:H,Controle!A:A,CONCAT("=",$AA3),Controle!I:I,"&lt;&gt;0")</f>
        <v>3835.4</v>
      </c>
      <c r="AC3" s="4"/>
      <c r="AD3" s="25" t="s">
        <v>64</v>
      </c>
      <c r="AE3" s="25">
        <f>SUMIFS(Controle!H:H,Controle!D:D,CONCAT("=",$AD3),Controle!I:I,"&lt;&gt;0")</f>
        <v>0</v>
      </c>
      <c r="AF3" s="4"/>
      <c r="AG3" s="4"/>
    </row>
    <row r="4" ht="15.0" customHeight="1">
      <c r="A4" s="13" t="s">
        <v>124</v>
      </c>
      <c r="B4" s="14">
        <f>SUMIFS(Controle!G:G,Controle!E:E,CONCATENATE("&lt;=",DAY(NOW()),"/",MONTH(NOW()),"/",YEAR(NOW())),Controle!I:I,"=")</f>
        <v>0</v>
      </c>
      <c r="C4" s="4"/>
      <c r="D4" s="4"/>
      <c r="E4" s="15">
        <f>IFERROR(__xludf.DUMMYFUNCTION("""COMPUTED_VALUE"""),46273.0)</f>
        <v>46273</v>
      </c>
      <c r="F4" s="16" t="str">
        <f>HYPERLINK("https://docs.google.com/spreadsheets/d/1Uj96w5r3n0cneD7LaJDh3hKPtO69t6MtHFm4lkQ5K7I/edit?gid=775169775#gid=775169775&amp;range=A"&amp;MATCH(E4,Controle!E:E,0),"Ir")</f>
        <v>Ir</v>
      </c>
      <c r="G4" s="18">
        <f>COUNTIF(Controle!E:E,CONCAT("=",E4))</f>
        <v>5</v>
      </c>
      <c r="H4" s="14">
        <f>SUMIFS(Controle!G:G,Controle!E:E,CONCAT("=",$E4),Controle!H:H,"&lt;&gt;0")</f>
        <v>0</v>
      </c>
      <c r="I4" s="14">
        <f>SUMIFS(Controle!G:G,Controle!E:E,CONCAT("=",$E4),Controle!H:H,"=0")</f>
        <v>7633.5</v>
      </c>
      <c r="J4" s="14">
        <f>SUMIFS(Controle!G:G,Controle!E:E,CONCAT("=",$E4))</f>
        <v>7633.5</v>
      </c>
      <c r="K4" s="4"/>
      <c r="L4" s="25" t="str">
        <f>IFERROR(__xludf.DUMMYFUNCTION("""COMPUTED_VALUE"""),"9/2026")</f>
        <v>9/2026</v>
      </c>
      <c r="M4" s="25">
        <f>SUMIFS(Controle!G:G,Controle!F:F,CONCAT("=",$L4),Controle!H:H,"=0")</f>
        <v>9373.86</v>
      </c>
      <c r="N4" s="25">
        <f>SUMIFS(Controle!H:H,Controle!F:F,CONCAT("=",$L4),Controle!I:I,"&lt;&gt;")</f>
        <v>3401.62</v>
      </c>
      <c r="O4" s="25">
        <f t="shared" si="1"/>
        <v>5972.24</v>
      </c>
      <c r="P4" s="4"/>
      <c r="Q4" s="76" t="str">
        <f>IFERROR(__xludf.DUMMYFUNCTION("""COMPUTED_VALUE"""),"CC Itaú")</f>
        <v>CC Itaú</v>
      </c>
      <c r="R4" s="44">
        <f>SUMIFS(Controle!G:G,Controle!A:A,CONCAT("=",$Q4),Controle!H:H,"&lt;&gt;0")</f>
        <v>25573.85</v>
      </c>
      <c r="S4" s="44">
        <f>SUMIFS(Controle!G:G,Controle!A:A,CONCAT("=",$Q4),Controle!H:H,"=0")</f>
        <v>1068.8</v>
      </c>
      <c r="T4" s="44">
        <f>SUMIFS(Controle!G:G,Controle!A:A,CONCAT("=",$Q4))</f>
        <v>26642.65</v>
      </c>
      <c r="U4" s="4"/>
      <c r="V4" s="25" t="str">
        <f>IFERROR(__xludf.DUMMYFUNCTION("""COMPUTED_VALUE"""),"Botinas")</f>
        <v>Botinas</v>
      </c>
      <c r="W4" s="25">
        <f>SUMIFS(Controle!G:G,Controle!A:A,CONCAT("=",$V4),Controle!H:H,"&lt;&gt;0")</f>
        <v>2000</v>
      </c>
      <c r="X4" s="25">
        <f>SUMIFS(Controle!G:G,Controle!A:A,CONCAT("=",$V4),Controle!H:H,"=0")</f>
        <v>0</v>
      </c>
      <c r="Y4" s="25">
        <f>SUMIFS(Controle!G:G,Controle!A:A,CONCAT("=",$V4))</f>
        <v>2000</v>
      </c>
      <c r="Z4" s="4"/>
      <c r="AA4" s="25" t="str">
        <f>IFERROR(__xludf.DUMMYFUNCTION("""COMPUTED_VALUE"""),"Aluguel")</f>
        <v>Aluguel</v>
      </c>
      <c r="AB4" s="25">
        <f>SUMIFS(Controle!H:H,Controle!A:A,CONCAT("=",$AA4),Controle!I:I,"&lt;&gt;0")</f>
        <v>24022.6</v>
      </c>
      <c r="AC4" s="4"/>
      <c r="AD4" s="25" t="s">
        <v>79</v>
      </c>
      <c r="AE4" s="25">
        <f>SUMIFS(Controle!H:H,Controle!D:D,CONCAT("=",$AD4),Controle!I:I,"&lt;&gt;0")</f>
        <v>100</v>
      </c>
      <c r="AF4" s="4"/>
      <c r="AG4" s="4"/>
    </row>
    <row r="5" ht="15.0" customHeight="1">
      <c r="A5" s="4"/>
      <c r="B5" s="4"/>
      <c r="C5" s="4"/>
      <c r="D5" s="4"/>
      <c r="E5" s="15">
        <f>IFERROR(__xludf.DUMMYFUNCTION("""COMPUTED_VALUE"""),46275.0)</f>
        <v>46275</v>
      </c>
      <c r="F5" s="16" t="str">
        <f>HYPERLINK("https://docs.google.com/spreadsheets/d/1Uj96w5r3n0cneD7LaJDh3hKPtO69t6MtHFm4lkQ5K7I/edit?gid=775169775#gid=775169775&amp;range=A"&amp;MATCH(E5,Controle!E:E,0),"Ir")</f>
        <v>Ir</v>
      </c>
      <c r="G5" s="18">
        <f>COUNTIF(Controle!E:E,CONCAT("=",E5))</f>
        <v>2</v>
      </c>
      <c r="H5" s="14">
        <f>SUMIFS(Controle!G:G,Controle!E:E,CONCAT("=",$E5),Controle!H:H,"&lt;&gt;0")</f>
        <v>0</v>
      </c>
      <c r="I5" s="14">
        <f>SUMIFS(Controle!G:G,Controle!E:E,CONCAT("=",$E5),Controle!H:H,"=0")</f>
        <v>334.48</v>
      </c>
      <c r="J5" s="14">
        <f>SUMIFS(Controle!G:G,Controle!E:E,CONCAT("=",$E5))</f>
        <v>334.48</v>
      </c>
      <c r="K5" s="3"/>
      <c r="L5" s="13" t="str">
        <f>IFERROR(__xludf.DUMMYFUNCTION("""COMPUTED_VALUE"""),"10/2026")</f>
        <v>10/2026</v>
      </c>
      <c r="M5" s="25">
        <f>SUMIFS(Controle!G:G,Controle!F:F,CONCAT("=",$L5),Controle!H:H,"=0")</f>
        <v>4652.76</v>
      </c>
      <c r="N5" s="25">
        <f>SUMIFS(Controle!H:H,Controle!F:F,CONCAT("=",$L5),Controle!I:I,"&lt;&gt;")</f>
        <v>3401.62</v>
      </c>
      <c r="O5" s="13">
        <f t="shared" si="1"/>
        <v>1251.14</v>
      </c>
      <c r="P5" s="3"/>
      <c r="Q5" s="25" t="str">
        <f>IFERROR(__xludf.DUMMYFUNCTION("""COMPUTED_VALUE"""),"CC Nubank")</f>
        <v>CC Nubank</v>
      </c>
      <c r="R5" s="44">
        <f>SUMIFS(Controle!G:G,Controle!A:A,CONCAT("=",$Q5),Controle!H:H,"&lt;&gt;0")</f>
        <v>48008.41</v>
      </c>
      <c r="S5" s="44">
        <f>SUMIFS(Controle!G:G,Controle!A:A,CONCAT("=",$Q5),Controle!H:H,"=0")</f>
        <v>417.28</v>
      </c>
      <c r="T5" s="44">
        <f>SUMIFS(Controle!G:G,Controle!A:A,CONCAT("=",$Q5))</f>
        <v>48425.69</v>
      </c>
      <c r="U5" s="4"/>
      <c r="V5" s="25" t="str">
        <f>IFERROR(__xludf.DUMMYFUNCTION("""COMPUTED_VALUE"""),"Qualitchê")</f>
        <v>Qualitchê</v>
      </c>
      <c r="W5" s="25">
        <f>SUMIFS(Controle!G:G,Controle!A:A,CONCAT("=",$V5),Controle!H:H,"&lt;&gt;0")</f>
        <v>2643.2</v>
      </c>
      <c r="X5" s="25">
        <f>SUMIFS(Controle!G:G,Controle!A:A,CONCAT("=",$V5),Controle!H:H,"=0")</f>
        <v>0</v>
      </c>
      <c r="Y5" s="25">
        <f>SUMIFS(Controle!G:G,Controle!A:A,CONCAT("=",$V5))</f>
        <v>2643.2</v>
      </c>
      <c r="Z5" s="4"/>
      <c r="AA5" s="25" t="str">
        <f>IFERROR(__xludf.DUMMYFUNCTION("""COMPUTED_VALUE"""),"TIM")</f>
        <v>TIM</v>
      </c>
      <c r="AB5" s="25">
        <f>SUMIFS(Controle!H:H,Controle!A:A,CONCAT("=",$AA5),Controle!I:I,"&lt;&gt;0")</f>
        <v>1297.88</v>
      </c>
      <c r="AC5" s="4"/>
      <c r="AD5" s="25" t="s">
        <v>67</v>
      </c>
      <c r="AE5" s="25">
        <f>SUMIFS(Controle!H:H,Controle!D:D,CONCAT("=",$AD5),Controle!I:I,"&lt;&gt;0")</f>
        <v>145445.38</v>
      </c>
      <c r="AF5" s="4"/>
      <c r="AG5" s="4"/>
    </row>
    <row r="6" ht="15.0" customHeight="1">
      <c r="A6" s="4"/>
      <c r="B6" s="4"/>
      <c r="C6" s="4"/>
      <c r="D6" s="4"/>
      <c r="E6" s="15">
        <f>IFERROR(__xludf.DUMMYFUNCTION("""COMPUTED_VALUE"""),46285.0)</f>
        <v>46285</v>
      </c>
      <c r="F6" s="16" t="str">
        <f>HYPERLINK("https://docs.google.com/spreadsheets/d/1Uj96w5r3n0cneD7LaJDh3hKPtO69t6MtHFm4lkQ5K7I/edit?gid=775169775#gid=775169775&amp;range=A"&amp;MATCH(E6,Controle!E:E,0),"Ir")</f>
        <v>Ir</v>
      </c>
      <c r="G6" s="18">
        <f>COUNTIF(Controle!E:E,CONCAT("=",E6))</f>
        <v>2</v>
      </c>
      <c r="H6" s="14">
        <f>SUMIFS(Controle!G:G,Controle!E:E,CONCAT("=",$E6),Controle!H:H,"&lt;&gt;0")</f>
        <v>0</v>
      </c>
      <c r="I6" s="80">
        <f>SUMIFS(Controle!G:G,Controle!E:E,CONCAT("=",$E6),Controle!H:H,"=0")</f>
        <v>169.1</v>
      </c>
      <c r="J6" s="14">
        <f>SUMIFS(Controle!G:G,Controle!E:E,CONCAT("=",$E6))</f>
        <v>169.1</v>
      </c>
      <c r="K6" s="4"/>
      <c r="L6" s="25" t="str">
        <f>IFERROR(__xludf.DUMMYFUNCTION("""COMPUTED_VALUE"""),"11/2026")</f>
        <v>11/2026</v>
      </c>
      <c r="M6" s="25">
        <f>SUMIFS(Controle!G:G,Controle!F:F,CONCAT("=",$L6),Controle!H:H,"=0")</f>
        <v>5627.76</v>
      </c>
      <c r="N6" s="25">
        <f>SUMIFS(Controle!H:H,Controle!F:F,CONCAT("=",$L6),Controle!I:I,"&lt;&gt;")</f>
        <v>901.22</v>
      </c>
      <c r="O6" s="25">
        <f t="shared" si="1"/>
        <v>4726.54</v>
      </c>
      <c r="P6" s="4"/>
      <c r="Q6" s="25" t="str">
        <f>IFERROR(__xludf.DUMMYFUNCTION("""COMPUTED_VALUE"""),"CC Santander")</f>
        <v>CC Santander</v>
      </c>
      <c r="R6" s="44">
        <f>SUMIFS(Controle!G:G,Controle!A:A,CONCAT("=",$Q6),Controle!H:H,"&lt;&gt;0")</f>
        <v>227332.8</v>
      </c>
      <c r="S6" s="44">
        <f>SUMIFS(Controle!G:G,Controle!A:A,CONCAT("=",$Q6),Controle!H:H,"=0")</f>
        <v>8384.95</v>
      </c>
      <c r="T6" s="44">
        <f>SUMIFS(Controle!G:G,Controle!A:A,CONCAT("=",$Q6))</f>
        <v>235717.75</v>
      </c>
      <c r="U6" s="4"/>
      <c r="V6" s="25" t="str">
        <f>IFERROR(__xludf.DUMMYFUNCTION("""COMPUTED_VALUE"""),"Sokolowski")</f>
        <v>Sokolowski</v>
      </c>
      <c r="W6" s="25">
        <f>SUMIFS(Controle!G:G,Controle!A:A,CONCAT("=",$V6),Controle!H:H,"&lt;&gt;0")</f>
        <v>207.27</v>
      </c>
      <c r="X6" s="25">
        <f>SUMIFS(Controle!G:G,Controle!A:A,CONCAT("=",$V6),Controle!H:H,"=0")</f>
        <v>0</v>
      </c>
      <c r="Y6" s="25">
        <f>SUMIFS(Controle!G:G,Controle!A:A,CONCAT("=",$V6))</f>
        <v>207.27</v>
      </c>
      <c r="Z6" s="4"/>
      <c r="AA6" s="25" t="str">
        <f>IFERROR(__xludf.DUMMYFUNCTION("""COMPUTED_VALUE"""),"Meganet")</f>
        <v>Meganet</v>
      </c>
      <c r="AB6" s="25">
        <f>SUMIFS(Controle!H:H,Controle!A:A,CONCAT("=",$AA6),Controle!I:I,"&lt;&gt;0")</f>
        <v>5994.9</v>
      </c>
      <c r="AC6" s="4"/>
      <c r="AD6" s="25" t="s">
        <v>76</v>
      </c>
      <c r="AE6" s="25">
        <f>SUMIFS(Controle!H:H,Controle!D:D,CONCAT("=",$AD6),Controle!I:I,"&lt;&gt;0")</f>
        <v>4125.9</v>
      </c>
      <c r="AF6" s="4"/>
      <c r="AG6" s="4"/>
    </row>
    <row r="7" ht="15.0" customHeight="1">
      <c r="A7" s="5" t="s">
        <v>32</v>
      </c>
      <c r="B7" s="5" t="s">
        <v>40</v>
      </c>
      <c r="C7" s="81" t="s">
        <v>139</v>
      </c>
      <c r="D7" s="3"/>
      <c r="E7" s="15">
        <f>IFERROR(__xludf.DUMMYFUNCTION("""COMPUTED_VALUE"""),46291.0)</f>
        <v>46291</v>
      </c>
      <c r="F7" s="16" t="str">
        <f>HYPERLINK("https://docs.google.com/spreadsheets/d/1Uj96w5r3n0cneD7LaJDh3hKPtO69t6MtHFm4lkQ5K7I/edit?gid=775169775#gid=775169775&amp;range=A"&amp;MATCH(E7,Controle!E:E,0),"Ir")</f>
        <v>Ir</v>
      </c>
      <c r="G7" s="18">
        <f>COUNTIF(Controle!E:E,CONCAT("=",E7))</f>
        <v>1</v>
      </c>
      <c r="H7" s="14">
        <f>SUMIFS(Controle!G:G,Controle!E:E,CONCAT("=",$E7),Controle!H:H,"&lt;&gt;0")</f>
        <v>2500.4</v>
      </c>
      <c r="I7" s="80">
        <f>SUMIFS(Controle!G:G,Controle!E:E,CONCAT("=",$E7),Controle!H:H,"=0")</f>
        <v>0</v>
      </c>
      <c r="J7" s="14">
        <f>SUMIFS(Controle!G:G,Controle!E:E,CONCAT("=",$E7))</f>
        <v>2500.4</v>
      </c>
      <c r="K7" s="4"/>
      <c r="L7" s="25" t="str">
        <f>IFERROR(__xludf.DUMMYFUNCTION("""COMPUTED_VALUE"""),"12/2026")</f>
        <v>12/2026</v>
      </c>
      <c r="M7" s="25">
        <f>SUMIFS(Controle!G:G,Controle!F:F,CONCAT("=",$L7),Controle!H:H,"=0")</f>
        <v>24812.58</v>
      </c>
      <c r="N7" s="25">
        <f>SUMIFS(Controle!H:H,Controle!F:F,CONCAT("=",$L7),Controle!I:I,"&lt;&gt;")</f>
        <v>901.22</v>
      </c>
      <c r="O7" s="25">
        <f t="shared" si="1"/>
        <v>23911.36</v>
      </c>
      <c r="P7" s="4"/>
      <c r="Q7" s="76" t="str">
        <f>IFERROR(__xludf.DUMMYFUNCTION("""COMPUTED_VALUE"""),"Empréstimo Consignado")</f>
        <v>Empréstimo Consignado</v>
      </c>
      <c r="R7" s="44">
        <f>SUMIFS(Controle!G:G,Controle!A:A,CONCAT("=",$Q7),Controle!H:H,"&lt;&gt;0")</f>
        <v>20003.2</v>
      </c>
      <c r="S7" s="44">
        <f>SUMIFS(Controle!G:G,Controle!A:A,CONCAT("=",$Q7),Controle!H:H,"=0")</f>
        <v>160025.6</v>
      </c>
      <c r="T7" s="44">
        <f>SUMIFS(Controle!G:G,Controle!A:A,CONCAT("=",$Q7))</f>
        <v>180028.8</v>
      </c>
      <c r="U7" s="4"/>
      <c r="V7" s="25" t="str">
        <f>IFERROR(__xludf.DUMMYFUNCTION("""COMPUTED_VALUE"""),"Ciarin")</f>
        <v>Ciarin</v>
      </c>
      <c r="W7" s="25">
        <f>SUMIFS(Controle!G:G,Controle!A:A,CONCAT("=",$V7),Controle!H:H,"&lt;&gt;0")</f>
        <v>551.08</v>
      </c>
      <c r="X7" s="25">
        <f>SUMIFS(Controle!G:G,Controle!A:A,CONCAT("=",$V7),Controle!H:H,"=0")</f>
        <v>0</v>
      </c>
      <c r="Y7" s="25">
        <f>SUMIFS(Controle!G:G,Controle!A:A,CONCAT("=",$V7))</f>
        <v>551.08</v>
      </c>
      <c r="Z7" s="4"/>
      <c r="AA7" s="25" t="str">
        <f>IFERROR(__xludf.DUMMYFUNCTION("""COMPUTED_VALUE"""),"MEI")</f>
        <v>MEI</v>
      </c>
      <c r="AB7" s="25">
        <f>SUMIFS(Controle!H:H,Controle!A:A,CONCAT("=",$AA7),Controle!I:I,"&lt;&gt;0")</f>
        <v>4125.9</v>
      </c>
      <c r="AC7" s="4"/>
      <c r="AD7" s="25" t="s">
        <v>75</v>
      </c>
      <c r="AE7" s="25">
        <f>SUMIFS(Controle!H:H,Controle!D:D,CONCAT("=",$AD7),Controle!I:I,"&lt;&gt;0")</f>
        <v>5994.9</v>
      </c>
      <c r="AF7" s="4"/>
      <c r="AG7" s="4"/>
    </row>
    <row r="8" ht="15.0" customHeight="1">
      <c r="A8" s="13" t="s">
        <v>142</v>
      </c>
      <c r="B8" s="82">
        <f>273.77+1005</f>
        <v>1278.77</v>
      </c>
      <c r="C8" s="83">
        <v>1385.73</v>
      </c>
      <c r="D8" s="3"/>
      <c r="E8" s="25"/>
      <c r="F8" s="18" t="str">
        <f>HYPERLINK("https://docs.google.com/spreadsheets/d/1Uj96w5r3n0cneD7LaJDh3hKPtO69t6MtHFm4lkQ5K7I/edit?gid=775169775#gid=775169775&amp;range=A"&amp;MATCH(E8,Controle!E:E,0),"Ir")</f>
        <v>#N/A</v>
      </c>
      <c r="G8" s="18">
        <f>COUNTIF(Controle!E:E,CONCAT("=",E8))</f>
        <v>1214</v>
      </c>
      <c r="H8" s="14">
        <f>SUMIFS(Controle!G:G,Controle!E:E,CONCAT("=",$E8),Controle!H:H,"&lt;&gt;0")</f>
        <v>0</v>
      </c>
      <c r="I8" s="14">
        <f>SUMIFS(Controle!G:G,Controle!E:E,CONCAT("=",$E8),Controle!H:H,"=0")</f>
        <v>0</v>
      </c>
      <c r="J8" s="14">
        <f>SUMIFS(Controle!G:G,Controle!E:E,CONCAT("=",$E8))</f>
        <v>0</v>
      </c>
      <c r="K8" s="4"/>
      <c r="L8" s="25" t="str">
        <f>IFERROR(__xludf.DUMMYFUNCTION("""COMPUTED_VALUE"""),"1/2027")</f>
        <v>1/2027</v>
      </c>
      <c r="M8" s="25">
        <f>SUMIFS(Controle!G:G,Controle!F:F,CONCAT("=",$L8),Controle!H:H,"=0")</f>
        <v>4219.71</v>
      </c>
      <c r="N8" s="25">
        <f>SUMIFS(Controle!H:H,Controle!F:F,CONCAT("=",$L8),Controle!I:I,"&lt;&gt;")</f>
        <v>901.22</v>
      </c>
      <c r="O8" s="25">
        <f t="shared" si="1"/>
        <v>3318.49</v>
      </c>
      <c r="P8" s="4"/>
      <c r="Q8" s="25" t="str">
        <f>IFERROR(__xludf.DUMMYFUNCTION("""COMPUTED_VALUE"""),"Empréstimo Cresol")</f>
        <v>Empréstimo Cresol</v>
      </c>
      <c r="R8" s="44">
        <f>SUMIFS(Controle!G:G,Controle!A:A,CONCAT("=",$Q8),Controle!H:H,"&lt;&gt;0")</f>
        <v>24376.02</v>
      </c>
      <c r="S8" s="44">
        <f>SUMIFS(Controle!G:G,Controle!A:A,CONCAT("=",$Q8),Controle!H:H,"=0")</f>
        <v>0</v>
      </c>
      <c r="T8" s="44">
        <f>SUMIFS(Controle!G:G,Controle!A:A,CONCAT("=",$Q8))</f>
        <v>24376.02</v>
      </c>
      <c r="U8" s="4"/>
      <c r="V8" s="25" t="str">
        <f>IFERROR(__xludf.DUMMYFUNCTION("""COMPUTED_VALUE"""),"MOR")</f>
        <v>MOR</v>
      </c>
      <c r="W8" s="25">
        <f>SUMIFS(Controle!G:G,Controle!A:A,CONCAT("=",$V8),Controle!H:H,"&lt;&gt;0")</f>
        <v>1348.33</v>
      </c>
      <c r="X8" s="25">
        <f>SUMIFS(Controle!G:G,Controle!A:A,CONCAT("=",$V8),Controle!H:H,"=0")</f>
        <v>0</v>
      </c>
      <c r="Y8" s="25">
        <f>SUMIFS(Controle!G:G,Controle!A:A,CONCAT("=",$V8))</f>
        <v>1348.33</v>
      </c>
      <c r="Z8" s="4"/>
      <c r="AA8" s="25" t="str">
        <f>IFERROR(__xludf.DUMMYFUNCTION("""COMPUTED_VALUE"""),"Seguro Kwid")</f>
        <v>Seguro Kwid</v>
      </c>
      <c r="AB8" s="25">
        <f>SUMIFS(Controle!H:H,Controle!A:A,CONCAT("=",$AA8),Controle!I:I,"&lt;&gt;0")</f>
        <v>1715.8</v>
      </c>
      <c r="AC8" s="4"/>
      <c r="AD8" s="25" t="s">
        <v>71</v>
      </c>
      <c r="AE8" s="25">
        <f>SUMIFS(Controle!H:H,Controle!D:D,CONCAT("=",$AD8),Controle!I:I,"&lt;&gt;0")</f>
        <v>368231.99</v>
      </c>
      <c r="AF8" s="4"/>
      <c r="AG8" s="4"/>
    </row>
    <row r="9" ht="15.0" customHeight="1">
      <c r="A9" s="13" t="s">
        <v>146</v>
      </c>
      <c r="B9" s="82">
        <f>0</f>
        <v>0</v>
      </c>
      <c r="C9" s="84"/>
      <c r="D9" s="85"/>
      <c r="E9" s="25"/>
      <c r="F9" s="18" t="str">
        <f>HYPERLINK("https://docs.google.com/spreadsheets/d/1Uj96w5r3n0cneD7LaJDh3hKPtO69t6MtHFm4lkQ5K7I/edit?gid=775169775#gid=775169775&amp;range=A"&amp;MATCH(E9,Controle!E:E,0),"Ir")</f>
        <v>#N/A</v>
      </c>
      <c r="G9" s="18">
        <f>COUNTIF(Controle!E:E,CONCAT("=",E9))</f>
        <v>1214</v>
      </c>
      <c r="H9" s="14">
        <f>SUMIFS(Controle!G:G,Controle!E:E,CONCAT("=",$E9),Controle!H:H,"&lt;&gt;0")</f>
        <v>0</v>
      </c>
      <c r="I9" s="80">
        <f>SUMIFS(Controle!G:G,Controle!E:E,CONCAT("=",$E9),Controle!H:H,"=0")</f>
        <v>0</v>
      </c>
      <c r="J9" s="14">
        <f>SUMIFS(Controle!G:G,Controle!E:E,CONCAT("=",$E9))</f>
        <v>0</v>
      </c>
      <c r="K9" s="4"/>
      <c r="L9" s="25" t="str">
        <f>IFERROR(__xludf.DUMMYFUNCTION("""COMPUTED_VALUE"""),"2/2027")</f>
        <v>2/2027</v>
      </c>
      <c r="M9" s="25">
        <f>SUMIFS(Controle!G:G,Controle!F:F,CONCAT("=",$L9),Controle!H:H,"=0")</f>
        <v>4219.71</v>
      </c>
      <c r="N9" s="25">
        <f>SUMIFS(Controle!H:H,Controle!F:F,CONCAT("=",$L9),Controle!I:I,"&lt;&gt;")</f>
        <v>901.22</v>
      </c>
      <c r="O9" s="25">
        <f t="shared" si="1"/>
        <v>3318.49</v>
      </c>
      <c r="P9" s="4"/>
      <c r="Q9" s="25" t="str">
        <f>IFERROR(__xludf.DUMMYFUNCTION("""COMPUTED_VALUE"""),"Empréstimo Nubank")</f>
        <v>Empréstimo Nubank</v>
      </c>
      <c r="R9" s="44">
        <f>SUMIFS(Controle!G:G,Controle!A:A,CONCAT("=",$Q9),Controle!H:H,"&lt;&gt;0")</f>
        <v>20385.44</v>
      </c>
      <c r="S9" s="44">
        <f>SUMIFS(Controle!G:G,Controle!A:A,CONCAT("=",$Q9),Controle!H:H,"=0")</f>
        <v>0</v>
      </c>
      <c r="T9" s="44">
        <f>SUMIFS(Controle!G:G,Controle!A:A,CONCAT("=",$Q9))</f>
        <v>20385.44</v>
      </c>
      <c r="U9" s="4"/>
      <c r="V9" s="25" t="str">
        <f>IFERROR(__xludf.DUMMYFUNCTION("""COMPUTED_VALUE"""),"Black Erva")</f>
        <v>Black Erva</v>
      </c>
      <c r="W9" s="25">
        <f>SUMIFS(Controle!G:G,Controle!A:A,CONCAT("=",$V9),Controle!H:H,"&lt;&gt;0")</f>
        <v>3681.78</v>
      </c>
      <c r="X9" s="25">
        <f>SUMIFS(Controle!G:G,Controle!A:A,CONCAT("=",$V9),Controle!H:H,"=0")</f>
        <v>0</v>
      </c>
      <c r="Y9" s="25">
        <f>SUMIFS(Controle!G:G,Controle!A:A,CONCAT("=",$V9))</f>
        <v>3681.78</v>
      </c>
      <c r="Z9" s="4"/>
      <c r="AA9" s="76" t="str">
        <f>IFERROR(__xludf.DUMMYFUNCTION("""COMPUTED_VALUE"""),"NAY Carro de Som")</f>
        <v>NAY Carro de Som</v>
      </c>
      <c r="AB9" s="25">
        <f>SUMIFS(Controle!H:H,Controle!A:A,CONCAT("=",$AA9),Controle!I:I,"&lt;&gt;0")</f>
        <v>100</v>
      </c>
      <c r="AC9" s="4"/>
      <c r="AD9" s="25" t="s">
        <v>72</v>
      </c>
      <c r="AE9" s="25">
        <f>SUMIFS(Controle!H:H,Controle!D:D,CONCAT("=",$AD9),Controle!I:I,"&lt;&gt;0")</f>
        <v>24022.6</v>
      </c>
      <c r="AF9" s="4"/>
      <c r="AG9" s="4"/>
    </row>
    <row r="10" ht="15.0" customHeight="1">
      <c r="A10" s="13" t="s">
        <v>150</v>
      </c>
      <c r="B10" s="82">
        <v>0.0</v>
      </c>
      <c r="C10" s="84"/>
      <c r="D10" s="85"/>
      <c r="E10" s="25"/>
      <c r="F10" s="18" t="str">
        <f>HYPERLINK("https://docs.google.com/spreadsheets/d/1Uj96w5r3n0cneD7LaJDh3hKPtO69t6MtHFm4lkQ5K7I/edit?gid=775169775#gid=775169775&amp;range=A"&amp;MATCH(E10,Controle!E:E,0),"Ir")</f>
        <v>#N/A</v>
      </c>
      <c r="G10" s="18">
        <f>COUNTIF(Controle!E:E,CONCAT("=",E10))</f>
        <v>1214</v>
      </c>
      <c r="H10" s="14">
        <f>SUMIFS(Controle!G:G,Controle!E:E,CONCAT("=",$E10),Controle!H:H,"&lt;&gt;0")</f>
        <v>0</v>
      </c>
      <c r="I10" s="14">
        <f>SUMIFS(Controle!G:G,Controle!E:E,CONCAT("=",$E10),Controle!H:H,"=0")</f>
        <v>0</v>
      </c>
      <c r="J10" s="14">
        <f>SUMIFS(Controle!G:G,Controle!E:E,CONCAT("=",$E10))</f>
        <v>0</v>
      </c>
      <c r="K10" s="4"/>
      <c r="L10" s="25" t="str">
        <f>IFERROR(__xludf.DUMMYFUNCTION("""COMPUTED_VALUE"""),"3/2027")</f>
        <v>3/2027</v>
      </c>
      <c r="M10" s="25">
        <f>SUMIFS(Controle!G:G,Controle!F:F,CONCAT("=",$L10),Controle!H:H,"=0")</f>
        <v>4219.71</v>
      </c>
      <c r="N10" s="25">
        <f>SUMIFS(Controle!H:H,Controle!F:F,CONCAT("=",$L10),Controle!I:I,"&lt;&gt;")</f>
        <v>901.22</v>
      </c>
      <c r="O10" s="25">
        <f t="shared" si="1"/>
        <v>3318.49</v>
      </c>
      <c r="P10" s="4"/>
      <c r="Q10" s="86" t="str">
        <f>IFERROR(__xludf.DUMMYFUNCTION("""COMPUTED_VALUE"""),"Financiamento Creditas")</f>
        <v>Financiamento Creditas</v>
      </c>
      <c r="R10" s="44">
        <f>SUMIFS(Controle!G:G,Controle!A:A,CONCAT("=",$Q10),Controle!H:H,"&lt;&gt;0")</f>
        <v>59089.6</v>
      </c>
      <c r="S10" s="44">
        <f>SUMIFS(Controle!G:G,Controle!A:A,CONCAT("=",$Q10),Controle!H:H,"=0")</f>
        <v>0</v>
      </c>
      <c r="T10" s="44">
        <f>SUMIFS(Controle!G:G,Controle!A:A,CONCAT("=",$Q10))</f>
        <v>59089.6</v>
      </c>
      <c r="U10" s="4"/>
      <c r="V10" s="25" t="str">
        <f>IFERROR(__xludf.DUMMYFUNCTION("""COMPUTED_VALUE"""),"Mazutti")</f>
        <v>Mazutti</v>
      </c>
      <c r="W10" s="25">
        <f>SUMIFS(Controle!G:G,Controle!A:A,CONCAT("=",$V10),Controle!H:H,"&lt;&gt;0")</f>
        <v>720</v>
      </c>
      <c r="X10" s="25">
        <f>SUMIFS(Controle!G:G,Controle!A:A,CONCAT("=",$V10),Controle!H:H,"=0")</f>
        <v>0</v>
      </c>
      <c r="Y10" s="25">
        <f>SUMIFS(Controle!G:G,Controle!A:A,CONCAT("=",$V10))</f>
        <v>720</v>
      </c>
      <c r="Z10" s="4"/>
      <c r="AA10" s="76" t="str">
        <f>IFERROR(__xludf.DUMMYFUNCTION("""COMPUTED_VALUE"""),"Mercado São José")</f>
        <v>Mercado São José</v>
      </c>
      <c r="AB10" s="25">
        <f>SUMIFS(Controle!H:H,Controle!A:A,CONCAT("=",$AA10),Controle!I:I,"&lt;&gt;0")</f>
        <v>67.64</v>
      </c>
      <c r="AC10" s="4"/>
      <c r="AD10" s="25" t="s">
        <v>68</v>
      </c>
      <c r="AE10" s="25">
        <f>SUMIFS(Controle!H:H,Controle!D:D,CONCAT("=",$AD10),Controle!I:I,"&lt;&gt;0")</f>
        <v>7988.43</v>
      </c>
      <c r="AF10" s="4"/>
      <c r="AG10" s="4"/>
    </row>
    <row r="11" ht="15.0" customHeight="1">
      <c r="A11" s="13" t="s">
        <v>152</v>
      </c>
      <c r="B11" s="82">
        <f>5088.84+(5088.84*0.041)</f>
        <v>5297.48244</v>
      </c>
      <c r="C11" s="83">
        <v>0.0</v>
      </c>
      <c r="D11" s="85"/>
      <c r="E11" s="25"/>
      <c r="F11" s="18" t="str">
        <f>HYPERLINK("https://docs.google.com/spreadsheets/d/1Uj96w5r3n0cneD7LaJDh3hKPtO69t6MtHFm4lkQ5K7I/edit?gid=775169775#gid=775169775&amp;range=A"&amp;MATCH(E11,Controle!E:E,0),"Ir")</f>
        <v>#N/A</v>
      </c>
      <c r="G11" s="18">
        <f>COUNTIF(Controle!E:E,CONCAT("=",E11))</f>
        <v>1214</v>
      </c>
      <c r="H11" s="14">
        <f>SUMIFS(Controle!G:G,Controle!E:E,CONCAT("=",$E11),Controle!H:H,"&lt;&gt;0")</f>
        <v>0</v>
      </c>
      <c r="I11" s="14">
        <f>SUMIFS(Controle!G:G,Controle!E:E,CONCAT("=",$E11),Controle!H:H,"=0")</f>
        <v>0</v>
      </c>
      <c r="J11" s="14">
        <f>SUMIFS(Controle!G:G,Controle!E:E,CONCAT("=",$E11))</f>
        <v>0</v>
      </c>
      <c r="K11" s="4"/>
      <c r="L11" s="25" t="str">
        <f>IFERROR(__xludf.DUMMYFUNCTION("""COMPUTED_VALUE"""),"4/2027")</f>
        <v>4/2027</v>
      </c>
      <c r="M11" s="25">
        <f>SUMIFS(Controle!G:G,Controle!F:F,CONCAT("=",$L11),Controle!H:H,"=0")</f>
        <v>4219.71</v>
      </c>
      <c r="N11" s="25">
        <f>SUMIFS(Controle!H:H,Controle!F:F,CONCAT("=",$L11),Controle!I:I,"&lt;&gt;")</f>
        <v>901.22</v>
      </c>
      <c r="O11" s="25">
        <f t="shared" si="1"/>
        <v>3318.49</v>
      </c>
      <c r="P11" s="4"/>
      <c r="Q11" s="86" t="str">
        <f>IFERROR(__xludf.DUMMYFUNCTION("""COMPUTED_VALUE"""),"Financiamento Santander")</f>
        <v>Financiamento Santander</v>
      </c>
      <c r="R11" s="44">
        <f>SUMIFS(Controle!G:G,Controle!A:A,CONCAT("=",$Q11),Controle!H:H,"&lt;&gt;0")</f>
        <v>751.83</v>
      </c>
      <c r="S11" s="44">
        <f>SUMIFS(Controle!G:G,Controle!A:A,CONCAT("=",$Q11),Controle!H:H,"=0")</f>
        <v>0</v>
      </c>
      <c r="T11" s="44">
        <f>SUMIFS(Controle!G:G,Controle!A:A,CONCAT("=",$Q11))</f>
        <v>751.83</v>
      </c>
      <c r="U11" s="4"/>
      <c r="V11" s="25" t="str">
        <f>IFERROR(__xludf.DUMMYFUNCTION("""COMPUTED_VALUE"""),"Pé na Estrada")</f>
        <v>Pé na Estrada</v>
      </c>
      <c r="W11" s="25">
        <f>SUMIFS(Controle!G:G,Controle!A:A,CONCAT("=",$V11),Controle!H:H,"&lt;&gt;0")</f>
        <v>8692</v>
      </c>
      <c r="X11" s="25">
        <f>SUMIFS(Controle!G:G,Controle!A:A,CONCAT("=",$V11),Controle!H:H,"=0")</f>
        <v>0</v>
      </c>
      <c r="Y11" s="25">
        <f>SUMIFS(Controle!G:G,Controle!A:A,CONCAT("=",$V11))</f>
        <v>8692</v>
      </c>
      <c r="Z11" s="4"/>
      <c r="AA11" s="76" t="str">
        <f>IFERROR(__xludf.DUMMYFUNCTION("""COMPUTED_VALUE"""),"Mercado Bom Preço")</f>
        <v>Mercado Bom Preço</v>
      </c>
      <c r="AB11" s="25">
        <f>SUMIFS(Controle!H:H,Controle!A:A,CONCAT("=",$AA11),Controle!I:I,"&lt;&gt;0")</f>
        <v>74.24</v>
      </c>
      <c r="AC11" s="4"/>
      <c r="AD11" s="25" t="s">
        <v>80</v>
      </c>
      <c r="AE11" s="25">
        <f>SUMIFS(Controle!H:H,Controle!D:D,CONCAT("=",$AD11),Controle!I:I,"&lt;&gt;0")</f>
        <v>571.85</v>
      </c>
      <c r="AF11" s="4"/>
      <c r="AG11" s="4"/>
    </row>
    <row r="12" ht="15.0" customHeight="1">
      <c r="A12" s="13" t="s">
        <v>153</v>
      </c>
      <c r="B12" s="82">
        <v>0.0</v>
      </c>
      <c r="C12" s="84"/>
      <c r="D12" s="85"/>
      <c r="E12" s="25"/>
      <c r="F12" s="18" t="str">
        <f>HYPERLINK("https://docs.google.com/spreadsheets/d/1Uj96w5r3n0cneD7LaJDh3hKPtO69t6MtHFm4lkQ5K7I/edit?gid=775169775#gid=775169775&amp;range=A"&amp;MATCH(E12,Controle!E:E,0),"Ir")</f>
        <v>#N/A</v>
      </c>
      <c r="G12" s="18">
        <f>COUNTIF(Controle!E:E,CONCAT("=",E12))</f>
        <v>1214</v>
      </c>
      <c r="H12" s="14">
        <f>SUMIFS(Controle!G:G,Controle!E:E,CONCAT("=",$E12),Controle!H:H,"&lt;&gt;0")</f>
        <v>0</v>
      </c>
      <c r="I12" s="14">
        <f>SUMIFS(Controle!G:G,Controle!E:E,CONCAT("=",$E12),Controle!H:H,"=0")</f>
        <v>0</v>
      </c>
      <c r="J12" s="14">
        <f>SUMIFS(Controle!G:G,Controle!E:E,CONCAT("=",$E12))</f>
        <v>0</v>
      </c>
      <c r="K12" s="4"/>
      <c r="L12" s="25" t="str">
        <f>IFERROR(__xludf.DUMMYFUNCTION("""COMPUTED_VALUE"""),"5/2027")</f>
        <v>5/2027</v>
      </c>
      <c r="M12" s="25">
        <f>SUMIFS(Controle!G:G,Controle!F:F,CONCAT("=",$L12),Controle!H:H,"=0")</f>
        <v>4219.71</v>
      </c>
      <c r="N12" s="25">
        <f>SUMIFS(Controle!H:H,Controle!F:F,CONCAT("=",$L12),Controle!I:I,"&lt;&gt;")</f>
        <v>901.22</v>
      </c>
      <c r="O12" s="25">
        <f t="shared" si="1"/>
        <v>3318.49</v>
      </c>
      <c r="P12" s="4"/>
      <c r="Q12" s="87" t="str">
        <f>IFERROR(__xludf.DUMMYFUNCTION("""COMPUTED_VALUE"""),"Financiamento Tucson")</f>
        <v>Financiamento Tucson</v>
      </c>
      <c r="R12" s="44">
        <f>SUMIFS(Controle!G:G,Controle!A:A,CONCAT("=",$Q12),Controle!H:H,"&lt;&gt;0")</f>
        <v>2473.56</v>
      </c>
      <c r="S12" s="44">
        <f>SUMIFS(Controle!G:G,Controle!A:A,CONCAT("=",$Q12),Controle!H:H,"=0")</f>
        <v>1236.78</v>
      </c>
      <c r="T12" s="44">
        <f>SUMIFS(Controle!G:G,Controle!A:A,CONCAT("=",$Q12))</f>
        <v>3710.34</v>
      </c>
      <c r="U12" s="4"/>
      <c r="V12" s="25" t="str">
        <f>IFERROR(__xludf.DUMMYFUNCTION("""COMPUTED_VALUE"""),"C. F. Menezes &amp; Carvalho Ltda - Qualitche")</f>
        <v>C. F. Menezes &amp; Carvalho Ltda - Qualitche</v>
      </c>
      <c r="W12" s="25">
        <f>SUMIFS(Controle!G:G,Controle!A:A,CONCAT("=",$V12),Controle!H:H,"&lt;&gt;0")</f>
        <v>1840</v>
      </c>
      <c r="X12" s="25">
        <f>SUMIFS(Controle!G:G,Controle!A:A,CONCAT("=",$V12),Controle!H:H,"=0")</f>
        <v>0</v>
      </c>
      <c r="Y12" s="25">
        <f>SUMIFS(Controle!G:G,Controle!A:A,CONCAT("=",$V12))</f>
        <v>1840</v>
      </c>
      <c r="Z12" s="4"/>
      <c r="AA12" s="76" t="str">
        <f>IFERROR(__xludf.DUMMYFUNCTION("""COMPUTED_VALUE"""),"Posto Fox")</f>
        <v>Posto Fox</v>
      </c>
      <c r="AB12" s="25">
        <f>SUMIFS(Controle!H:H,Controle!A:A,CONCAT("=",$AA12),Controle!I:I,"&lt;&gt;0")</f>
        <v>100</v>
      </c>
      <c r="AC12" s="4"/>
      <c r="AD12" s="25" t="s">
        <v>77</v>
      </c>
      <c r="AE12" s="25">
        <f>SUMIFS(Controle!H:H,Controle!D:D,CONCAT("=",$AD12),Controle!I:I,"&lt;&gt;0")</f>
        <v>1715.8</v>
      </c>
      <c r="AF12" s="4"/>
      <c r="AG12" s="4"/>
    </row>
    <row r="13" ht="15.0" customHeight="1">
      <c r="A13" s="13" t="s">
        <v>154</v>
      </c>
      <c r="B13" s="82">
        <v>0.0</v>
      </c>
      <c r="C13" s="84"/>
      <c r="D13" s="85"/>
      <c r="E13" s="25"/>
      <c r="F13" s="18" t="str">
        <f>HYPERLINK("https://docs.google.com/spreadsheets/d/1Uj96w5r3n0cneD7LaJDh3hKPtO69t6MtHFm4lkQ5K7I/edit?gid=775169775#gid=775169775&amp;range=A"&amp;MATCH(E13,Controle!E:E,0),"Ir")</f>
        <v>#N/A</v>
      </c>
      <c r="G13" s="18">
        <f>COUNTIF(Controle!E:E,CONCAT("=",E13))</f>
        <v>1214</v>
      </c>
      <c r="H13" s="14">
        <f>SUMIFS(Controle!G:G,Controle!E:E,CONCAT("=",$E13),Controle!H:H,"&lt;&gt;0")</f>
        <v>0</v>
      </c>
      <c r="I13" s="14">
        <f>SUMIFS(Controle!G:G,Controle!E:E,CONCAT("=",$E13),Controle!H:H,"=0")</f>
        <v>0</v>
      </c>
      <c r="J13" s="14">
        <f>SUMIFS(Controle!G:G,Controle!E:E,CONCAT("=",$E13))</f>
        <v>0</v>
      </c>
      <c r="K13" s="4"/>
      <c r="L13" s="25" t="str">
        <f>IFERROR(__xludf.DUMMYFUNCTION("""COMPUTED_VALUE"""),"6/2027")</f>
        <v>6/2027</v>
      </c>
      <c r="M13" s="25">
        <f>SUMIFS(Controle!G:G,Controle!F:F,CONCAT("=",$L13),Controle!H:H,"=0")</f>
        <v>4219.71</v>
      </c>
      <c r="N13" s="25">
        <f>SUMIFS(Controle!H:H,Controle!F:F,CONCAT("=",$L13),Controle!I:I,"&lt;&gt;")</f>
        <v>901.22</v>
      </c>
      <c r="O13" s="25">
        <f t="shared" si="1"/>
        <v>3318.49</v>
      </c>
      <c r="P13" s="4"/>
      <c r="Q13" s="86"/>
      <c r="R13" s="44">
        <f>SUMIFS(Controle!G:G,Controle!A:A,CONCAT("=",$Q13),Controle!H:H,"&lt;&gt;0")</f>
        <v>0</v>
      </c>
      <c r="S13" s="44">
        <f>SUMIFS(Controle!G:G,Controle!A:A,CONCAT("=",$Q13),Controle!H:H,"=0")</f>
        <v>0</v>
      </c>
      <c r="T13" s="44">
        <f>SUMIFS(Controle!G:G,Controle!A:A,CONCAT("=",$Q13))</f>
        <v>0</v>
      </c>
      <c r="U13" s="4"/>
      <c r="V13" s="25" t="str">
        <f>IFERROR(__xludf.DUMMYFUNCTION("""COMPUTED_VALUE"""),"Calçados para Dança - Vuollo")</f>
        <v>Calçados para Dança - Vuollo</v>
      </c>
      <c r="W13" s="25">
        <f>SUMIFS(Controle!G:G,Controle!A:A,CONCAT("=",$V13),Controle!H:H,"&lt;&gt;0")</f>
        <v>3318</v>
      </c>
      <c r="X13" s="25">
        <f>SUMIFS(Controle!G:G,Controle!A:A,CONCAT("=",$V13),Controle!H:H,"=0")</f>
        <v>0</v>
      </c>
      <c r="Y13" s="25">
        <f>SUMIFS(Controle!G:G,Controle!A:A,CONCAT("=",$V13))</f>
        <v>3318</v>
      </c>
      <c r="Z13" s="4"/>
      <c r="AA13" s="76" t="str">
        <f>IFERROR(__xludf.DUMMYFUNCTION("""COMPUTED_VALUE"""),"Mercado D'amille")</f>
        <v>Mercado D'amille</v>
      </c>
      <c r="AB13" s="25">
        <f>SUMIFS(Controle!H:H,Controle!A:A,CONCAT("=",$AA13),Controle!I:I,"&lt;&gt;0")</f>
        <v>340.07</v>
      </c>
      <c r="AC13" s="4"/>
      <c r="AD13" s="25" t="s">
        <v>66</v>
      </c>
      <c r="AE13" s="25">
        <f>SUMIFS(Controle!H:H,Controle!D:D,CONCAT("=",$AD13),Controle!I:I,"&lt;&gt;0")</f>
        <v>2473.56</v>
      </c>
      <c r="AF13" s="4"/>
      <c r="AG13" s="4"/>
    </row>
    <row r="14" ht="15.0" customHeight="1">
      <c r="A14" s="13" t="s">
        <v>155</v>
      </c>
      <c r="B14" s="82">
        <v>0.0</v>
      </c>
      <c r="C14" s="84"/>
      <c r="D14" s="85"/>
      <c r="E14" s="25"/>
      <c r="F14" s="18" t="str">
        <f>HYPERLINK("https://docs.google.com/spreadsheets/d/1Uj96w5r3n0cneD7LaJDh3hKPtO69t6MtHFm4lkQ5K7I/edit?gid=775169775#gid=775169775&amp;range=A"&amp;MATCH(E14,Controle!E:E,0),"Ir")</f>
        <v>#N/A</v>
      </c>
      <c r="G14" s="18">
        <f>COUNTIF(Controle!E:E,CONCAT("=",E14))</f>
        <v>1214</v>
      </c>
      <c r="H14" s="14">
        <f>SUMIFS(Controle!G:G,Controle!E:E,CONCAT("=",$E14),Controle!H:H,"&lt;&gt;0")</f>
        <v>0</v>
      </c>
      <c r="I14" s="14">
        <f>SUMIFS(Controle!G:G,Controle!E:E,CONCAT("=",$E14),Controle!H:H,"=0")</f>
        <v>0</v>
      </c>
      <c r="J14" s="14">
        <f>SUMIFS(Controle!G:G,Controle!E:E,CONCAT("=",$E14))</f>
        <v>0</v>
      </c>
      <c r="K14" s="4"/>
      <c r="L14" s="4"/>
      <c r="M14" s="4"/>
      <c r="N14" s="4"/>
      <c r="O14" s="4"/>
      <c r="P14" s="4"/>
      <c r="Q14" s="86"/>
      <c r="R14" s="44">
        <f>SUMIFS(Controle!G:G,Controle!A:A,CONCAT("=",$Q14),Controle!H:H,"&lt;&gt;0")</f>
        <v>0</v>
      </c>
      <c r="S14" s="44">
        <f>SUMIFS(Controle!G:G,Controle!A:A,CONCAT("=",$Q14),Controle!H:H,"=0")</f>
        <v>0</v>
      </c>
      <c r="T14" s="44">
        <f>SUMIFS(Controle!G:G,Controle!A:A,CONCAT("=",$Q14))</f>
        <v>0</v>
      </c>
      <c r="U14" s="4"/>
      <c r="V14" s="25" t="str">
        <f>IFERROR(__xludf.DUMMYFUNCTION("""COMPUTED_VALUE"""),"Montana")</f>
        <v>Montana</v>
      </c>
      <c r="W14" s="25">
        <f>SUMIFS(Controle!G:G,Controle!A:A,CONCAT("=",$V14),Controle!H:H,"&lt;&gt;0")</f>
        <v>2102.75</v>
      </c>
      <c r="X14" s="25">
        <f>SUMIFS(Controle!G:G,Controle!A:A,CONCAT("=",$V14),Controle!H:H,"=0")</f>
        <v>0</v>
      </c>
      <c r="Y14" s="25">
        <f>SUMIFS(Controle!G:G,Controle!A:A,CONCAT("=",$V14))</f>
        <v>2102.75</v>
      </c>
      <c r="Z14" s="4"/>
      <c r="AA14" s="76" t="str">
        <f>IFERROR(__xludf.DUMMYFUNCTION("""COMPUTED_VALUE"""),"Tênis Cruz Machado")</f>
        <v>Tênis Cruz Machado</v>
      </c>
      <c r="AB14" s="25">
        <f>SUMIFS(Controle!H:H,Controle!A:A,CONCAT("=",$AA14),Controle!I:I,"&lt;&gt;0")</f>
        <v>89.9</v>
      </c>
      <c r="AC14" s="4"/>
      <c r="AD14" s="25" t="s">
        <v>74</v>
      </c>
      <c r="AE14" s="25">
        <f>SUMIFS(Controle!H:H,Controle!D:D,CONCAT("=",$AD14),Controle!I:I,"&lt;&gt;0")</f>
        <v>1297.88</v>
      </c>
      <c r="AF14" s="4"/>
      <c r="AG14" s="4"/>
    </row>
    <row r="15" ht="15.0" customHeight="1">
      <c r="A15" s="13" t="s">
        <v>157</v>
      </c>
      <c r="B15" s="82">
        <v>0.0</v>
      </c>
      <c r="C15" s="84"/>
      <c r="D15" s="85"/>
      <c r="E15" s="86"/>
      <c r="F15" s="18" t="str">
        <f>HYPERLINK("https://docs.google.com/spreadsheets/d/1Uj96w5r3n0cneD7LaJDh3hKPtO69t6MtHFm4lkQ5K7I/edit?gid=775169775#gid=775169775&amp;range=A"&amp;MATCH(E15,Controle!E:E,0),"Ir")</f>
        <v>#N/A</v>
      </c>
      <c r="G15" s="18">
        <f>COUNTIF(Controle!E:E,CONCAT("=",E15))</f>
        <v>1214</v>
      </c>
      <c r="H15" s="14">
        <f>SUMIFS(Controle!G:G,Controle!E:E,CONCAT("=",$E15),Controle!H:H,"&lt;&gt;0")</f>
        <v>0</v>
      </c>
      <c r="I15" s="14">
        <f>SUMIFS(Controle!G:G,Controle!E:E,CONCAT("=",$E15),Controle!H:H,"=0")</f>
        <v>0</v>
      </c>
      <c r="J15" s="14">
        <f>SUMIFS(Controle!G:G,Controle!E:E,CONCAT("=",$E15))</f>
        <v>0</v>
      </c>
      <c r="K15" s="88"/>
      <c r="L15" s="88"/>
      <c r="M15" s="88"/>
      <c r="N15" s="88"/>
      <c r="O15" s="88"/>
      <c r="P15" s="88"/>
      <c r="Q15" s="86"/>
      <c r="R15" s="44">
        <f>SUMIFS(Controle!G:G,Controle!A:A,CONCAT("=",$Q15),Controle!H:H,"&lt;&gt;0")</f>
        <v>0</v>
      </c>
      <c r="S15" s="44">
        <f>SUMIFS(Controle!G:G,Controle!A:A,CONCAT("=",$Q15),Controle!H:H,"=0")</f>
        <v>0</v>
      </c>
      <c r="T15" s="44">
        <f>SUMIFS(Controle!G:G,Controle!A:A,CONCAT("=",$Q15))</f>
        <v>0</v>
      </c>
      <c r="U15" s="4"/>
      <c r="V15" s="76" t="str">
        <f>IFERROR(__xludf.DUMMYFUNCTION("""COMPUTED_VALUE"""),"E R Confecções - Chapéu Gaucho")</f>
        <v>E R Confecções - Chapéu Gaucho</v>
      </c>
      <c r="W15" s="25">
        <f>SUMIFS(Controle!G:G,Controle!A:A,CONCAT("=",$V15),Controle!H:H,"&lt;&gt;0")</f>
        <v>758.78</v>
      </c>
      <c r="X15" s="25">
        <f>SUMIFS(Controle!G:G,Controle!A:A,CONCAT("=",$V15),Controle!H:H,"=0")</f>
        <v>0</v>
      </c>
      <c r="Y15" s="25">
        <f>SUMIFS(Controle!G:G,Controle!A:A,CONCAT("=",$V15))</f>
        <v>758.78</v>
      </c>
      <c r="Z15" s="4"/>
      <c r="AA15" s="76" t="str">
        <f>IFERROR(__xludf.DUMMYFUNCTION("""COMPUTED_VALUE"""),"Pampasul")</f>
        <v>Pampasul</v>
      </c>
      <c r="AB15" s="25">
        <f>SUMIFS(Controle!H:H,Controle!A:A,CONCAT("=",$AA15),Controle!I:I,"&lt;&gt;0")</f>
        <v>9005.58</v>
      </c>
      <c r="AC15" s="4"/>
      <c r="AD15" s="25"/>
      <c r="AE15" s="25">
        <f>SUMIFS(Controle!H:H,Controle!D:D,CONCAT("=",$AD15),Controle!I:I,"&lt;&gt;0")</f>
        <v>0</v>
      </c>
      <c r="AF15" s="4"/>
      <c r="AG15" s="4"/>
    </row>
    <row r="16" ht="15.0" customHeight="1">
      <c r="A16" s="13" t="s">
        <v>158</v>
      </c>
      <c r="B16" s="82">
        <v>396.37</v>
      </c>
      <c r="C16" s="84"/>
      <c r="D16" s="85"/>
      <c r="E16" s="86"/>
      <c r="F16" s="18" t="str">
        <f>HYPERLINK("https://docs.google.com/spreadsheets/d/1Uj96w5r3n0cneD7LaJDh3hKPtO69t6MtHFm4lkQ5K7I/edit?gid=775169775#gid=775169775&amp;range=A"&amp;MATCH(E16,Controle!E:E,0),"Ir")</f>
        <v>#N/A</v>
      </c>
      <c r="G16" s="18">
        <f>COUNTIF(Controle!E:E,CONCAT("=",E16))</f>
        <v>1214</v>
      </c>
      <c r="H16" s="14">
        <f>SUMIFS(Controle!G:G,Controle!E:E,CONCAT("=",$E16),Controle!H:H,"&lt;&gt;0")</f>
        <v>0</v>
      </c>
      <c r="I16" s="14">
        <f>SUMIFS(Controle!G:G,Controle!E:E,CONCAT("=",$E16),Controle!H:H,"=0")</f>
        <v>0</v>
      </c>
      <c r="J16" s="14">
        <f>SUMIFS(Controle!G:G,Controle!E:E,CONCAT("=",$E16))</f>
        <v>0</v>
      </c>
      <c r="K16" s="88"/>
      <c r="L16" s="88"/>
      <c r="M16" s="88"/>
      <c r="N16" s="88"/>
      <c r="O16" s="88"/>
      <c r="P16" s="88"/>
      <c r="Q16" s="83"/>
      <c r="R16" s="44">
        <f>SUMIFS(Controle!G:G,Controle!A:A,CONCAT("=",$Q16),Controle!H:H,"&lt;&gt;0")</f>
        <v>0</v>
      </c>
      <c r="S16" s="44">
        <f>SUMIFS(Controle!G:G,Controle!A:A,CONCAT("=",$Q16),Controle!H:H,"=0")</f>
        <v>0</v>
      </c>
      <c r="T16" s="44">
        <f>SUMIFS(Controle!G:G,Controle!A:A,CONCAT("=",$Q16))</f>
        <v>0</v>
      </c>
      <c r="U16" s="4"/>
      <c r="V16" s="87" t="str">
        <f>IFERROR(__xludf.DUMMYFUNCTION("""COMPUTED_VALUE"""),"Pura Raça")</f>
        <v>Pura Raça</v>
      </c>
      <c r="W16" s="86">
        <f>SUMIFS(Controle!G:G,Controle!A:A,CONCAT("=",$V16),Controle!H:H,"&lt;&gt;0")</f>
        <v>5885.97</v>
      </c>
      <c r="X16" s="86">
        <f>SUMIFS(Controle!G:G,Controle!A:A,CONCAT("=",$V16),Controle!H:H,"=0")</f>
        <v>0</v>
      </c>
      <c r="Y16" s="86">
        <f>SUMIFS(Controle!G:G,Controle!A:A,CONCAT("=",$V16))</f>
        <v>5885.97</v>
      </c>
      <c r="Z16" s="4"/>
      <c r="AA16" s="76"/>
      <c r="AB16" s="25"/>
      <c r="AC16" s="4"/>
      <c r="AD16" s="86"/>
      <c r="AE16" s="86">
        <f>SUMIFS(Controle!H:H,Controle!D:D,CONCAT("=",$AD16),Controle!I:I,"&lt;&gt;0")</f>
        <v>0</v>
      </c>
      <c r="AF16" s="4"/>
      <c r="AG16" s="4"/>
    </row>
    <row r="17" ht="15.0" customHeight="1">
      <c r="A17" s="25"/>
      <c r="B17" s="14"/>
      <c r="C17" s="86"/>
      <c r="D17" s="4"/>
      <c r="E17" s="86"/>
      <c r="F17" s="18" t="str">
        <f>HYPERLINK("https://docs.google.com/spreadsheets/d/1Uj96w5r3n0cneD7LaJDh3hKPtO69t6MtHFm4lkQ5K7I/edit?gid=775169775#gid=775169775&amp;range=A"&amp;MATCH(E17,Controle!E:E,0),"Ir")</f>
        <v>#N/A</v>
      </c>
      <c r="G17" s="18">
        <f>COUNTIF(Controle!E:E,CONCAT("=",E17))</f>
        <v>1214</v>
      </c>
      <c r="H17" s="14">
        <f>SUMIFS(Controle!G:G,Controle!E:E,CONCAT("=",$E17),Controle!H:H,"&lt;&gt;0")</f>
        <v>0</v>
      </c>
      <c r="I17" s="14">
        <f>SUMIFS(Controle!G:G,Controle!E:E,CONCAT("=",$E17),Controle!H:H,"=0")</f>
        <v>0</v>
      </c>
      <c r="J17" s="14">
        <f>SUMIFS(Controle!G:G,Controle!E:E,CONCAT("=",$E17))</f>
        <v>0</v>
      </c>
      <c r="K17" s="88"/>
      <c r="L17" s="88"/>
      <c r="M17" s="88"/>
      <c r="N17" s="88"/>
      <c r="O17" s="88"/>
      <c r="P17" s="88"/>
      <c r="Q17" s="86"/>
      <c r="R17" s="44">
        <f>SUMIFS(Controle!G:G,Controle!A:A,CONCAT("=",$Q17),Controle!H:H,"&lt;&gt;0")</f>
        <v>0</v>
      </c>
      <c r="S17" s="44">
        <f>SUMIFS(Controle!G:G,Controle!A:A,CONCAT("=",$Q17),Controle!H:H,"=0")</f>
        <v>0</v>
      </c>
      <c r="T17" s="44">
        <f>SUMIFS(Controle!G:G,Controle!A:A,CONCAT("=",$Q17))</f>
        <v>0</v>
      </c>
      <c r="U17" s="4"/>
      <c r="V17" s="87" t="str">
        <f>IFERROR(__xludf.DUMMYFUNCTION("""COMPUTED_VALUE"""),"Black")</f>
        <v>Black</v>
      </c>
      <c r="W17" s="86">
        <f>SUMIFS(Controle!G:G,Controle!A:A,CONCAT("=",$V17),Controle!H:H,"&lt;&gt;0")</f>
        <v>541.2</v>
      </c>
      <c r="X17" s="86">
        <f>SUMIFS(Controle!G:G,Controle!A:A,CONCAT("=",$V17),Controle!H:H,"=0")</f>
        <v>0</v>
      </c>
      <c r="Y17" s="86">
        <f>SUMIFS(Controle!G:G,Controle!A:A,CONCAT("=",$V17))</f>
        <v>541.2</v>
      </c>
      <c r="Z17" s="4"/>
      <c r="AA17" s="25"/>
      <c r="AB17" s="25"/>
      <c r="AC17" s="4"/>
      <c r="AD17" s="86"/>
      <c r="AE17" s="86">
        <f>SUMIFS(Controle!H:H,Controle!D:D,CONCAT("=",$AD17),Controle!I:I,"&lt;&gt;0")</f>
        <v>0</v>
      </c>
      <c r="AF17" s="4"/>
      <c r="AG17" s="4"/>
    </row>
    <row r="18" ht="15.0" customHeight="1">
      <c r="A18" s="89" t="s">
        <v>39</v>
      </c>
      <c r="B18" s="90">
        <f>SUM(B8:B17)</f>
        <v>6972.62244</v>
      </c>
      <c r="C18" s="91"/>
      <c r="D18" s="92"/>
      <c r="E18" s="86"/>
      <c r="F18" s="18" t="str">
        <f>HYPERLINK("https://docs.google.com/spreadsheets/d/1Uj96w5r3n0cneD7LaJDh3hKPtO69t6MtHFm4lkQ5K7I/edit?gid=775169775#gid=775169775&amp;range=A"&amp;MATCH(E18,Controle!E:E,0),"Ir")</f>
        <v>#N/A</v>
      </c>
      <c r="G18" s="18">
        <f>COUNTIF(Controle!E:E,CONCAT("=",E18))</f>
        <v>1214</v>
      </c>
      <c r="H18" s="14">
        <f>SUMIFS(Controle!G:G,Controle!E:E,CONCAT("=",$E18),Controle!H:H,"&lt;&gt;0")</f>
        <v>0</v>
      </c>
      <c r="I18" s="14">
        <f>SUMIFS(Controle!G:G,Controle!E:E,CONCAT("=",$E18),Controle!H:H,"=0")</f>
        <v>0</v>
      </c>
      <c r="J18" s="14">
        <f>SUMIFS(Controle!G:G,Controle!E:E,CONCAT("=",$E18))</f>
        <v>0</v>
      </c>
      <c r="K18" s="88"/>
      <c r="L18" s="88"/>
      <c r="M18" s="88"/>
      <c r="N18" s="88"/>
      <c r="O18" s="88"/>
      <c r="P18" s="88"/>
      <c r="Q18" s="93"/>
      <c r="R18" s="44">
        <f>SUMIFS(Controle!G:G,Controle!A:A,CONCAT("=",$Q18),Controle!H:H,"&lt;&gt;0")</f>
        <v>0</v>
      </c>
      <c r="S18" s="44">
        <f>SUMIFS(Controle!G:G,Controle!A:A,CONCAT("=",$Q18),Controle!H:H,"=0")</f>
        <v>0</v>
      </c>
      <c r="T18" s="44">
        <f>SUMIFS(Controle!G:G,Controle!A:A,CONCAT("=",$Q18))</f>
        <v>0</v>
      </c>
      <c r="U18" s="4"/>
      <c r="V18" s="86"/>
      <c r="W18" s="86">
        <f>SUMIFS(Controle!G:G,Controle!A:A,CONCAT("=",$V18),Controle!H:H,"&lt;&gt;0")</f>
        <v>0</v>
      </c>
      <c r="X18" s="86">
        <f>SUMIFS(Controle!G:G,Controle!A:A,CONCAT("=",$V18),Controle!H:H,"=0")</f>
        <v>0</v>
      </c>
      <c r="Y18" s="86">
        <f>SUMIFS(Controle!G:G,Controle!A:A,CONCAT("=",$V18))</f>
        <v>0</v>
      </c>
      <c r="Z18" s="4"/>
      <c r="AA18" s="25"/>
      <c r="AB18" s="25"/>
      <c r="AC18" s="4"/>
      <c r="AD18" s="86"/>
      <c r="AE18" s="86">
        <f>SUMIFS(Controle!H:H,Controle!D:D,CONCAT("=",$AD18),Controle!I:I,"&lt;&gt;0")</f>
        <v>0</v>
      </c>
      <c r="AF18" s="4"/>
      <c r="AG18" s="4"/>
    </row>
    <row r="19" ht="15.0" customHeight="1">
      <c r="A19" s="83" t="s">
        <v>159</v>
      </c>
      <c r="B19" s="94">
        <f>B18-B3</f>
        <v>-2401.23756</v>
      </c>
      <c r="C19" s="94">
        <f>SUM(C8:C18)+B19</f>
        <v>-1015.50756</v>
      </c>
      <c r="D19" s="4"/>
      <c r="E19" s="86"/>
      <c r="F19" s="18" t="str">
        <f>HYPERLINK("https://docs.google.com/spreadsheets/d/1Uj96w5r3n0cneD7LaJDh3hKPtO69t6MtHFm4lkQ5K7I/edit?gid=775169775#gid=775169775&amp;range=A"&amp;MATCH(E19,Controle!E:E,0),"Ir")</f>
        <v>#N/A</v>
      </c>
      <c r="G19" s="18">
        <f>COUNTIF(Controle!E:E,CONCAT("=",E19))</f>
        <v>1214</v>
      </c>
      <c r="H19" s="14">
        <f>SUMIFS(Controle!G:G,Controle!E:E,CONCAT("=",$E19),Controle!H:H,"&lt;&gt;0")</f>
        <v>0</v>
      </c>
      <c r="I19" s="14">
        <f>SUMIFS(Controle!G:G,Controle!E:E,CONCAT("=",$E19),Controle!H:H,"=0")</f>
        <v>0</v>
      </c>
      <c r="J19" s="14">
        <f>SUMIFS(Controle!G:G,Controle!E:E,CONCAT("=",$E19))</f>
        <v>0</v>
      </c>
      <c r="K19" s="88"/>
      <c r="L19" s="88"/>
      <c r="M19" s="88"/>
      <c r="N19" s="88"/>
      <c r="O19" s="88"/>
      <c r="P19" s="88"/>
      <c r="Q19" s="95"/>
      <c r="R19" s="44">
        <f>SUMIFS(Controle!G:G,Controle!A:A,CONCAT("=",$Q19),Controle!H:H,"&lt;&gt;0")</f>
        <v>0</v>
      </c>
      <c r="S19" s="44">
        <f>SUMIFS(Controle!G:G,Controle!A:A,CONCAT("=",$Q19),Controle!H:H,"=0")</f>
        <v>0</v>
      </c>
      <c r="T19" s="44">
        <f>SUMIFS(Controle!G:G,Controle!A:A,CONCAT("=",$Q19))</f>
        <v>0</v>
      </c>
      <c r="U19" s="4"/>
      <c r="V19" s="86"/>
      <c r="W19" s="86">
        <f>SUMIFS(Controle!G:G,Controle!A:A,CONCAT("=",$V19),Controle!H:H,"&lt;&gt;0")</f>
        <v>0</v>
      </c>
      <c r="X19" s="86">
        <f>SUMIFS(Controle!G:G,Controle!A:A,CONCAT("=",$V19),Controle!H:H,"=0")</f>
        <v>0</v>
      </c>
      <c r="Y19" s="86">
        <f>SUMIFS(Controle!G:G,Controle!A:A,CONCAT("=",$V19))</f>
        <v>0</v>
      </c>
      <c r="Z19" s="4"/>
      <c r="AA19" s="25"/>
      <c r="AB19" s="25"/>
      <c r="AC19" s="4"/>
      <c r="AD19" s="86"/>
      <c r="AE19" s="86">
        <f>SUMIFS(Controle!H:H,Controle!D:D,CONCAT("=",$AD19),Controle!I:I,"&lt;&gt;0")</f>
        <v>0</v>
      </c>
      <c r="AF19" s="4"/>
      <c r="AG19" s="4"/>
    </row>
    <row r="20" ht="15.0" customHeight="1">
      <c r="A20" s="88"/>
      <c r="B20" s="88"/>
      <c r="C20" s="4"/>
      <c r="D20" s="4"/>
      <c r="E20" s="4"/>
      <c r="F20" s="4"/>
      <c r="G20" s="3"/>
      <c r="H20" s="3"/>
      <c r="I20" s="4"/>
      <c r="J20" s="4"/>
      <c r="K20" s="88"/>
      <c r="L20" s="88"/>
      <c r="M20" s="88"/>
      <c r="N20" s="88"/>
      <c r="O20" s="88"/>
      <c r="P20" s="88"/>
      <c r="Q20" s="96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ht="15.0" customHeight="1">
      <c r="A21" s="88"/>
      <c r="B21" s="88"/>
      <c r="C21" s="4"/>
      <c r="D21" s="4"/>
      <c r="E21" s="4"/>
      <c r="F21" s="4"/>
      <c r="G21" s="3"/>
      <c r="H21" s="3"/>
      <c r="I21" s="4"/>
      <c r="J21" s="4"/>
      <c r="K21" s="88"/>
      <c r="L21" s="88"/>
      <c r="M21" s="88"/>
      <c r="N21" s="88"/>
      <c r="O21" s="88"/>
      <c r="P21" s="88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ht="15.0" customHeight="1">
      <c r="A22" s="5" t="s">
        <v>161</v>
      </c>
      <c r="B22" s="5" t="s">
        <v>86</v>
      </c>
      <c r="C22" s="10" t="s">
        <v>162</v>
      </c>
      <c r="D22" s="5" t="s">
        <v>163</v>
      </c>
      <c r="E22" s="5" t="s">
        <v>164</v>
      </c>
      <c r="F22" s="5" t="s">
        <v>165</v>
      </c>
      <c r="G22" s="5" t="s">
        <v>166</v>
      </c>
      <c r="H22" s="5" t="s">
        <v>167</v>
      </c>
      <c r="I22" s="4"/>
      <c r="J22" s="3"/>
      <c r="K22" s="3"/>
      <c r="L22" s="3"/>
      <c r="M22" s="3"/>
      <c r="N22" s="3"/>
      <c r="O22" s="3"/>
      <c r="P22" s="3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ht="15.0" customHeight="1">
      <c r="A23" s="97">
        <v>45524.0</v>
      </c>
      <c r="B23" s="82">
        <v>1210.7</v>
      </c>
      <c r="C23" s="13"/>
      <c r="D23" s="13">
        <v>10.0</v>
      </c>
      <c r="E23" s="13">
        <f>IF($A23,IF(IFERROR(DATEDIF($A23,CONCAT("01/",Mês_atual[[#HEADERS],[9/2026]]),"M"),0)&lt;$D23,$D23-IFERROR(IFERROR(DATEDIF($A23,CONCAT("01/",Mês_atual[[#HEADERS],[9/2026]]),"M"),0),0),0),"")</f>
        <v>0</v>
      </c>
      <c r="F23" s="82">
        <f t="shared" ref="F23:F37" si="2">E23*B23</f>
        <v>0</v>
      </c>
      <c r="G23" s="13">
        <f t="shared" ref="G23:G37" si="3">D23-E23</f>
        <v>10</v>
      </c>
      <c r="H23" s="82">
        <f t="shared" ref="H23:H37" si="4">G23*B23</f>
        <v>12107</v>
      </c>
      <c r="I23" s="4"/>
      <c r="J23" s="3"/>
      <c r="K23" s="3"/>
      <c r="L23" s="3">
        <v>1683.09</v>
      </c>
      <c r="M23" s="3"/>
      <c r="N23" s="3"/>
      <c r="O23" s="3"/>
      <c r="P23" s="3"/>
      <c r="Q23" s="98"/>
      <c r="R23" s="99"/>
      <c r="S23" s="100"/>
      <c r="U23" s="4"/>
      <c r="V23" s="3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ht="15.0" customHeight="1">
      <c r="A24" s="97">
        <v>45558.0</v>
      </c>
      <c r="B24" s="82">
        <v>1250.0</v>
      </c>
      <c r="C24" s="13"/>
      <c r="D24" s="13">
        <v>12.0</v>
      </c>
      <c r="E24" s="13">
        <f>IF($A24,IF(IFERROR(DATEDIF($A24,CONCAT("01/",Mês_atual[[#HEADERS],[9/2026]]),"M"),0)&lt;$D24,$D24-IFERROR(IFERROR(DATEDIF($A24,CONCAT("01/",Mês_atual[[#HEADERS],[9/2026]]),"M"),0),0),0),"")</f>
        <v>0</v>
      </c>
      <c r="F24" s="82">
        <f t="shared" si="2"/>
        <v>0</v>
      </c>
      <c r="G24" s="13">
        <f t="shared" si="3"/>
        <v>12</v>
      </c>
      <c r="H24" s="82">
        <f t="shared" si="4"/>
        <v>15000</v>
      </c>
      <c r="I24" s="4"/>
      <c r="J24" s="3"/>
      <c r="K24" s="3"/>
      <c r="L24" s="3">
        <v>2965.46</v>
      </c>
      <c r="M24" s="3"/>
      <c r="N24" s="3"/>
      <c r="O24" s="3"/>
      <c r="P24" s="3"/>
      <c r="R24" s="99"/>
      <c r="S24" s="100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ht="15.0" customHeight="1">
      <c r="A25" s="103">
        <v>45586.0</v>
      </c>
      <c r="B25" s="82">
        <v>1216.96</v>
      </c>
      <c r="C25" s="13"/>
      <c r="D25" s="13">
        <v>10.0</v>
      </c>
      <c r="E25" s="13">
        <f>IF($A25,IF(IFERROR(DATEDIF($A25,CONCAT("01/",Mês_atual[[#HEADERS],[9/2026]]),"M"),0)&lt;$D25,$D25-IFERROR(IFERROR(DATEDIF($A25,CONCAT("01/",Mês_atual[[#HEADERS],[9/2026]]),"M"),0),0),0),"")</f>
        <v>0</v>
      </c>
      <c r="F25" s="82">
        <f t="shared" si="2"/>
        <v>0</v>
      </c>
      <c r="G25" s="13">
        <f t="shared" si="3"/>
        <v>10</v>
      </c>
      <c r="H25" s="82">
        <f t="shared" si="4"/>
        <v>12169.6</v>
      </c>
      <c r="I25" s="3"/>
      <c r="J25" s="3"/>
      <c r="K25" s="3"/>
      <c r="L25" s="3">
        <v>500.0</v>
      </c>
      <c r="M25" s="3"/>
      <c r="N25" s="3"/>
      <c r="O25" s="3"/>
      <c r="P25" s="3"/>
      <c r="R25" s="99"/>
      <c r="S25" s="100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ht="15.0" customHeight="1">
      <c r="A26" s="103">
        <v>45617.0</v>
      </c>
      <c r="B26" s="82">
        <v>1062.21</v>
      </c>
      <c r="C26" s="13"/>
      <c r="D26" s="13">
        <v>10.0</v>
      </c>
      <c r="E26" s="13">
        <f>IF($A26,IF(IFERROR(DATEDIF($A26,CONCAT("01/",Mês_atual[[#HEADERS],[9/2026]]),"M"),0)&lt;$D26,$D26-IFERROR(IFERROR(DATEDIF($A26,CONCAT("01/",Mês_atual[[#HEADERS],[9/2026]]),"M"),0),0),0),"")</f>
        <v>0</v>
      </c>
      <c r="F26" s="82">
        <f t="shared" si="2"/>
        <v>0</v>
      </c>
      <c r="G26" s="13">
        <f t="shared" si="3"/>
        <v>10</v>
      </c>
      <c r="H26" s="82">
        <f t="shared" si="4"/>
        <v>10622.1</v>
      </c>
      <c r="I26" s="3"/>
      <c r="J26" s="3"/>
      <c r="K26" s="3"/>
      <c r="L26" s="3">
        <v>160.0</v>
      </c>
      <c r="M26" s="3"/>
      <c r="N26" s="3"/>
      <c r="O26" s="3"/>
      <c r="P26" s="3"/>
      <c r="R26" s="99"/>
      <c r="S26" s="100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ht="15.0" customHeight="1">
      <c r="A27" s="104">
        <v>45645.0</v>
      </c>
      <c r="B27" s="82">
        <v>1021.03</v>
      </c>
      <c r="C27" s="13"/>
      <c r="D27" s="13">
        <v>10.0</v>
      </c>
      <c r="E27" s="13">
        <f>IF($A27,IF(IFERROR(DATEDIF($A27,CONCAT("01/",Mês_atual[[#HEADERS],[9/2026]]),"M"),0)&lt;$D27,$D27-IFERROR(IFERROR(DATEDIF($A27,CONCAT("01/",Mês_atual[[#HEADERS],[9/2026]]),"M"),0),0),0),"")</f>
        <v>0</v>
      </c>
      <c r="F27" s="82">
        <f t="shared" si="2"/>
        <v>0</v>
      </c>
      <c r="G27" s="13">
        <f t="shared" si="3"/>
        <v>10</v>
      </c>
      <c r="H27" s="82">
        <f t="shared" si="4"/>
        <v>10210.3</v>
      </c>
      <c r="I27" s="3"/>
      <c r="J27" s="3"/>
      <c r="K27" s="3"/>
      <c r="L27" s="3">
        <v>300.0</v>
      </c>
      <c r="M27" s="3"/>
      <c r="N27" s="3"/>
      <c r="O27" s="3"/>
      <c r="P27" s="3"/>
      <c r="R27" s="99"/>
      <c r="S27" s="100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ht="15.0" customHeight="1">
      <c r="A28" s="97">
        <v>45678.0</v>
      </c>
      <c r="B28" s="82">
        <v>583.95</v>
      </c>
      <c r="C28" s="13"/>
      <c r="D28" s="13">
        <v>12.0</v>
      </c>
      <c r="E28" s="13">
        <f>IF($A28,IF(IFERROR(DATEDIF($A28,CONCAT("01/",Mês_atual[[#HEADERS],[9/2026]]),"M"),0)&lt;$D28,$D28-IFERROR(IFERROR(DATEDIF($A28,CONCAT("01/",Mês_atual[[#HEADERS],[9/2026]]),"M"),0),0),0),"")</f>
        <v>0</v>
      </c>
      <c r="F28" s="82">
        <f t="shared" si="2"/>
        <v>0</v>
      </c>
      <c r="G28" s="13">
        <f t="shared" si="3"/>
        <v>12</v>
      </c>
      <c r="H28" s="82">
        <f t="shared" si="4"/>
        <v>7007.4</v>
      </c>
      <c r="I28" s="3"/>
      <c r="J28" s="3"/>
      <c r="K28" s="3"/>
      <c r="L28" s="3">
        <f>L23-(L24+L25+L26+L27)</f>
        <v>-2242.37</v>
      </c>
      <c r="M28" s="3"/>
      <c r="N28" s="3"/>
      <c r="O28" s="3"/>
      <c r="P28" s="3"/>
      <c r="R28" s="99"/>
      <c r="S28" s="100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ht="15.0" customHeight="1">
      <c r="A29" s="97">
        <v>45708.0</v>
      </c>
      <c r="B29" s="82">
        <v>683.23</v>
      </c>
      <c r="C29" s="13"/>
      <c r="D29" s="13">
        <v>12.0</v>
      </c>
      <c r="E29" s="13">
        <f>IF($A29,IF(IFERROR(DATEDIF($A29,CONCAT("01/",Mês_atual[[#HEADERS],[9/2026]]),"M"),0)&lt;$D29,$D29-IFERROR(IFERROR(DATEDIF($A29,CONCAT("01/",Mês_atual[[#HEADERS],[9/2026]]),"M"),0),0),0),"")</f>
        <v>0</v>
      </c>
      <c r="F29" s="82">
        <f t="shared" si="2"/>
        <v>0</v>
      </c>
      <c r="G29" s="13">
        <f t="shared" si="3"/>
        <v>12</v>
      </c>
      <c r="H29" s="82">
        <f t="shared" si="4"/>
        <v>8198.76</v>
      </c>
      <c r="I29" s="3"/>
      <c r="J29" s="4"/>
      <c r="K29" s="4"/>
      <c r="L29" s="4"/>
      <c r="M29" s="4"/>
      <c r="N29" s="4"/>
      <c r="O29" s="4"/>
      <c r="P29" s="4"/>
      <c r="Q29" s="77"/>
      <c r="R29" s="3"/>
      <c r="S29" s="3"/>
      <c r="T29" s="3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ht="15.0" customHeight="1">
      <c r="A30" s="97">
        <v>45740.0</v>
      </c>
      <c r="B30" s="82">
        <v>681.26</v>
      </c>
      <c r="C30" s="13"/>
      <c r="D30" s="13">
        <v>10.0</v>
      </c>
      <c r="E30" s="13">
        <f>IF($A30,IF(IFERROR(DATEDIF($A30,CONCAT("01/",Mês_atual[[#HEADERS],[9/2026]]),"M"),0)&lt;$D30,$D30-IFERROR(IFERROR(DATEDIF($A30,CONCAT("01/",Mês_atual[[#HEADERS],[9/2026]]),"M"),0),0),0),"")</f>
        <v>0</v>
      </c>
      <c r="F30" s="82">
        <f t="shared" si="2"/>
        <v>0</v>
      </c>
      <c r="G30" s="13">
        <f t="shared" si="3"/>
        <v>10</v>
      </c>
      <c r="H30" s="82">
        <f t="shared" si="4"/>
        <v>6812.6</v>
      </c>
      <c r="I30" s="3"/>
      <c r="J30" s="4"/>
      <c r="K30" s="4"/>
      <c r="L30" s="4"/>
      <c r="M30" s="4"/>
      <c r="N30" s="4"/>
      <c r="O30" s="4"/>
      <c r="P30" s="4"/>
      <c r="Q30" s="105"/>
      <c r="R30" s="3"/>
      <c r="S30" s="3"/>
      <c r="T30" s="3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ht="15.0" customHeight="1">
      <c r="A31" s="97">
        <v>45771.0</v>
      </c>
      <c r="B31" s="82">
        <v>694.8</v>
      </c>
      <c r="C31" s="13"/>
      <c r="D31" s="13">
        <v>10.0</v>
      </c>
      <c r="E31" s="13">
        <f>IF($A31,IF(IFERROR(DATEDIF($A31,CONCAT("01/",Mês_atual[[#HEADERS],[9/2026]]),"M"),0)&lt;$D31,$D31-IFERROR(IFERROR(DATEDIF($A31,CONCAT("01/",Mês_atual[[#HEADERS],[9/2026]]),"M"),0),0),0),"")</f>
        <v>0</v>
      </c>
      <c r="F31" s="82">
        <f t="shared" si="2"/>
        <v>0</v>
      </c>
      <c r="G31" s="13">
        <f t="shared" si="3"/>
        <v>10</v>
      </c>
      <c r="H31" s="82">
        <f t="shared" si="4"/>
        <v>6948</v>
      </c>
      <c r="I31" s="3"/>
      <c r="J31" s="4"/>
      <c r="K31" s="4"/>
      <c r="L31" s="4"/>
      <c r="M31" s="4"/>
      <c r="N31" s="4"/>
      <c r="O31" s="4"/>
      <c r="P31" s="4"/>
      <c r="Q31" s="105"/>
      <c r="R31" s="3"/>
      <c r="S31" s="3"/>
      <c r="T31" s="3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ht="15.0" customHeight="1">
      <c r="A32" s="97">
        <v>45800.0</v>
      </c>
      <c r="B32" s="82">
        <v>700.0</v>
      </c>
      <c r="C32" s="13"/>
      <c r="D32" s="13">
        <v>10.0</v>
      </c>
      <c r="E32" s="13">
        <f>IF($A32,IF(IFERROR(DATEDIF($A32,CONCAT("01/",Mês_atual[[#HEADERS],[9/2026]]),"M"),0)&lt;$D32,$D32-IFERROR(IFERROR(DATEDIF($A32,CONCAT("01/",Mês_atual[[#HEADERS],[9/2026]]),"M"),0),0),0),"")</f>
        <v>0</v>
      </c>
      <c r="F32" s="82">
        <f t="shared" si="2"/>
        <v>0</v>
      </c>
      <c r="G32" s="13">
        <f t="shared" si="3"/>
        <v>10</v>
      </c>
      <c r="H32" s="82">
        <f t="shared" si="4"/>
        <v>7000</v>
      </c>
      <c r="I32" s="3"/>
      <c r="J32" s="4"/>
      <c r="K32" s="4"/>
      <c r="L32" s="4"/>
      <c r="M32" s="4"/>
      <c r="N32" s="4"/>
      <c r="O32" s="4"/>
      <c r="P32" s="4"/>
      <c r="Q32" s="78"/>
      <c r="R32" s="3"/>
      <c r="S32" s="3"/>
      <c r="T32" s="3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ht="15.0" customHeight="1">
      <c r="A33" s="97">
        <v>45832.0</v>
      </c>
      <c r="B33" s="82">
        <v>500.0</v>
      </c>
      <c r="C33" s="13"/>
      <c r="D33" s="13">
        <v>10.0</v>
      </c>
      <c r="E33" s="13">
        <f>IF($A33,IF(IFERROR(DATEDIF($A33,CONCAT("01/",Mês_atual[[#HEADERS],[9/2026]]),"M"),0)&lt;$D33,$D33-IFERROR(IFERROR(DATEDIF($A33,CONCAT("01/",Mês_atual[[#HEADERS],[9/2026]]),"M"),0),0),0),"")</f>
        <v>0</v>
      </c>
      <c r="F33" s="82">
        <f t="shared" si="2"/>
        <v>0</v>
      </c>
      <c r="G33" s="13">
        <f t="shared" si="3"/>
        <v>10</v>
      </c>
      <c r="H33" s="82">
        <f t="shared" si="4"/>
        <v>5000</v>
      </c>
      <c r="I33" s="3"/>
      <c r="J33" s="4"/>
      <c r="K33" s="4"/>
      <c r="L33" s="4"/>
      <c r="M33" s="4"/>
      <c r="N33" s="4"/>
      <c r="O33" s="4"/>
      <c r="P33" s="4"/>
      <c r="Q33" s="78"/>
      <c r="R33" s="3"/>
      <c r="S33" s="3"/>
      <c r="T33" s="3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ht="15.0" customHeight="1">
      <c r="A34" s="97">
        <v>45861.0</v>
      </c>
      <c r="B34" s="82">
        <v>800.0</v>
      </c>
      <c r="C34" s="13"/>
      <c r="D34" s="13">
        <v>10.0</v>
      </c>
      <c r="E34" s="13">
        <f>IF($A34,IF(IFERROR(DATEDIF($A34,CONCAT("01/",Mês_atual[[#HEADERS],[9/2026]]),"M"),0)&lt;$D34,$D34-IFERROR(IFERROR(DATEDIF($A34,CONCAT("01/",Mês_atual[[#HEADERS],[9/2026]]),"M"),0),0),0),"")</f>
        <v>0</v>
      </c>
      <c r="F34" s="82">
        <f t="shared" si="2"/>
        <v>0</v>
      </c>
      <c r="G34" s="13">
        <f t="shared" si="3"/>
        <v>10</v>
      </c>
      <c r="H34" s="82">
        <f t="shared" si="4"/>
        <v>8000</v>
      </c>
      <c r="I34" s="3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ht="15.0" customHeight="1">
      <c r="A35" s="97">
        <v>45892.0</v>
      </c>
      <c r="B35" s="82">
        <v>700.0</v>
      </c>
      <c r="C35" s="13"/>
      <c r="D35" s="13">
        <v>12.0</v>
      </c>
      <c r="E35" s="13">
        <f>IF($A35,IF(IFERROR(DATEDIF($A35,CONCAT("01/",Mês_atual[[#HEADERS],[9/2026]]),"M"),0)&lt;$D35,$D35-IFERROR(IFERROR(DATEDIF($A35,CONCAT("01/",Mês_atual[[#HEADERS],[9/2026]]),"M"),0),0),0),"")</f>
        <v>0</v>
      </c>
      <c r="F35" s="82">
        <f t="shared" si="2"/>
        <v>0</v>
      </c>
      <c r="G35" s="13">
        <f t="shared" si="3"/>
        <v>12</v>
      </c>
      <c r="H35" s="82">
        <f t="shared" si="4"/>
        <v>8400</v>
      </c>
      <c r="I35" s="4"/>
      <c r="J35" s="4"/>
      <c r="K35" s="4"/>
      <c r="L35" s="4"/>
      <c r="M35" s="4"/>
      <c r="N35" s="4"/>
      <c r="O35" s="4"/>
      <c r="P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ht="15.0" customHeight="1">
      <c r="A36" s="97">
        <v>45923.0</v>
      </c>
      <c r="B36" s="82">
        <v>1000.0</v>
      </c>
      <c r="C36" s="13"/>
      <c r="D36" s="13">
        <v>12.0</v>
      </c>
      <c r="E36" s="13">
        <f>IF($A36,IF(IFERROR(DATEDIF($A36,CONCAT("01/",Mês_atual[[#HEADERS],[9/2026]]),"M"),0)&lt;$D36,$D36-IFERROR(IFERROR(DATEDIF($A36,CONCAT("01/",Mês_atual[[#HEADERS],[9/2026]]),"M"),0),0),0),"")</f>
        <v>1</v>
      </c>
      <c r="F36" s="82">
        <f t="shared" si="2"/>
        <v>1000</v>
      </c>
      <c r="G36" s="13">
        <f t="shared" si="3"/>
        <v>11</v>
      </c>
      <c r="H36" s="82">
        <f t="shared" si="4"/>
        <v>11000</v>
      </c>
      <c r="I36" s="4"/>
      <c r="J36" s="4"/>
      <c r="K36" s="4"/>
      <c r="L36" s="4"/>
      <c r="M36" s="4"/>
      <c r="N36" s="4"/>
      <c r="O36" s="4"/>
      <c r="P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ht="15.0" customHeight="1">
      <c r="A37" s="97">
        <v>45952.0</v>
      </c>
      <c r="B37" s="82">
        <v>791.74</v>
      </c>
      <c r="C37" s="13"/>
      <c r="D37" s="13">
        <v>12.0</v>
      </c>
      <c r="E37" s="13">
        <f>IF($A37,IF(IFERROR(DATEDIF($A37,CONCAT("01/",Mês_atual[[#HEADERS],[9/2026]]),"M"),0)&lt;$D37,$D37-IFERROR(IFERROR(DATEDIF($A37,CONCAT("01/",Mês_atual[[#HEADERS],[9/2026]]),"M"),0),0),0),"")</f>
        <v>2</v>
      </c>
      <c r="F37" s="82">
        <f t="shared" si="2"/>
        <v>1583.48</v>
      </c>
      <c r="G37" s="13">
        <f t="shared" si="3"/>
        <v>10</v>
      </c>
      <c r="H37" s="82">
        <f t="shared" si="4"/>
        <v>7917.4</v>
      </c>
      <c r="I37" s="4"/>
      <c r="J37" s="4"/>
      <c r="K37" s="4"/>
      <c r="L37" s="4"/>
      <c r="M37" s="4"/>
      <c r="N37" s="4"/>
      <c r="O37" s="4"/>
      <c r="P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ht="15.0" customHeight="1">
      <c r="A38" s="25"/>
      <c r="B38" s="25">
        <f>SUMIF(Santander[Pendentes],"&gt;0",Santander[Parcela])</f>
        <v>1791.74</v>
      </c>
      <c r="C38" s="25"/>
      <c r="D38" s="25"/>
      <c r="E38" s="25"/>
      <c r="F38" s="90">
        <f>SUM(F23:F37)</f>
        <v>2583.48</v>
      </c>
      <c r="G38" s="106"/>
      <c r="H38" s="107">
        <f>SUM(H23:H35)</f>
        <v>117475.76</v>
      </c>
      <c r="I38" s="4"/>
      <c r="J38" s="4"/>
      <c r="K38" s="4"/>
      <c r="L38" s="4"/>
      <c r="M38" s="4"/>
      <c r="N38" s="4"/>
      <c r="O38" s="4"/>
      <c r="P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ht="15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ht="15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ht="15.0" customHeight="1">
      <c r="A41" s="5" t="s">
        <v>161</v>
      </c>
      <c r="B41" s="5" t="s">
        <v>86</v>
      </c>
      <c r="C41" s="10" t="s">
        <v>162</v>
      </c>
      <c r="D41" s="5" t="s">
        <v>163</v>
      </c>
      <c r="E41" s="5" t="s">
        <v>164</v>
      </c>
      <c r="F41" s="5" t="s">
        <v>165</v>
      </c>
      <c r="G41" s="5" t="s">
        <v>166</v>
      </c>
      <c r="H41" s="5" t="s">
        <v>167</v>
      </c>
      <c r="I41" s="4"/>
      <c r="J41" s="4"/>
      <c r="K41" s="4"/>
      <c r="L41" s="4"/>
      <c r="M41" s="4"/>
      <c r="N41" s="4"/>
      <c r="O41" s="4"/>
      <c r="P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ht="15.0" customHeight="1">
      <c r="A42" s="97">
        <v>45952.0</v>
      </c>
      <c r="B42" s="108">
        <v>250.0</v>
      </c>
      <c r="C42" s="83"/>
      <c r="D42" s="83">
        <v>12.0</v>
      </c>
      <c r="E42" s="13">
        <f>IF($A42,IF(IFERROR(DATEDIF($A42,CONCAT("01/",Mês_atual[[#HEADERS],[9/2026]]),"M"),0)&lt;$D42,$D42-IFERROR(DATEDIF($A42,CONCAT("01/",Mês_atual[[#HEADERS],[9/2026]]),"M"),0),0),"")</f>
        <v>2</v>
      </c>
      <c r="F42" s="82">
        <f t="shared" ref="F42:F47" si="5">E42*B42</f>
        <v>500</v>
      </c>
      <c r="G42" s="13">
        <f t="shared" ref="G42:G47" si="6">D42-E42</f>
        <v>10</v>
      </c>
      <c r="H42" s="82">
        <f t="shared" ref="H42:H47" si="7">G42*B42</f>
        <v>2500</v>
      </c>
      <c r="I42" s="4"/>
      <c r="J42" s="4"/>
      <c r="K42" s="4"/>
      <c r="L42" s="4"/>
      <c r="M42" s="4"/>
      <c r="N42" s="4"/>
      <c r="O42" s="4"/>
      <c r="P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ht="15.0" customHeight="1">
      <c r="A43" s="97">
        <v>45885.0</v>
      </c>
      <c r="B43" s="108">
        <v>300.0</v>
      </c>
      <c r="C43" s="83"/>
      <c r="D43" s="83">
        <v>10.0</v>
      </c>
      <c r="E43" s="13">
        <f>IF($A43,IF(IFERROR(DATEDIF($A43,CONCAT("01/",Mês_atual[[#HEADERS],[9/2026]]),"M"),0)&lt;$D43,$D43-IFERROR(DATEDIF($A43,CONCAT("01/",Mês_atual[[#HEADERS],[9/2026]]),"M"),0),0),"")</f>
        <v>0</v>
      </c>
      <c r="F43" s="82">
        <f t="shared" si="5"/>
        <v>0</v>
      </c>
      <c r="G43" s="13">
        <f t="shared" si="6"/>
        <v>10</v>
      </c>
      <c r="H43" s="82">
        <f t="shared" si="7"/>
        <v>3000</v>
      </c>
      <c r="I43" s="4"/>
      <c r="J43" s="4"/>
      <c r="K43" s="4"/>
      <c r="L43" s="4"/>
      <c r="M43" s="4"/>
      <c r="N43" s="4"/>
      <c r="O43" s="4"/>
      <c r="P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ht="15.0" customHeight="1">
      <c r="A44" s="109">
        <v>45771.0</v>
      </c>
      <c r="B44" s="108">
        <v>400.0</v>
      </c>
      <c r="C44" s="83"/>
      <c r="D44" s="83">
        <v>5.0</v>
      </c>
      <c r="E44" s="13">
        <f>IF($A44,IF(IFERROR(DATEDIF($A44,CONCAT("01/",Mês_atual[[#HEADERS],[9/2026]]),"M"),0)&lt;$D44,$D44-IFERROR(DATEDIF($A44,CONCAT("01/",Mês_atual[[#HEADERS],[9/2026]]),"M"),0),0),"")</f>
        <v>0</v>
      </c>
      <c r="F44" s="108">
        <f t="shared" si="5"/>
        <v>0</v>
      </c>
      <c r="G44" s="83">
        <f t="shared" si="6"/>
        <v>5</v>
      </c>
      <c r="H44" s="108">
        <f t="shared" si="7"/>
        <v>2000</v>
      </c>
      <c r="I44" s="4"/>
      <c r="J44" s="4"/>
      <c r="K44" s="4"/>
      <c r="L44" s="4"/>
      <c r="M44" s="4"/>
      <c r="N44" s="4"/>
      <c r="O44" s="4"/>
      <c r="P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ht="15.0" customHeight="1">
      <c r="A45" s="109">
        <v>45682.0</v>
      </c>
      <c r="B45" s="108">
        <v>300.7</v>
      </c>
      <c r="C45" s="83"/>
      <c r="D45" s="83">
        <v>10.0</v>
      </c>
      <c r="E45" s="13">
        <f>IF($A45,IF(IFERROR(DATEDIF($A45,CONCAT("01/",Mês_atual[[#HEADERS],[9/2026]]),"M"),0)&lt;$D45,$D45-IFERROR(DATEDIF($A45,CONCAT("01/",Mês_atual[[#HEADERS],[9/2026]]),"M"),0),0),"")</f>
        <v>0</v>
      </c>
      <c r="F45" s="108">
        <f t="shared" si="5"/>
        <v>0</v>
      </c>
      <c r="G45" s="83">
        <f t="shared" si="6"/>
        <v>10</v>
      </c>
      <c r="H45" s="108">
        <f t="shared" si="7"/>
        <v>3007</v>
      </c>
      <c r="I45" s="4"/>
      <c r="J45" s="4"/>
      <c r="K45" s="4"/>
      <c r="L45" s="4"/>
      <c r="M45" s="4"/>
      <c r="N45" s="4"/>
      <c r="O45" s="4"/>
      <c r="P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ht="15.0" customHeight="1">
      <c r="A46" s="109">
        <v>45677.0</v>
      </c>
      <c r="B46" s="108">
        <v>333.37</v>
      </c>
      <c r="C46" s="83"/>
      <c r="D46" s="83">
        <v>12.0</v>
      </c>
      <c r="E46" s="13">
        <f>IF($A46,IF(IFERROR(DATEDIF($A46,CONCAT("01/",Mês_atual[[#HEADERS],[9/2026]]),"M"),0)&lt;$D46,$D46-IFERROR(DATEDIF($A46,CONCAT("01/",Mês_atual[[#HEADERS],[9/2026]]),"M"),0),0),"")</f>
        <v>0</v>
      </c>
      <c r="F46" s="108">
        <f t="shared" si="5"/>
        <v>0</v>
      </c>
      <c r="G46" s="83">
        <f t="shared" si="6"/>
        <v>12</v>
      </c>
      <c r="H46" s="108">
        <f t="shared" si="7"/>
        <v>4000.44</v>
      </c>
      <c r="I46" s="4"/>
      <c r="J46" s="4"/>
      <c r="K46" s="4"/>
      <c r="L46" s="4"/>
      <c r="M46" s="4"/>
      <c r="N46" s="4"/>
      <c r="O46" s="4"/>
      <c r="P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ht="15.0" customHeight="1">
      <c r="A47" s="109" t="s">
        <v>214</v>
      </c>
      <c r="B47" s="108" t="s">
        <v>215</v>
      </c>
      <c r="C47" s="83"/>
      <c r="D47" s="83" t="s">
        <v>216</v>
      </c>
      <c r="E47" s="13">
        <f>IF($A47,IF(IFERROR(DATEDIF($A47,CONCAT("01/",Dashboard!$B$1),"M"),0)&lt;$D47,$D47-IFERROR(DATEDIF($A47,CONCAT("01/",Dashboard!$B$1),"M"),0),0),"")</f>
        <v>0</v>
      </c>
      <c r="F47" s="108">
        <f t="shared" si="5"/>
        <v>0</v>
      </c>
      <c r="G47" s="83">
        <f t="shared" si="6"/>
        <v>3</v>
      </c>
      <c r="H47" s="108">
        <f t="shared" si="7"/>
        <v>1600.02</v>
      </c>
      <c r="I47" s="4"/>
      <c r="J47" s="4"/>
      <c r="K47" s="4"/>
      <c r="L47" s="4"/>
      <c r="M47" s="4"/>
      <c r="N47" s="4"/>
      <c r="O47" s="4"/>
      <c r="P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ht="15.0" customHeight="1">
      <c r="A48" s="4"/>
      <c r="B48" s="4">
        <f>SUMIF(Itaú[Pendentes],"&gt;0",Itaú[Parcela])</f>
        <v>250</v>
      </c>
      <c r="C48" s="4"/>
      <c r="D48" s="4"/>
      <c r="E48" s="4"/>
      <c r="F48" s="110">
        <f>SUM(F42:F47)</f>
        <v>500</v>
      </c>
      <c r="G48" s="92"/>
      <c r="H48" s="111">
        <f>SUM(H43:H46)</f>
        <v>12007.44</v>
      </c>
      <c r="I48" s="4"/>
      <c r="J48" s="4"/>
      <c r="K48" s="4"/>
      <c r="L48" s="4"/>
      <c r="M48" s="4"/>
      <c r="N48" s="4"/>
      <c r="O48" s="4"/>
      <c r="P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ht="15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ht="15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 ht="15.0" customHeight="1">
      <c r="A51" s="5" t="s">
        <v>161</v>
      </c>
      <c r="B51" s="5" t="s">
        <v>86</v>
      </c>
      <c r="C51" s="10" t="s">
        <v>162</v>
      </c>
      <c r="D51" s="5" t="s">
        <v>163</v>
      </c>
      <c r="E51" s="5" t="s">
        <v>164</v>
      </c>
      <c r="F51" s="5" t="s">
        <v>165</v>
      </c>
      <c r="G51" s="5" t="s">
        <v>166</v>
      </c>
      <c r="H51" s="5" t="s">
        <v>167</v>
      </c>
      <c r="I51" s="4"/>
      <c r="J51" s="4"/>
      <c r="K51" s="4"/>
      <c r="L51" s="4"/>
      <c r="M51" s="4"/>
      <c r="N51" s="4"/>
      <c r="O51" s="4"/>
      <c r="P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 ht="15.0" customHeight="1">
      <c r="A52" s="109">
        <v>45946.0</v>
      </c>
      <c r="B52" s="108">
        <v>300.0</v>
      </c>
      <c r="C52" s="83"/>
      <c r="D52" s="83">
        <v>10.0</v>
      </c>
      <c r="E52" s="13">
        <f>IF($A52,IF(IFERROR(DATEDIF($A52,CONCAT("01/",Mês_atual[[#HEADERS],[9/2026]]),"M"),0)&lt;$D52,$D52-IFERROR(DATEDIF($A52,CONCAT("01/",Mês_atual[[#HEADERS],[9/2026]]),"M"),0),0),"")</f>
        <v>0</v>
      </c>
      <c r="F52" s="82">
        <f t="shared" ref="F52:F58" si="8">E52*B52</f>
        <v>0</v>
      </c>
      <c r="G52" s="13">
        <f t="shared" ref="G52:G58" si="9">D52-E52</f>
        <v>10</v>
      </c>
      <c r="H52" s="82">
        <f t="shared" ref="H52:H58" si="10">G52*B52</f>
        <v>3000</v>
      </c>
      <c r="I52" s="4"/>
      <c r="J52" s="4"/>
      <c r="K52" s="4"/>
      <c r="L52" s="4"/>
      <c r="M52" s="4"/>
      <c r="N52" s="4"/>
      <c r="O52" s="4"/>
      <c r="P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 ht="15.0" customHeight="1">
      <c r="A53" s="109">
        <v>45823.0</v>
      </c>
      <c r="B53" s="108">
        <v>500.0</v>
      </c>
      <c r="C53" s="83"/>
      <c r="D53" s="83">
        <v>10.0</v>
      </c>
      <c r="E53" s="13">
        <f>IF($A53,IF(IFERROR(DATEDIF($A53,CONCAT("01/",Mês_atual[[#HEADERS],[9/2026]]),"M"),0)&lt;$D53,$D53-IFERROR(DATEDIF($A53,CONCAT("01/",Mês_atual[[#HEADERS],[9/2026]]),"M"),0),0),"")</f>
        <v>0</v>
      </c>
      <c r="F53" s="82">
        <f t="shared" si="8"/>
        <v>0</v>
      </c>
      <c r="G53" s="13">
        <f t="shared" si="9"/>
        <v>10</v>
      </c>
      <c r="H53" s="82">
        <f t="shared" si="10"/>
        <v>5000</v>
      </c>
      <c r="I53" s="4"/>
      <c r="J53" s="4"/>
      <c r="K53" s="4"/>
      <c r="L53" s="4"/>
      <c r="M53" s="4"/>
      <c r="N53" s="4"/>
      <c r="O53" s="4"/>
      <c r="P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 ht="15.0" customHeight="1">
      <c r="A54" s="109">
        <v>45698.0</v>
      </c>
      <c r="B54" s="108">
        <v>250.0</v>
      </c>
      <c r="C54" s="83"/>
      <c r="D54" s="83">
        <v>10.0</v>
      </c>
      <c r="E54" s="13">
        <f>IF($A54,IF(IFERROR(DATEDIF($A54,CONCAT("01/",Mês_atual[[#HEADERS],[9/2026]]),"M"),0)&lt;$D54,$D54-IFERROR(DATEDIF($A54,CONCAT("01/",Mês_atual[[#HEADERS],[9/2026]]),"M"),0),0),"")</f>
        <v>0</v>
      </c>
      <c r="F54" s="82">
        <f t="shared" si="8"/>
        <v>0</v>
      </c>
      <c r="G54" s="13">
        <f t="shared" si="9"/>
        <v>10</v>
      </c>
      <c r="H54" s="82">
        <f t="shared" si="10"/>
        <v>2500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 ht="15.0" customHeight="1">
      <c r="A55" s="109">
        <v>45635.0</v>
      </c>
      <c r="B55" s="108">
        <v>225.75</v>
      </c>
      <c r="C55" s="83"/>
      <c r="D55" s="83">
        <v>10.0</v>
      </c>
      <c r="E55" s="13">
        <f>IF($A55,IF(IFERROR(DATEDIF($A55,CONCAT("01/",Mês_atual[[#HEADERS],[9/2026]]),"M"),0)&lt;$D55,$D55-IFERROR(DATEDIF($A55,CONCAT("01/",Mês_atual[[#HEADERS],[9/2026]]),"M"),0),0),"")</f>
        <v>0</v>
      </c>
      <c r="F55" s="82">
        <f t="shared" si="8"/>
        <v>0</v>
      </c>
      <c r="G55" s="13">
        <f t="shared" si="9"/>
        <v>10</v>
      </c>
      <c r="H55" s="82">
        <f t="shared" si="10"/>
        <v>2257.5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 ht="15.0" customHeight="1">
      <c r="A56" s="109">
        <v>45607.0</v>
      </c>
      <c r="B56" s="108">
        <v>350.0</v>
      </c>
      <c r="C56" s="83"/>
      <c r="D56" s="83">
        <v>10.0</v>
      </c>
      <c r="E56" s="13">
        <f>IF($A56,IF(IFERROR(DATEDIF($A56,CONCAT("01/",Mês_atual[[#HEADERS],[9/2026]]),"M"),0)&lt;$D56,$D56-IFERROR(DATEDIF($A56,CONCAT("01/",Mês_atual[[#HEADERS],[9/2026]]),"M"),0),0),"")</f>
        <v>0</v>
      </c>
      <c r="F56" s="82">
        <f t="shared" si="8"/>
        <v>0</v>
      </c>
      <c r="G56" s="13">
        <f t="shared" si="9"/>
        <v>10</v>
      </c>
      <c r="H56" s="82">
        <f t="shared" si="10"/>
        <v>3500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 ht="15.0" customHeight="1">
      <c r="A57" s="109">
        <v>45588.0</v>
      </c>
      <c r="B57" s="108">
        <v>350.0</v>
      </c>
      <c r="C57" s="83"/>
      <c r="D57" s="83">
        <v>10.0</v>
      </c>
      <c r="E57" s="13">
        <f>IF($A57,IF(IFERROR(DATEDIF($A57,CONCAT("01/",Mês_atual[[#HEADERS],[9/2026]]),"M"),0)&lt;$D57,$D57-IFERROR(DATEDIF($A57,CONCAT("01/",Mês_atual[[#HEADERS],[9/2026]]),"M"),0),0),"")</f>
        <v>0</v>
      </c>
      <c r="F57" s="82">
        <f t="shared" si="8"/>
        <v>0</v>
      </c>
      <c r="G57" s="13">
        <f t="shared" si="9"/>
        <v>10</v>
      </c>
      <c r="H57" s="82">
        <f t="shared" si="10"/>
        <v>3500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 ht="15.0" customHeight="1">
      <c r="A58" s="109" t="s">
        <v>230</v>
      </c>
      <c r="B58" s="108" t="s">
        <v>231</v>
      </c>
      <c r="C58" s="83"/>
      <c r="D58" s="83" t="s">
        <v>216</v>
      </c>
      <c r="E58" s="13">
        <f>IF($A58,IF(IFERROR(DATEDIF($A58,CONCAT("01/",Mês_atual[[#HEADERS],[9/2026]]),"M"),0)&lt;$D58,$D58-IFERROR(DATEDIF($A58,CONCAT("01/",Mês_atual[[#HEADERS],[9/2026]]),"M"),0),0),"")</f>
        <v>0</v>
      </c>
      <c r="F58" s="82">
        <f t="shared" si="8"/>
        <v>0</v>
      </c>
      <c r="G58" s="13">
        <f t="shared" si="9"/>
        <v>3</v>
      </c>
      <c r="H58" s="82">
        <f t="shared" si="10"/>
        <v>650.01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 ht="15.0" customHeight="1">
      <c r="A59" s="4"/>
      <c r="B59" s="4">
        <f>SUMIF(Nubank[Pendentes],"&gt;0",Nubank[Parcela])</f>
        <v>0</v>
      </c>
      <c r="C59" s="4"/>
      <c r="D59" s="4"/>
      <c r="E59" s="4"/>
      <c r="F59" s="110">
        <f>SUM(F52:F58)</f>
        <v>0</v>
      </c>
      <c r="G59" s="92"/>
      <c r="H59" s="111">
        <f>SUM(H53:H58)</f>
        <v>17407.51</v>
      </c>
      <c r="I59" s="4"/>
      <c r="J59" s="4"/>
      <c r="K59" s="4"/>
      <c r="L59" s="4"/>
      <c r="M59" s="4"/>
      <c r="N59" s="4"/>
      <c r="O59" s="4"/>
      <c r="P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 ht="15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 ht="15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 ht="15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 ht="15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 ht="15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 ht="15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 ht="15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 ht="15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 ht="15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 ht="15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ht="15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ht="15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ht="15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ht="15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ht="15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ht="15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ht="15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ht="15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ht="15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ht="15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ht="15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ht="15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ht="15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ht="15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ht="15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ht="15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ht="15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ht="15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ht="15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ht="15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ht="15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ht="15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ht="15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ht="15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ht="15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ht="15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ht="15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ht="15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ht="15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ht="15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ht="15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ht="15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ht="15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ht="15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ht="15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ht="15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ht="15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ht="15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ht="15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ht="15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ht="15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ht="15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ht="15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ht="15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ht="15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ht="15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ht="15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ht="15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ht="15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ht="15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ht="15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ht="15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ht="15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ht="15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ht="15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ht="15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ht="15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ht="15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ht="15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ht="15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ht="15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ht="15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ht="15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ht="15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ht="15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ht="15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ht="15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ht="15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ht="15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ht="15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ht="15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ht="15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ht="15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ht="15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ht="15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ht="15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ht="15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ht="15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ht="15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ht="15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ht="15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ht="15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ht="15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ht="15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ht="15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ht="15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ht="15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ht="15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ht="15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ht="15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ht="15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ht="15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ht="15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ht="15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ht="15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ht="15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ht="15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ht="15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ht="15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ht="15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ht="15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ht="15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ht="15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ht="15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ht="15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ht="15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ht="15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ht="15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ht="15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ht="15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ht="15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ht="15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ht="15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ht="15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ht="15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ht="15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ht="15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ht="15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ht="15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ht="15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ht="15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ht="15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ht="15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ht="15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ht="15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ht="15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ht="15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ht="15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ht="15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ht="15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ht="15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ht="15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ht="15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ht="15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ht="15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ht="15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ht="15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ht="15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ht="15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ht="15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ht="15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ht="15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ht="15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ht="15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ht="15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ht="15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ht="15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ht="15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ht="15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ht="15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ht="15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ht="15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ht="15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ht="15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ht="15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ht="15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ht="15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ht="15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ht="15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ht="15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ht="15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ht="15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ht="15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ht="15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ht="15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ht="15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ht="15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ht="15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ht="15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ht="15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ht="15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ht="15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ht="15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ht="15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ht="15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ht="15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ht="15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ht="15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ht="15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ht="15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ht="15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ht="15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ht="15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ht="15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ht="15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ht="15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ht="15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ht="15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ht="15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ht="15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ht="15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ht="15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ht="15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ht="15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ht="15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ht="15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ht="15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ht="15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ht="15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ht="15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ht="15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ht="15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ht="15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ht="15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ht="15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ht="15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ht="15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ht="15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ht="15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ht="15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ht="15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ht="15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ht="15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ht="15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ht="15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ht="15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ht="15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ht="15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ht="15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ht="15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ht="15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ht="15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ht="15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ht="15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ht="15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ht="15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ht="15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ht="15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ht="15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ht="15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ht="15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ht="15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ht="15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ht="15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ht="15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ht="15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ht="15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ht="15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ht="15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ht="15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ht="15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ht="15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ht="15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ht="15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ht="15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ht="15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ht="15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ht="15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ht="15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ht="15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ht="15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ht="15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ht="15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ht="15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ht="15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ht="15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ht="15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ht="15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ht="15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ht="15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ht="15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ht="15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ht="15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ht="15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ht="15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ht="15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 ht="15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 ht="15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 ht="15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 ht="15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 ht="15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 ht="15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 ht="15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 ht="15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 ht="15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 ht="15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 ht="15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 ht="15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 ht="15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 ht="15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 ht="15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 ht="15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 ht="15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 ht="15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 ht="15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 ht="15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 ht="15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 ht="15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 ht="15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 ht="15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 ht="15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 ht="15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 ht="15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 ht="15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 ht="15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 ht="15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 ht="15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 ht="15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 ht="15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 ht="15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 ht="15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 ht="15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 ht="15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 ht="15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 ht="15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 ht="15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 ht="15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 ht="15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 ht="15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 ht="15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 ht="15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 ht="15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 ht="15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 ht="15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 ht="15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 ht="15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 ht="15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 ht="15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 ht="15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 ht="15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 ht="15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 ht="15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 ht="15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 ht="15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 ht="15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 ht="15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 ht="15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 ht="15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 ht="15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 ht="15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 ht="15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 ht="15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 ht="15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 ht="15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 ht="15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 ht="15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 ht="15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 ht="15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 ht="15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 ht="15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 ht="15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 ht="15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 ht="15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 ht="15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 ht="15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 ht="15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 ht="15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 ht="15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 ht="15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 ht="15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 ht="15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 ht="15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 ht="15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 ht="15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 ht="15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 ht="15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 ht="15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 ht="15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 ht="15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 ht="15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 ht="15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 ht="15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 ht="15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 ht="15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 ht="15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 ht="15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 ht="15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 ht="15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 ht="15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 ht="15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 ht="15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 ht="15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 ht="15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 ht="15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 ht="15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 ht="15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 ht="15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 ht="15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 ht="15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 ht="15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 ht="15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 ht="15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 ht="15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 ht="15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 ht="15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 ht="15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 ht="15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 ht="15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 ht="15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 ht="15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 ht="15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 ht="15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 ht="15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 ht="15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 ht="15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 ht="15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 ht="15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 ht="15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 ht="15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 ht="15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 ht="15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 ht="15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 ht="15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 ht="15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 ht="15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 ht="15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 ht="15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 ht="15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 ht="15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 ht="15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 ht="15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 ht="15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 ht="15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 ht="15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 ht="15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 ht="15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 ht="15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 ht="15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 ht="15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 ht="15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 ht="15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 ht="15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 ht="15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 ht="15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 ht="15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 ht="15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 ht="15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 ht="15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 ht="15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 ht="15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 ht="15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 ht="15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 ht="15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 ht="15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 ht="15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 ht="15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 ht="15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 ht="15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 ht="15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 ht="15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 ht="15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 ht="15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 ht="15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 ht="15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 ht="15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 ht="15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 ht="15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 ht="15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 ht="15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 ht="15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 ht="15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 ht="15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 ht="15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 ht="15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 ht="15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 ht="15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 ht="15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 ht="15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 ht="15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 ht="15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 ht="15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 ht="15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 ht="15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 ht="15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 ht="15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 ht="15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 ht="15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 ht="15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 ht="15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 ht="15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 ht="15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 ht="15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 ht="15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 ht="15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 ht="15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 ht="15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 ht="15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 ht="15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 ht="15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 ht="15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 ht="15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 ht="15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 ht="15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 ht="15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 ht="15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 ht="15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 ht="15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 ht="15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 ht="15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 ht="15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 ht="15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 ht="15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 ht="15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 ht="15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 ht="15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 ht="15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 ht="15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 ht="15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 ht="15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 ht="15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 ht="15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 ht="15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 ht="15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 ht="15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 ht="15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 ht="15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 ht="15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 ht="15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 ht="15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 ht="15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 ht="15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 ht="15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 ht="15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 ht="15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 ht="15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 ht="15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 ht="15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 ht="15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 ht="15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 ht="15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 ht="15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 ht="15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 ht="15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 ht="15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 ht="15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 ht="15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 ht="15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 ht="15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 ht="15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 ht="15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 ht="15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 ht="15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 ht="15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 ht="15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 ht="15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 ht="15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 ht="15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 ht="15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 ht="15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 ht="15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 ht="15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 ht="15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 ht="15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 ht="15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 ht="15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 ht="15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 ht="15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 ht="15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 ht="15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 ht="15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 ht="15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 ht="15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 ht="15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 ht="15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 ht="15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 ht="15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 ht="15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 ht="15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 ht="15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 ht="15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 ht="15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 ht="15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 ht="15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 ht="15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 ht="15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 ht="15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 ht="15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 ht="15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 ht="15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 ht="15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 ht="15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 ht="15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 ht="15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 ht="15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 ht="15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 ht="15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 ht="15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 ht="15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 ht="15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 ht="15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 ht="15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 ht="15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 ht="15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 ht="15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 ht="15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 ht="15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 ht="15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 ht="15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 ht="15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 ht="15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 ht="15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 ht="15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 ht="15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 ht="15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 ht="15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 ht="15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 ht="15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 ht="15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 ht="15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 ht="15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 ht="15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 ht="15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 ht="15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 ht="15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 ht="15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 ht="15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 ht="15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 ht="15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 ht="15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 ht="15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 ht="15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 ht="15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 ht="15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 ht="15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 ht="15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 ht="15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 ht="15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 ht="15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 ht="15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 ht="15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 ht="15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 ht="15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 ht="15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 ht="15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 ht="15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 ht="15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 ht="15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 ht="15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 ht="15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 ht="15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 ht="15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 ht="15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 ht="15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 ht="15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 ht="15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 ht="15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 ht="15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 ht="15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 ht="15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 ht="15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 ht="15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 ht="15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 ht="15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 ht="15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 ht="15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 ht="15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 ht="15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 ht="15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 ht="15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 ht="15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 ht="15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 ht="15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 ht="15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 ht="15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 ht="15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 ht="15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 ht="15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 ht="15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 ht="15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 ht="15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 ht="15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 ht="15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 ht="15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 ht="15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 ht="15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 ht="15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 ht="15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 ht="15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 ht="15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 ht="15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 ht="15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 ht="15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 ht="15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 ht="15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 ht="15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 ht="15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 ht="15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 ht="15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 ht="15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 ht="15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 ht="15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 ht="15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 ht="15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 ht="15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 ht="15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 ht="15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 ht="15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 ht="15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 ht="15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 ht="15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 ht="15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 ht="15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 ht="15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 ht="15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 ht="15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 ht="15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 ht="15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 ht="15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 ht="15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 ht="15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 ht="15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 ht="15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 ht="15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 ht="15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 ht="15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 ht="15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 ht="15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 ht="15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 ht="15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 ht="15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 ht="15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 ht="15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 ht="15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 ht="15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 ht="15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 ht="15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 ht="15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 ht="15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 ht="15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 ht="15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 ht="15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 ht="15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 ht="15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 ht="15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 ht="15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 ht="15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 ht="15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 ht="15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 ht="15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 ht="15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 ht="15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 ht="15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 ht="15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 ht="15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 ht="15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 ht="15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 ht="15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 ht="15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 ht="15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 ht="15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 ht="15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 ht="15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 ht="15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 ht="15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 ht="15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 ht="15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 ht="15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 ht="15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 ht="15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 ht="15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 ht="15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 ht="15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 ht="15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 ht="15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 ht="15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 ht="15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 ht="15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 ht="15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 ht="15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 ht="15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 ht="15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 ht="15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 ht="15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 ht="15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 ht="15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 ht="15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 ht="15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 ht="15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 ht="15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 ht="15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 ht="15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 ht="15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 ht="15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 ht="15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 ht="15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 ht="15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 ht="15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 ht="15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 ht="15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 ht="15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 ht="15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 ht="15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 ht="15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 ht="15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 ht="15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 ht="15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 ht="15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 ht="15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 ht="15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 ht="15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 ht="15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 ht="15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 ht="15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 ht="15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 ht="15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 ht="15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 ht="15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 ht="15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 ht="15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 ht="15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 ht="15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 ht="15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 ht="15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 ht="15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 ht="15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 ht="15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 ht="15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 ht="15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 ht="15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 ht="15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 ht="15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 ht="15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 ht="15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 ht="15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 ht="15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 ht="15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 ht="15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 ht="15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 ht="15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 ht="15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 ht="15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 ht="15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 ht="15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 ht="15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 ht="15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 ht="15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 ht="15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 ht="15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 ht="15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 ht="15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 ht="15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 ht="15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 ht="15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 ht="15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 ht="15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 ht="15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 ht="15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 ht="15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 ht="15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 ht="15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 ht="15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 ht="15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 ht="15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 ht="15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 ht="15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 ht="15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 ht="15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 ht="15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 ht="15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 ht="15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 ht="15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 ht="15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 ht="15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 ht="15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 ht="15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 ht="15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 ht="15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 ht="15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 ht="15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 ht="15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 ht="15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 ht="15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 ht="15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 ht="15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 ht="15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 ht="15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 ht="15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 ht="15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 ht="15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 ht="15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 ht="15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 ht="15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 ht="15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 ht="15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 ht="15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 ht="15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 ht="15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 ht="15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 ht="15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 ht="15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 ht="15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  <row r="951" ht="15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</row>
    <row r="952" ht="15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</row>
    <row r="953" ht="15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</row>
    <row r="954" ht="15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</row>
    <row r="955" ht="15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</row>
    <row r="956" ht="15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</row>
    <row r="957" ht="15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</row>
    <row r="958" ht="15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</row>
    <row r="959" ht="15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</row>
    <row r="960" ht="15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</row>
    <row r="961" ht="15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</row>
    <row r="962" ht="15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</row>
    <row r="963" ht="15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</row>
    <row r="964" ht="15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</row>
    <row r="965" ht="15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</row>
    <row r="966" ht="15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</row>
    <row r="967" ht="15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</row>
    <row r="968" ht="15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</row>
    <row r="969" ht="15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</row>
    <row r="970" ht="15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</row>
    <row r="971" ht="15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</row>
    <row r="972" ht="15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</row>
    <row r="973" ht="15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</row>
    <row r="974" ht="15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</row>
    <row r="975" ht="15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</row>
    <row r="976" ht="15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</row>
    <row r="977" ht="15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</row>
    <row r="978" ht="15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</row>
    <row r="979" ht="15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</row>
    <row r="980" ht="15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</row>
    <row r="981" ht="15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</row>
    <row r="982" ht="15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</row>
    <row r="983" ht="15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</row>
    <row r="984" ht="15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</row>
    <row r="985" ht="15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</row>
    <row r="986" ht="15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</row>
    <row r="987" ht="15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</row>
    <row r="988" ht="15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</row>
    <row r="989" ht="15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</row>
    <row r="990" ht="15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</row>
    <row r="991" ht="15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</row>
    <row r="992" ht="15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</row>
    <row r="993" ht="15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</row>
    <row r="994" ht="15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</row>
    <row r="995" ht="15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</row>
    <row r="996" ht="15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</row>
    <row r="997" ht="15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</row>
    <row r="998" ht="15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</row>
    <row r="999" ht="15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</row>
    <row r="1000" ht="15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</row>
    <row r="1001" ht="15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</row>
    <row r="1002" ht="15.0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</row>
    <row r="1003" ht="15.0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</row>
    <row r="1004" ht="15.0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</row>
    <row r="1005" ht="15.0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</row>
    <row r="1006" ht="15.0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</row>
    <row r="1007" ht="15.0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</row>
    <row r="1008" ht="15.0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</row>
    <row r="1009" ht="15.0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</row>
  </sheetData>
  <conditionalFormatting sqref="E2:J19">
    <cfRule type="expression" dxfId="12" priority="1">
      <formula>$I2=0</formula>
    </cfRule>
  </conditionalFormatting>
  <conditionalFormatting sqref="E2:J19">
    <cfRule type="expression" dxfId="13" priority="2">
      <formula>$I2=$J2</formula>
    </cfRule>
  </conditionalFormatting>
  <conditionalFormatting sqref="E2:J19">
    <cfRule type="expression" dxfId="14" priority="3">
      <formula>$I2&lt;&gt;$J2</formula>
    </cfRule>
  </conditionalFormatting>
  <conditionalFormatting sqref="B19">
    <cfRule type="cellIs" dxfId="15" priority="4" operator="lessThan">
      <formula>0</formula>
    </cfRule>
  </conditionalFormatting>
  <conditionalFormatting sqref="B19">
    <cfRule type="cellIs" dxfId="16" priority="5" operator="greaterThan">
      <formula>0</formula>
    </cfRule>
  </conditionalFormatting>
  <conditionalFormatting sqref="A23:H37 A42:H47 A52:H58">
    <cfRule type="expression" dxfId="9" priority="6">
      <formula>$E23=0</formula>
    </cfRule>
  </conditionalFormatting>
  <conditionalFormatting sqref="A23:H37 A42:H47 A52:H58">
    <cfRule type="expression" dxfId="10" priority="7">
      <formula>$E23&lt;=5</formula>
    </cfRule>
  </conditionalFormatting>
  <conditionalFormatting sqref="A23:H37 A42:H47 A52:H58">
    <cfRule type="expression" dxfId="11" priority="8">
      <formula>$E23&gt;5</formula>
    </cfRule>
  </conditionalFormatting>
  <conditionalFormatting sqref="L2:O13">
    <cfRule type="expression" dxfId="9" priority="9">
      <formula>$M2=0</formula>
    </cfRule>
  </conditionalFormatting>
  <conditionalFormatting sqref="L2:O13">
    <cfRule type="expression" dxfId="10" priority="10">
      <formula>$N2&gt;0</formula>
    </cfRule>
  </conditionalFormatting>
  <conditionalFormatting sqref="L2:O13">
    <cfRule type="expression" dxfId="11" priority="11">
      <formula>$N2=0</formula>
    </cfRule>
  </conditionalFormatting>
  <dataValidations>
    <dataValidation type="custom" allowBlank="1" showDropDown="1" sqref="B2:B4 B8:B19 G2:J19 B23:B37 B42:B46 B52:B57">
      <formula1>AND(ISNUMBER(B2),(NOT(OR(NOT(ISERROR(DATEVALUE(B2))), AND(ISNUMBER(B2), LEFT(CELL("format", B2))="D")))))</formula1>
    </dataValidation>
  </dataValidations>
  <drawing r:id="rId1"/>
  <tableParts count="13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8.0"/>
    <col customWidth="1" min="2" max="4" width="18.29"/>
    <col customWidth="1" min="5" max="5" width="20.29"/>
    <col customWidth="1" min="6" max="8" width="18.29"/>
    <col customWidth="1" min="9" max="9" width="24.14"/>
    <col customWidth="1" min="18" max="30" width="14.86"/>
  </cols>
  <sheetData>
    <row r="1" ht="22.5" customHeight="1">
      <c r="A1" s="6" t="s">
        <v>29</v>
      </c>
      <c r="B1" s="8" t="s">
        <v>32</v>
      </c>
      <c r="C1" s="9" t="s">
        <v>34</v>
      </c>
      <c r="D1" s="9" t="s">
        <v>36</v>
      </c>
      <c r="E1" s="9" t="s">
        <v>33</v>
      </c>
      <c r="F1" s="9" t="s">
        <v>6</v>
      </c>
      <c r="G1" s="9" t="s">
        <v>40</v>
      </c>
      <c r="H1" s="9" t="s">
        <v>41</v>
      </c>
      <c r="I1" s="9" t="s">
        <v>42</v>
      </c>
      <c r="J1" s="11" t="s">
        <v>43</v>
      </c>
      <c r="K1" s="11" t="s">
        <v>45</v>
      </c>
      <c r="L1" s="11" t="s">
        <v>46</v>
      </c>
      <c r="M1" s="11" t="s">
        <v>48</v>
      </c>
      <c r="N1" s="11" t="s">
        <v>49</v>
      </c>
      <c r="O1" s="11" t="s">
        <v>51</v>
      </c>
      <c r="P1" s="11" t="s">
        <v>52</v>
      </c>
      <c r="Q1" s="11" t="s">
        <v>53</v>
      </c>
      <c r="R1" s="11" t="s">
        <v>54</v>
      </c>
      <c r="S1" s="11" t="s">
        <v>56</v>
      </c>
      <c r="T1" s="11" t="s">
        <v>57</v>
      </c>
      <c r="U1" s="11" t="s">
        <v>59</v>
      </c>
      <c r="V1" s="11" t="s">
        <v>60</v>
      </c>
      <c r="W1" s="11" t="s">
        <v>61</v>
      </c>
      <c r="X1" s="11" t="s">
        <v>62</v>
      </c>
      <c r="Y1" s="11" t="s">
        <v>63</v>
      </c>
      <c r="Z1" s="11" t="s">
        <v>65</v>
      </c>
      <c r="AA1" s="11" t="s">
        <v>69</v>
      </c>
      <c r="AB1" s="11" t="s">
        <v>73</v>
      </c>
      <c r="AC1" s="11" t="s">
        <v>78</v>
      </c>
      <c r="AD1" s="11" t="s">
        <v>81</v>
      </c>
    </row>
    <row r="2" ht="22.5" customHeight="1">
      <c r="A2" s="17" t="s">
        <v>82</v>
      </c>
      <c r="B2" s="19" t="s">
        <v>83</v>
      </c>
      <c r="C2" s="20" t="s">
        <v>67</v>
      </c>
      <c r="D2" s="21" t="s">
        <v>71</v>
      </c>
      <c r="E2" s="22">
        <v>45001.0</v>
      </c>
      <c r="F2" s="23" t="str">
        <f t="shared" ref="F2:F971" si="1">IF($E2,CONCATENATE(MONTH(E2),"/",YEAR(E2)),"")</f>
        <v>3/2023</v>
      </c>
      <c r="G2" s="24">
        <v>649.6</v>
      </c>
      <c r="H2" s="26">
        <f t="shared" ref="H2:H114" si="2">IF(I2,G2,0)</f>
        <v>649.6</v>
      </c>
      <c r="I2" s="27">
        <v>45001.0</v>
      </c>
    </row>
    <row r="3" ht="22.5" customHeight="1">
      <c r="A3" s="43" t="s">
        <v>82</v>
      </c>
      <c r="B3" s="47" t="s">
        <v>83</v>
      </c>
      <c r="C3" s="50" t="s">
        <v>67</v>
      </c>
      <c r="D3" s="51" t="s">
        <v>71</v>
      </c>
      <c r="E3" s="53">
        <v>45024.0</v>
      </c>
      <c r="F3" s="56" t="str">
        <f t="shared" si="1"/>
        <v>4/2023</v>
      </c>
      <c r="G3" s="57">
        <v>649.6</v>
      </c>
      <c r="H3" s="59">
        <f t="shared" si="2"/>
        <v>649.6</v>
      </c>
      <c r="I3" s="60">
        <v>45024.0</v>
      </c>
    </row>
    <row r="4" ht="22.5" customHeight="1">
      <c r="A4" s="43" t="s">
        <v>82</v>
      </c>
      <c r="B4" s="47" t="s">
        <v>83</v>
      </c>
      <c r="C4" s="50" t="s">
        <v>67</v>
      </c>
      <c r="D4" s="51" t="s">
        <v>71</v>
      </c>
      <c r="E4" s="53">
        <v>45054.0</v>
      </c>
      <c r="F4" s="56" t="str">
        <f t="shared" si="1"/>
        <v>5/2023</v>
      </c>
      <c r="G4" s="57">
        <v>649.6</v>
      </c>
      <c r="H4" s="59">
        <f t="shared" si="2"/>
        <v>649.6</v>
      </c>
      <c r="I4" s="60">
        <v>45054.0</v>
      </c>
    </row>
    <row r="5" ht="22.5" customHeight="1">
      <c r="A5" s="43" t="s">
        <v>82</v>
      </c>
      <c r="B5" s="47" t="s">
        <v>83</v>
      </c>
      <c r="C5" s="50" t="s">
        <v>67</v>
      </c>
      <c r="D5" s="51" t="s">
        <v>71</v>
      </c>
      <c r="E5" s="53">
        <v>45085.0</v>
      </c>
      <c r="F5" s="56" t="str">
        <f t="shared" si="1"/>
        <v>6/2023</v>
      </c>
      <c r="G5" s="57">
        <v>649.6</v>
      </c>
      <c r="H5" s="59">
        <f t="shared" si="2"/>
        <v>649.6</v>
      </c>
      <c r="I5" s="60">
        <v>45085.0</v>
      </c>
    </row>
    <row r="6" ht="22.5" customHeight="1">
      <c r="A6" s="43" t="s">
        <v>82</v>
      </c>
      <c r="B6" s="47" t="s">
        <v>83</v>
      </c>
      <c r="C6" s="50" t="s">
        <v>67</v>
      </c>
      <c r="D6" s="51" t="s">
        <v>71</v>
      </c>
      <c r="E6" s="53">
        <v>45115.0</v>
      </c>
      <c r="F6" s="56" t="str">
        <f t="shared" si="1"/>
        <v>7/2023</v>
      </c>
      <c r="G6" s="57">
        <v>649.6</v>
      </c>
      <c r="H6" s="59">
        <f t="shared" si="2"/>
        <v>649.6</v>
      </c>
      <c r="I6" s="60">
        <v>45115.0</v>
      </c>
    </row>
    <row r="7" ht="22.5" customHeight="1">
      <c r="A7" s="43" t="s">
        <v>82</v>
      </c>
      <c r="B7" s="47" t="s">
        <v>83</v>
      </c>
      <c r="C7" s="50" t="s">
        <v>67</v>
      </c>
      <c r="D7" s="51" t="s">
        <v>71</v>
      </c>
      <c r="E7" s="53">
        <v>45146.0</v>
      </c>
      <c r="F7" s="56" t="str">
        <f t="shared" si="1"/>
        <v>8/2023</v>
      </c>
      <c r="G7" s="57">
        <v>649.6</v>
      </c>
      <c r="H7" s="59">
        <f t="shared" si="2"/>
        <v>649.6</v>
      </c>
      <c r="I7" s="60">
        <v>45146.0</v>
      </c>
    </row>
    <row r="8" ht="22.5" customHeight="1">
      <c r="A8" s="43" t="s">
        <v>82</v>
      </c>
      <c r="B8" s="47" t="s">
        <v>83</v>
      </c>
      <c r="C8" s="50" t="s">
        <v>67</v>
      </c>
      <c r="D8" s="51" t="s">
        <v>71</v>
      </c>
      <c r="E8" s="53">
        <v>45177.0</v>
      </c>
      <c r="F8" s="56" t="str">
        <f t="shared" si="1"/>
        <v>9/2023</v>
      </c>
      <c r="G8" s="57">
        <v>649.6</v>
      </c>
      <c r="H8" s="59">
        <f t="shared" si="2"/>
        <v>649.6</v>
      </c>
      <c r="I8" s="60">
        <v>45177.0</v>
      </c>
    </row>
    <row r="9" ht="22.5" customHeight="1">
      <c r="A9" s="43" t="s">
        <v>82</v>
      </c>
      <c r="B9" s="47" t="s">
        <v>83</v>
      </c>
      <c r="C9" s="50" t="s">
        <v>67</v>
      </c>
      <c r="D9" s="51" t="s">
        <v>71</v>
      </c>
      <c r="E9" s="53">
        <v>45207.0</v>
      </c>
      <c r="F9" s="56" t="str">
        <f t="shared" si="1"/>
        <v>10/2023</v>
      </c>
      <c r="G9" s="57">
        <v>649.6</v>
      </c>
      <c r="H9" s="59">
        <f t="shared" si="2"/>
        <v>649.6</v>
      </c>
      <c r="I9" s="60">
        <v>45207.0</v>
      </c>
    </row>
    <row r="10" ht="22.5" customHeight="1">
      <c r="A10" s="43" t="s">
        <v>82</v>
      </c>
      <c r="B10" s="47" t="s">
        <v>83</v>
      </c>
      <c r="C10" s="50" t="s">
        <v>67</v>
      </c>
      <c r="D10" s="51" t="s">
        <v>71</v>
      </c>
      <c r="E10" s="53">
        <v>45238.0</v>
      </c>
      <c r="F10" s="56" t="str">
        <f t="shared" si="1"/>
        <v>11/2023</v>
      </c>
      <c r="G10" s="57">
        <v>649.6</v>
      </c>
      <c r="H10" s="59">
        <f t="shared" si="2"/>
        <v>649.6</v>
      </c>
      <c r="I10" s="60">
        <v>45238.0</v>
      </c>
    </row>
    <row r="11" ht="22.5" customHeight="1">
      <c r="A11" s="43" t="s">
        <v>82</v>
      </c>
      <c r="B11" s="47" t="s">
        <v>83</v>
      </c>
      <c r="C11" s="50" t="s">
        <v>67</v>
      </c>
      <c r="D11" s="51" t="s">
        <v>71</v>
      </c>
      <c r="E11" s="53">
        <v>45268.0</v>
      </c>
      <c r="F11" s="56" t="str">
        <f t="shared" si="1"/>
        <v>12/2023</v>
      </c>
      <c r="G11" s="57">
        <v>649.6</v>
      </c>
      <c r="H11" s="59">
        <f t="shared" si="2"/>
        <v>649.6</v>
      </c>
      <c r="I11" s="60">
        <v>45268.0</v>
      </c>
    </row>
    <row r="12" ht="22.5" customHeight="1">
      <c r="A12" s="43" t="s">
        <v>82</v>
      </c>
      <c r="B12" s="47" t="s">
        <v>83</v>
      </c>
      <c r="C12" s="50" t="s">
        <v>67</v>
      </c>
      <c r="D12" s="51" t="s">
        <v>71</v>
      </c>
      <c r="E12" s="53">
        <v>45299.0</v>
      </c>
      <c r="F12" s="56" t="str">
        <f t="shared" si="1"/>
        <v>1/2024</v>
      </c>
      <c r="G12" s="57">
        <v>666.95</v>
      </c>
      <c r="H12" s="59">
        <f t="shared" si="2"/>
        <v>666.95</v>
      </c>
      <c r="I12" s="60">
        <v>45299.0</v>
      </c>
    </row>
    <row r="13" ht="22.5" customHeight="1">
      <c r="A13" s="43" t="s">
        <v>82</v>
      </c>
      <c r="B13" s="47" t="s">
        <v>83</v>
      </c>
      <c r="C13" s="50" t="s">
        <v>67</v>
      </c>
      <c r="D13" s="51" t="s">
        <v>71</v>
      </c>
      <c r="E13" s="53">
        <v>45330.0</v>
      </c>
      <c r="F13" s="56" t="str">
        <f t="shared" si="1"/>
        <v>2/2024</v>
      </c>
      <c r="G13" s="57">
        <v>666.95</v>
      </c>
      <c r="H13" s="59">
        <f t="shared" si="2"/>
        <v>666.95</v>
      </c>
      <c r="I13" s="60">
        <v>45330.0</v>
      </c>
    </row>
    <row r="14" ht="22.5" customHeight="1">
      <c r="A14" s="43" t="s">
        <v>82</v>
      </c>
      <c r="B14" s="47" t="s">
        <v>83</v>
      </c>
      <c r="C14" s="50" t="s">
        <v>67</v>
      </c>
      <c r="D14" s="51" t="s">
        <v>71</v>
      </c>
      <c r="E14" s="53">
        <v>45359.0</v>
      </c>
      <c r="F14" s="56" t="str">
        <f t="shared" si="1"/>
        <v>3/2024</v>
      </c>
      <c r="G14" s="57">
        <v>666.95</v>
      </c>
      <c r="H14" s="59">
        <f t="shared" si="2"/>
        <v>666.95</v>
      </c>
      <c r="I14" s="60">
        <v>45359.0</v>
      </c>
    </row>
    <row r="15" ht="22.5" customHeight="1">
      <c r="A15" s="43" t="s">
        <v>130</v>
      </c>
      <c r="B15" s="47" t="s">
        <v>131</v>
      </c>
      <c r="C15" s="50" t="s">
        <v>132</v>
      </c>
      <c r="D15" s="51" t="s">
        <v>68</v>
      </c>
      <c r="E15" s="53">
        <v>45384.0</v>
      </c>
      <c r="F15" s="56" t="str">
        <f t="shared" si="1"/>
        <v>4/2024</v>
      </c>
      <c r="G15" s="57">
        <v>38.67</v>
      </c>
      <c r="H15" s="79">
        <f t="shared" si="2"/>
        <v>38.67</v>
      </c>
      <c r="I15" s="60">
        <v>45384.0</v>
      </c>
    </row>
    <row r="16" ht="22.5" customHeight="1">
      <c r="A16" s="43" t="s">
        <v>133</v>
      </c>
      <c r="B16" s="47" t="s">
        <v>131</v>
      </c>
      <c r="C16" s="50" t="s">
        <v>50</v>
      </c>
      <c r="D16" s="51" t="s">
        <v>71</v>
      </c>
      <c r="E16" s="53">
        <v>45385.0</v>
      </c>
      <c r="F16" s="56" t="str">
        <f t="shared" si="1"/>
        <v>4/2024</v>
      </c>
      <c r="G16" s="57">
        <v>141.95</v>
      </c>
      <c r="H16" s="79">
        <f t="shared" si="2"/>
        <v>141.95</v>
      </c>
      <c r="I16" s="60">
        <v>45385.0</v>
      </c>
    </row>
    <row r="17" ht="22.5" customHeight="1">
      <c r="A17" s="43" t="s">
        <v>134</v>
      </c>
      <c r="B17" s="47" t="s">
        <v>135</v>
      </c>
      <c r="C17" s="50" t="s">
        <v>67</v>
      </c>
      <c r="D17" s="51" t="s">
        <v>71</v>
      </c>
      <c r="E17" s="53">
        <v>45390.0</v>
      </c>
      <c r="F17" s="56" t="str">
        <f t="shared" si="1"/>
        <v>4/2024</v>
      </c>
      <c r="G17" s="57">
        <v>288.93</v>
      </c>
      <c r="H17" s="79">
        <f t="shared" si="2"/>
        <v>288.93</v>
      </c>
      <c r="I17" s="60">
        <v>45390.0</v>
      </c>
    </row>
    <row r="18" ht="22.5" customHeight="1">
      <c r="A18" s="43" t="s">
        <v>136</v>
      </c>
      <c r="B18" s="47" t="s">
        <v>83</v>
      </c>
      <c r="C18" s="50" t="s">
        <v>132</v>
      </c>
      <c r="D18" s="51" t="s">
        <v>70</v>
      </c>
      <c r="E18" s="53">
        <v>45390.0</v>
      </c>
      <c r="F18" s="56" t="str">
        <f t="shared" si="1"/>
        <v>4/2024</v>
      </c>
      <c r="G18" s="57">
        <v>50.49</v>
      </c>
      <c r="H18" s="79">
        <f t="shared" si="2"/>
        <v>50.49</v>
      </c>
      <c r="I18" s="60">
        <v>45390.0</v>
      </c>
    </row>
    <row r="19" ht="22.5" customHeight="1">
      <c r="A19" s="43" t="s">
        <v>82</v>
      </c>
      <c r="B19" s="47" t="s">
        <v>83</v>
      </c>
      <c r="C19" s="50" t="s">
        <v>67</v>
      </c>
      <c r="D19" s="51" t="s">
        <v>71</v>
      </c>
      <c r="E19" s="53">
        <v>45390.0</v>
      </c>
      <c r="F19" s="56" t="str">
        <f t="shared" si="1"/>
        <v>4/2024</v>
      </c>
      <c r="G19" s="57">
        <v>666.95</v>
      </c>
      <c r="H19" s="79">
        <f t="shared" si="2"/>
        <v>666.95</v>
      </c>
      <c r="I19" s="60">
        <v>45390.0</v>
      </c>
    </row>
    <row r="20" ht="22.5" customHeight="1">
      <c r="A20" s="43" t="s">
        <v>137</v>
      </c>
      <c r="B20" s="47" t="s">
        <v>131</v>
      </c>
      <c r="C20" s="50" t="s">
        <v>132</v>
      </c>
      <c r="D20" s="51" t="s">
        <v>72</v>
      </c>
      <c r="E20" s="53">
        <v>45392.0</v>
      </c>
      <c r="F20" s="56" t="str">
        <f t="shared" si="1"/>
        <v>4/2024</v>
      </c>
      <c r="G20" s="57">
        <v>1000.0</v>
      </c>
      <c r="H20" s="79">
        <f t="shared" si="2"/>
        <v>1000</v>
      </c>
      <c r="I20" s="60">
        <v>45392.0</v>
      </c>
    </row>
    <row r="21" ht="22.5" customHeight="1">
      <c r="A21" s="43" t="s">
        <v>136</v>
      </c>
      <c r="B21" s="47" t="s">
        <v>131</v>
      </c>
      <c r="C21" s="50" t="s">
        <v>132</v>
      </c>
      <c r="D21" s="51" t="s">
        <v>70</v>
      </c>
      <c r="E21" s="53">
        <v>45392.0</v>
      </c>
      <c r="F21" s="56" t="str">
        <f t="shared" si="1"/>
        <v>4/2024</v>
      </c>
      <c r="G21" s="57">
        <v>97.24</v>
      </c>
      <c r="H21" s="79">
        <f t="shared" si="2"/>
        <v>97.24</v>
      </c>
      <c r="I21" s="60">
        <v>45392.0</v>
      </c>
    </row>
    <row r="22" ht="22.5" customHeight="1">
      <c r="A22" s="43" t="s">
        <v>138</v>
      </c>
      <c r="B22" s="47" t="s">
        <v>131</v>
      </c>
      <c r="C22" s="50" t="s">
        <v>67</v>
      </c>
      <c r="D22" s="51" t="s">
        <v>71</v>
      </c>
      <c r="E22" s="53">
        <v>45392.0</v>
      </c>
      <c r="F22" s="56" t="str">
        <f t="shared" si="1"/>
        <v>4/2024</v>
      </c>
      <c r="G22" s="57">
        <v>3783.52</v>
      </c>
      <c r="H22" s="79">
        <f t="shared" si="2"/>
        <v>3783.52</v>
      </c>
      <c r="I22" s="60">
        <v>45392.0</v>
      </c>
    </row>
    <row r="23" ht="22.5" customHeight="1">
      <c r="A23" s="43" t="s">
        <v>130</v>
      </c>
      <c r="B23" s="47" t="s">
        <v>83</v>
      </c>
      <c r="C23" s="50" t="s">
        <v>132</v>
      </c>
      <c r="D23" s="51" t="s">
        <v>68</v>
      </c>
      <c r="E23" s="53">
        <v>45392.0</v>
      </c>
      <c r="F23" s="56" t="str">
        <f t="shared" si="1"/>
        <v>4/2024</v>
      </c>
      <c r="G23" s="57">
        <v>187.26</v>
      </c>
      <c r="H23" s="79">
        <f t="shared" si="2"/>
        <v>187.26</v>
      </c>
      <c r="I23" s="60">
        <v>45392.0</v>
      </c>
    </row>
    <row r="24" ht="22.5" customHeight="1">
      <c r="A24" s="43" t="s">
        <v>140</v>
      </c>
      <c r="B24" s="47" t="s">
        <v>135</v>
      </c>
      <c r="C24" s="50" t="s">
        <v>132</v>
      </c>
      <c r="D24" s="51" t="s">
        <v>74</v>
      </c>
      <c r="E24" s="53">
        <v>45392.0</v>
      </c>
      <c r="F24" s="56" t="str">
        <f t="shared" si="1"/>
        <v>4/2024</v>
      </c>
      <c r="G24" s="57">
        <v>86.99</v>
      </c>
      <c r="H24" s="79">
        <f t="shared" si="2"/>
        <v>86.99</v>
      </c>
      <c r="I24" s="60">
        <v>45392.0</v>
      </c>
    </row>
    <row r="25" ht="22.5" customHeight="1">
      <c r="A25" s="43" t="s">
        <v>141</v>
      </c>
      <c r="B25" s="47" t="s">
        <v>83</v>
      </c>
      <c r="C25" s="50" t="s">
        <v>132</v>
      </c>
      <c r="D25" s="51" t="s">
        <v>75</v>
      </c>
      <c r="E25" s="53">
        <v>45392.0</v>
      </c>
      <c r="F25" s="56" t="str">
        <f t="shared" si="1"/>
        <v>4/2024</v>
      </c>
      <c r="G25" s="57">
        <v>129.9</v>
      </c>
      <c r="H25" s="79">
        <f t="shared" si="2"/>
        <v>129.9</v>
      </c>
      <c r="I25" s="60">
        <v>45392.0</v>
      </c>
    </row>
    <row r="26" ht="22.5" customHeight="1">
      <c r="A26" s="43" t="s">
        <v>141</v>
      </c>
      <c r="B26" s="47" t="s">
        <v>131</v>
      </c>
      <c r="C26" s="50" t="s">
        <v>132</v>
      </c>
      <c r="D26" s="51" t="s">
        <v>75</v>
      </c>
      <c r="E26" s="53">
        <v>45392.0</v>
      </c>
      <c r="F26" s="56" t="str">
        <f t="shared" si="1"/>
        <v>4/2024</v>
      </c>
      <c r="G26" s="57">
        <v>99.9</v>
      </c>
      <c r="H26" s="79">
        <f t="shared" si="2"/>
        <v>99.9</v>
      </c>
      <c r="I26" s="60">
        <v>45392.0</v>
      </c>
    </row>
    <row r="27" ht="22.5" customHeight="1">
      <c r="A27" s="43" t="s">
        <v>140</v>
      </c>
      <c r="B27" s="47" t="s">
        <v>131</v>
      </c>
      <c r="C27" s="50" t="s">
        <v>132</v>
      </c>
      <c r="D27" s="51" t="s">
        <v>74</v>
      </c>
      <c r="E27" s="53">
        <v>45392.0</v>
      </c>
      <c r="F27" s="56" t="str">
        <f t="shared" si="1"/>
        <v>4/2024</v>
      </c>
      <c r="G27" s="57">
        <v>46.99</v>
      </c>
      <c r="H27" s="79">
        <f t="shared" si="2"/>
        <v>46.99</v>
      </c>
      <c r="I27" s="60">
        <v>45392.0</v>
      </c>
    </row>
    <row r="28" ht="22.5" customHeight="1">
      <c r="A28" s="43" t="s">
        <v>143</v>
      </c>
      <c r="B28" s="47" t="s">
        <v>131</v>
      </c>
      <c r="C28" s="50" t="s">
        <v>67</v>
      </c>
      <c r="D28" s="51" t="s">
        <v>71</v>
      </c>
      <c r="E28" s="53">
        <v>45393.0</v>
      </c>
      <c r="F28" s="56" t="str">
        <f t="shared" si="1"/>
        <v>4/2024</v>
      </c>
      <c r="G28" s="57">
        <v>251.27</v>
      </c>
      <c r="H28" s="79">
        <f t="shared" si="2"/>
        <v>251.27</v>
      </c>
      <c r="I28" s="60">
        <v>45393.0</v>
      </c>
    </row>
    <row r="29" ht="22.5" customHeight="1">
      <c r="A29" s="43" t="s">
        <v>144</v>
      </c>
      <c r="B29" s="47" t="s">
        <v>131</v>
      </c>
      <c r="C29" s="50" t="s">
        <v>50</v>
      </c>
      <c r="D29" s="51" t="s">
        <v>71</v>
      </c>
      <c r="E29" s="53">
        <v>45400.0</v>
      </c>
      <c r="F29" s="56" t="str">
        <f t="shared" si="1"/>
        <v>4/2024</v>
      </c>
      <c r="G29" s="57">
        <v>949.28</v>
      </c>
      <c r="H29" s="79">
        <f t="shared" si="2"/>
        <v>949.28</v>
      </c>
      <c r="I29" s="60">
        <v>45400.0</v>
      </c>
    </row>
    <row r="30" ht="22.5" customHeight="1">
      <c r="A30" s="43" t="s">
        <v>145</v>
      </c>
      <c r="B30" s="47" t="s">
        <v>83</v>
      </c>
      <c r="C30" s="50" t="s">
        <v>67</v>
      </c>
      <c r="D30" s="51" t="s">
        <v>67</v>
      </c>
      <c r="E30" s="53">
        <v>45401.0</v>
      </c>
      <c r="F30" s="56" t="str">
        <f t="shared" si="1"/>
        <v>4/2024</v>
      </c>
      <c r="G30" s="57">
        <v>751.83</v>
      </c>
      <c r="H30" s="79">
        <f t="shared" si="2"/>
        <v>751.83</v>
      </c>
      <c r="I30" s="60">
        <v>45401.0</v>
      </c>
    </row>
    <row r="31" ht="22.5" customHeight="1">
      <c r="A31" s="43" t="s">
        <v>147</v>
      </c>
      <c r="B31" s="47" t="s">
        <v>148</v>
      </c>
      <c r="C31" s="50" t="s">
        <v>132</v>
      </c>
      <c r="D31" s="51" t="s">
        <v>76</v>
      </c>
      <c r="E31" s="53">
        <v>45402.0</v>
      </c>
      <c r="F31" s="56" t="str">
        <f t="shared" si="1"/>
        <v>4/2024</v>
      </c>
      <c r="G31" s="57">
        <v>71.6</v>
      </c>
      <c r="H31" s="79">
        <f t="shared" si="2"/>
        <v>71.6</v>
      </c>
      <c r="I31" s="60">
        <v>45402.0</v>
      </c>
    </row>
    <row r="32" ht="22.5" customHeight="1">
      <c r="A32" s="43" t="s">
        <v>149</v>
      </c>
      <c r="B32" s="47" t="s">
        <v>131</v>
      </c>
      <c r="C32" s="50" t="s">
        <v>50</v>
      </c>
      <c r="D32" s="51" t="s">
        <v>71</v>
      </c>
      <c r="E32" s="53">
        <v>45408.0</v>
      </c>
      <c r="F32" s="56" t="str">
        <f t="shared" si="1"/>
        <v>4/2024</v>
      </c>
      <c r="G32" s="57">
        <v>1000.0</v>
      </c>
      <c r="H32" s="79">
        <f t="shared" si="2"/>
        <v>1000</v>
      </c>
      <c r="I32" s="60">
        <v>45408.0</v>
      </c>
    </row>
    <row r="33" ht="22.5" customHeight="1">
      <c r="A33" s="43" t="s">
        <v>130</v>
      </c>
      <c r="B33" s="47" t="s">
        <v>131</v>
      </c>
      <c r="C33" s="50" t="s">
        <v>132</v>
      </c>
      <c r="D33" s="51" t="s">
        <v>68</v>
      </c>
      <c r="E33" s="53">
        <v>45414.0</v>
      </c>
      <c r="F33" s="56" t="str">
        <f t="shared" si="1"/>
        <v>5/2024</v>
      </c>
      <c r="G33" s="57">
        <v>38.67</v>
      </c>
      <c r="H33" s="79">
        <f t="shared" si="2"/>
        <v>38.67</v>
      </c>
      <c r="I33" s="60">
        <v>45414.0</v>
      </c>
    </row>
    <row r="34" ht="22.5" customHeight="1">
      <c r="A34" s="43" t="s">
        <v>133</v>
      </c>
      <c r="B34" s="47" t="s">
        <v>131</v>
      </c>
      <c r="C34" s="50" t="s">
        <v>50</v>
      </c>
      <c r="D34" s="51" t="s">
        <v>71</v>
      </c>
      <c r="E34" s="53">
        <v>45419.0</v>
      </c>
      <c r="F34" s="56" t="str">
        <f t="shared" si="1"/>
        <v>5/2024</v>
      </c>
      <c r="G34" s="57">
        <v>560.04</v>
      </c>
      <c r="H34" s="79">
        <f t="shared" si="2"/>
        <v>560.04</v>
      </c>
      <c r="I34" s="60">
        <v>45419.0</v>
      </c>
    </row>
    <row r="35" ht="22.5" customHeight="1">
      <c r="A35" s="43" t="s">
        <v>151</v>
      </c>
      <c r="B35" s="47" t="s">
        <v>131</v>
      </c>
      <c r="C35" s="50" t="s">
        <v>50</v>
      </c>
      <c r="D35" s="51" t="s">
        <v>71</v>
      </c>
      <c r="E35" s="53">
        <v>45420.0</v>
      </c>
      <c r="F35" s="56" t="str">
        <f t="shared" si="1"/>
        <v>5/2024</v>
      </c>
      <c r="G35" s="57">
        <v>881.0</v>
      </c>
      <c r="H35" s="79">
        <f t="shared" si="2"/>
        <v>881</v>
      </c>
      <c r="I35" s="60">
        <v>45420.0</v>
      </c>
    </row>
    <row r="36" ht="22.5" customHeight="1">
      <c r="A36" s="43" t="s">
        <v>134</v>
      </c>
      <c r="B36" s="47" t="s">
        <v>135</v>
      </c>
      <c r="C36" s="50" t="s">
        <v>67</v>
      </c>
      <c r="D36" s="51" t="s">
        <v>71</v>
      </c>
      <c r="E36" s="53">
        <v>45420.0</v>
      </c>
      <c r="F36" s="56" t="str">
        <f t="shared" si="1"/>
        <v>5/2024</v>
      </c>
      <c r="G36" s="57">
        <v>2354.22</v>
      </c>
      <c r="H36" s="79">
        <f t="shared" si="2"/>
        <v>2354.22</v>
      </c>
      <c r="I36" s="60">
        <v>45420.0</v>
      </c>
    </row>
    <row r="37" ht="22.5" customHeight="1">
      <c r="A37" s="43" t="s">
        <v>130</v>
      </c>
      <c r="B37" s="47" t="s">
        <v>83</v>
      </c>
      <c r="C37" s="50" t="s">
        <v>132</v>
      </c>
      <c r="D37" s="51" t="s">
        <v>68</v>
      </c>
      <c r="E37" s="53">
        <v>45420.0</v>
      </c>
      <c r="F37" s="56" t="str">
        <f t="shared" si="1"/>
        <v>5/2024</v>
      </c>
      <c r="G37" s="57">
        <v>136.6</v>
      </c>
      <c r="H37" s="79">
        <f t="shared" si="2"/>
        <v>136.6</v>
      </c>
      <c r="I37" s="60">
        <v>45420.0</v>
      </c>
    </row>
    <row r="38" ht="22.5" customHeight="1">
      <c r="A38" s="43" t="s">
        <v>136</v>
      </c>
      <c r="B38" s="47" t="s">
        <v>83</v>
      </c>
      <c r="C38" s="50" t="s">
        <v>132</v>
      </c>
      <c r="D38" s="51" t="s">
        <v>70</v>
      </c>
      <c r="E38" s="53">
        <v>45420.0</v>
      </c>
      <c r="F38" s="56" t="str">
        <f t="shared" si="1"/>
        <v>5/2024</v>
      </c>
      <c r="G38" s="57">
        <v>52.01</v>
      </c>
      <c r="H38" s="79">
        <f t="shared" si="2"/>
        <v>52.01</v>
      </c>
      <c r="I38" s="60">
        <v>45420.0</v>
      </c>
    </row>
    <row r="39" ht="22.5" customHeight="1">
      <c r="A39" s="43" t="s">
        <v>82</v>
      </c>
      <c r="B39" s="47" t="s">
        <v>83</v>
      </c>
      <c r="C39" s="50" t="s">
        <v>67</v>
      </c>
      <c r="D39" s="51" t="s">
        <v>71</v>
      </c>
      <c r="E39" s="53">
        <v>45420.0</v>
      </c>
      <c r="F39" s="56" t="str">
        <f t="shared" si="1"/>
        <v>5/2024</v>
      </c>
      <c r="G39" s="57">
        <v>666.95</v>
      </c>
      <c r="H39" s="79">
        <f t="shared" si="2"/>
        <v>666.95</v>
      </c>
      <c r="I39" s="60">
        <v>45420.0</v>
      </c>
    </row>
    <row r="40" ht="22.5" customHeight="1">
      <c r="A40" s="43" t="s">
        <v>137</v>
      </c>
      <c r="B40" s="47" t="s">
        <v>131</v>
      </c>
      <c r="C40" s="50" t="s">
        <v>132</v>
      </c>
      <c r="D40" s="51" t="s">
        <v>72</v>
      </c>
      <c r="E40" s="53">
        <v>45422.0</v>
      </c>
      <c r="F40" s="56" t="str">
        <f t="shared" si="1"/>
        <v>5/2024</v>
      </c>
      <c r="G40" s="57">
        <v>1000.0</v>
      </c>
      <c r="H40" s="79">
        <f t="shared" si="2"/>
        <v>1000</v>
      </c>
      <c r="I40" s="60">
        <v>45422.0</v>
      </c>
    </row>
    <row r="41" ht="22.5" customHeight="1">
      <c r="A41" s="43" t="s">
        <v>141</v>
      </c>
      <c r="B41" s="47" t="s">
        <v>83</v>
      </c>
      <c r="C41" s="50" t="s">
        <v>132</v>
      </c>
      <c r="D41" s="51" t="s">
        <v>75</v>
      </c>
      <c r="E41" s="53">
        <v>45422.0</v>
      </c>
      <c r="F41" s="56" t="str">
        <f t="shared" si="1"/>
        <v>5/2024</v>
      </c>
      <c r="G41" s="57">
        <v>129.9</v>
      </c>
      <c r="H41" s="79">
        <f t="shared" si="2"/>
        <v>129.9</v>
      </c>
      <c r="I41" s="60">
        <v>45422.0</v>
      </c>
    </row>
    <row r="42" ht="22.5" customHeight="1">
      <c r="A42" s="43" t="s">
        <v>141</v>
      </c>
      <c r="B42" s="47" t="s">
        <v>131</v>
      </c>
      <c r="C42" s="50" t="s">
        <v>132</v>
      </c>
      <c r="D42" s="51" t="s">
        <v>75</v>
      </c>
      <c r="E42" s="53">
        <v>45422.0</v>
      </c>
      <c r="F42" s="56" t="str">
        <f t="shared" si="1"/>
        <v>5/2024</v>
      </c>
      <c r="G42" s="57">
        <v>99.9</v>
      </c>
      <c r="H42" s="79">
        <f t="shared" si="2"/>
        <v>99.9</v>
      </c>
      <c r="I42" s="60">
        <v>45422.0</v>
      </c>
    </row>
    <row r="43" ht="22.5" customHeight="1">
      <c r="A43" s="43" t="s">
        <v>136</v>
      </c>
      <c r="B43" s="47" t="s">
        <v>131</v>
      </c>
      <c r="C43" s="50" t="s">
        <v>132</v>
      </c>
      <c r="D43" s="51" t="s">
        <v>70</v>
      </c>
      <c r="E43" s="53">
        <v>45422.0</v>
      </c>
      <c r="F43" s="56" t="str">
        <f t="shared" si="1"/>
        <v>5/2024</v>
      </c>
      <c r="G43" s="57">
        <v>97.24</v>
      </c>
      <c r="H43" s="79">
        <f t="shared" si="2"/>
        <v>97.24</v>
      </c>
      <c r="I43" s="60">
        <v>45422.0</v>
      </c>
    </row>
    <row r="44" ht="22.5" customHeight="1">
      <c r="A44" s="43" t="s">
        <v>138</v>
      </c>
      <c r="B44" s="47" t="s">
        <v>131</v>
      </c>
      <c r="C44" s="50" t="s">
        <v>67</v>
      </c>
      <c r="D44" s="51" t="s">
        <v>71</v>
      </c>
      <c r="E44" s="53">
        <v>45422.0</v>
      </c>
      <c r="F44" s="56" t="str">
        <f t="shared" si="1"/>
        <v>5/2024</v>
      </c>
      <c r="G44" s="57">
        <v>3236.86</v>
      </c>
      <c r="H44" s="79">
        <f t="shared" si="2"/>
        <v>3236.86</v>
      </c>
      <c r="I44" s="60">
        <v>45422.0</v>
      </c>
    </row>
    <row r="45" ht="22.5" customHeight="1">
      <c r="A45" s="43" t="s">
        <v>140</v>
      </c>
      <c r="B45" s="47"/>
      <c r="C45" s="50" t="s">
        <v>132</v>
      </c>
      <c r="D45" s="51" t="s">
        <v>74</v>
      </c>
      <c r="E45" s="53">
        <v>45422.0</v>
      </c>
      <c r="F45" s="56" t="str">
        <f t="shared" si="1"/>
        <v>5/2024</v>
      </c>
      <c r="G45" s="57">
        <v>96.99</v>
      </c>
      <c r="H45" s="79">
        <f t="shared" si="2"/>
        <v>96.99</v>
      </c>
      <c r="I45" s="60">
        <v>45422.0</v>
      </c>
    </row>
    <row r="46" ht="22.5" customHeight="1">
      <c r="A46" s="43" t="s">
        <v>140</v>
      </c>
      <c r="B46" s="47"/>
      <c r="C46" s="50" t="s">
        <v>132</v>
      </c>
      <c r="D46" s="51" t="s">
        <v>74</v>
      </c>
      <c r="E46" s="53">
        <v>45422.0</v>
      </c>
      <c r="F46" s="56" t="str">
        <f t="shared" si="1"/>
        <v>5/2024</v>
      </c>
      <c r="G46" s="57">
        <v>46.99</v>
      </c>
      <c r="H46" s="79">
        <f t="shared" si="2"/>
        <v>46.99</v>
      </c>
      <c r="I46" s="60">
        <v>45422.0</v>
      </c>
    </row>
    <row r="47" ht="22.5" customHeight="1">
      <c r="A47" s="43" t="s">
        <v>143</v>
      </c>
      <c r="B47" s="47"/>
      <c r="C47" s="50" t="s">
        <v>67</v>
      </c>
      <c r="D47" s="51" t="s">
        <v>71</v>
      </c>
      <c r="E47" s="53">
        <v>45423.0</v>
      </c>
      <c r="F47" s="56" t="str">
        <f t="shared" si="1"/>
        <v>5/2024</v>
      </c>
      <c r="G47" s="57">
        <v>64.9</v>
      </c>
      <c r="H47" s="79">
        <f t="shared" si="2"/>
        <v>64.9</v>
      </c>
      <c r="I47" s="60">
        <v>45423.0</v>
      </c>
    </row>
    <row r="48" ht="22.5" customHeight="1">
      <c r="A48" s="43" t="s">
        <v>144</v>
      </c>
      <c r="B48" s="47"/>
      <c r="C48" s="50" t="s">
        <v>50</v>
      </c>
      <c r="D48" s="51" t="s">
        <v>71</v>
      </c>
      <c r="E48" s="53">
        <v>45427.0</v>
      </c>
      <c r="F48" s="56" t="str">
        <f t="shared" si="1"/>
        <v>5/2024</v>
      </c>
      <c r="G48" s="57">
        <v>936.28</v>
      </c>
      <c r="H48" s="79">
        <f t="shared" si="2"/>
        <v>936.28</v>
      </c>
      <c r="I48" s="60">
        <v>45427.0</v>
      </c>
    </row>
    <row r="49" ht="22.5" customHeight="1">
      <c r="A49" s="43" t="s">
        <v>144</v>
      </c>
      <c r="B49" s="47"/>
      <c r="C49" s="50" t="s">
        <v>50</v>
      </c>
      <c r="D49" s="51" t="s">
        <v>71</v>
      </c>
      <c r="E49" s="53">
        <v>45429.0</v>
      </c>
      <c r="F49" s="56" t="str">
        <f t="shared" si="1"/>
        <v>5/2024</v>
      </c>
      <c r="G49" s="57">
        <v>949.28</v>
      </c>
      <c r="H49" s="79">
        <f t="shared" si="2"/>
        <v>949.28</v>
      </c>
      <c r="I49" s="60">
        <v>45429.0</v>
      </c>
    </row>
    <row r="50" ht="22.5" customHeight="1">
      <c r="A50" s="43" t="s">
        <v>147</v>
      </c>
      <c r="B50" s="47" t="s">
        <v>148</v>
      </c>
      <c r="C50" s="50" t="s">
        <v>132</v>
      </c>
      <c r="D50" s="51" t="s">
        <v>76</v>
      </c>
      <c r="E50" s="53">
        <v>45432.0</v>
      </c>
      <c r="F50" s="56" t="str">
        <f t="shared" si="1"/>
        <v>5/2024</v>
      </c>
      <c r="G50" s="57">
        <v>71.6</v>
      </c>
      <c r="H50" s="79">
        <f t="shared" si="2"/>
        <v>71.6</v>
      </c>
      <c r="I50" s="60">
        <v>45432.0</v>
      </c>
    </row>
    <row r="51" ht="22.5" customHeight="1">
      <c r="A51" s="43" t="s">
        <v>149</v>
      </c>
      <c r="B51" s="47"/>
      <c r="C51" s="50" t="s">
        <v>50</v>
      </c>
      <c r="D51" s="51" t="s">
        <v>71</v>
      </c>
      <c r="E51" s="53">
        <v>45438.0</v>
      </c>
      <c r="F51" s="56" t="str">
        <f t="shared" si="1"/>
        <v>5/2024</v>
      </c>
      <c r="G51" s="57">
        <v>1000.0</v>
      </c>
      <c r="H51" s="79">
        <f t="shared" si="2"/>
        <v>1000</v>
      </c>
      <c r="I51" s="60">
        <v>45438.0</v>
      </c>
    </row>
    <row r="52" ht="22.5" customHeight="1">
      <c r="A52" s="43" t="s">
        <v>156</v>
      </c>
      <c r="B52" s="47"/>
      <c r="C52" s="50" t="s">
        <v>50</v>
      </c>
      <c r="D52" s="51" t="s">
        <v>71</v>
      </c>
      <c r="E52" s="53">
        <v>45442.0</v>
      </c>
      <c r="F52" s="56" t="str">
        <f t="shared" si="1"/>
        <v>5/2024</v>
      </c>
      <c r="G52" s="57">
        <v>207.27</v>
      </c>
      <c r="H52" s="79">
        <f t="shared" si="2"/>
        <v>207.27</v>
      </c>
      <c r="I52" s="60">
        <v>45442.0</v>
      </c>
    </row>
    <row r="53" ht="22.5" customHeight="1">
      <c r="A53" s="43" t="s">
        <v>130</v>
      </c>
      <c r="B53" s="47"/>
      <c r="C53" s="50" t="s">
        <v>132</v>
      </c>
      <c r="D53" s="51" t="s">
        <v>68</v>
      </c>
      <c r="E53" s="53">
        <v>45445.0</v>
      </c>
      <c r="F53" s="56" t="str">
        <f t="shared" si="1"/>
        <v>6/2024</v>
      </c>
      <c r="G53" s="57">
        <v>38.67</v>
      </c>
      <c r="H53" s="79">
        <f t="shared" si="2"/>
        <v>38.67</v>
      </c>
      <c r="I53" s="60">
        <v>45445.0</v>
      </c>
    </row>
    <row r="54" ht="22.5" customHeight="1">
      <c r="A54" s="43" t="s">
        <v>23</v>
      </c>
      <c r="B54" s="47"/>
      <c r="C54" s="50" t="s">
        <v>50</v>
      </c>
      <c r="D54" s="51" t="s">
        <v>71</v>
      </c>
      <c r="E54" s="53">
        <v>45450.0</v>
      </c>
      <c r="F54" s="56" t="str">
        <f t="shared" si="1"/>
        <v>6/2024</v>
      </c>
      <c r="G54" s="57">
        <v>292.61</v>
      </c>
      <c r="H54" s="79">
        <f t="shared" si="2"/>
        <v>292.61</v>
      </c>
      <c r="I54" s="60">
        <v>45450.0</v>
      </c>
    </row>
    <row r="55" ht="22.5" customHeight="1">
      <c r="A55" s="43" t="s">
        <v>151</v>
      </c>
      <c r="B55" s="47"/>
      <c r="C55" s="50" t="s">
        <v>50</v>
      </c>
      <c r="D55" s="51" t="s">
        <v>71</v>
      </c>
      <c r="E55" s="53">
        <v>45451.0</v>
      </c>
      <c r="F55" s="56" t="str">
        <f t="shared" si="1"/>
        <v>6/2024</v>
      </c>
      <c r="G55" s="57">
        <v>881.0</v>
      </c>
      <c r="H55" s="79">
        <f t="shared" si="2"/>
        <v>881</v>
      </c>
      <c r="I55" s="60">
        <v>45451.0</v>
      </c>
    </row>
    <row r="56" ht="22.5" customHeight="1">
      <c r="A56" s="43" t="s">
        <v>134</v>
      </c>
      <c r="B56" s="47" t="s">
        <v>135</v>
      </c>
      <c r="C56" s="50" t="s">
        <v>67</v>
      </c>
      <c r="D56" s="51" t="s">
        <v>71</v>
      </c>
      <c r="E56" s="53">
        <v>45451.0</v>
      </c>
      <c r="F56" s="56" t="str">
        <f t="shared" si="1"/>
        <v>6/2024</v>
      </c>
      <c r="G56" s="57">
        <v>2294.92</v>
      </c>
      <c r="H56" s="79">
        <f t="shared" si="2"/>
        <v>2294.92</v>
      </c>
      <c r="I56" s="60">
        <v>45451.0</v>
      </c>
    </row>
    <row r="57" ht="22.5" customHeight="1">
      <c r="A57" s="43" t="s">
        <v>136</v>
      </c>
      <c r="B57" s="47" t="s">
        <v>83</v>
      </c>
      <c r="C57" s="50" t="s">
        <v>132</v>
      </c>
      <c r="D57" s="51" t="s">
        <v>70</v>
      </c>
      <c r="E57" s="53">
        <v>45451.0</v>
      </c>
      <c r="F57" s="56" t="str">
        <f t="shared" si="1"/>
        <v>6/2024</v>
      </c>
      <c r="G57" s="57">
        <v>49.16</v>
      </c>
      <c r="H57" s="79">
        <f t="shared" si="2"/>
        <v>49.16</v>
      </c>
      <c r="I57" s="60">
        <v>45451.0</v>
      </c>
    </row>
    <row r="58" ht="22.5" customHeight="1">
      <c r="A58" s="43" t="s">
        <v>82</v>
      </c>
      <c r="B58" s="47" t="s">
        <v>83</v>
      </c>
      <c r="C58" s="50" t="s">
        <v>67</v>
      </c>
      <c r="D58" s="51" t="s">
        <v>71</v>
      </c>
      <c r="E58" s="53">
        <v>45451.0</v>
      </c>
      <c r="F58" s="56" t="str">
        <f t="shared" si="1"/>
        <v>6/2024</v>
      </c>
      <c r="G58" s="57">
        <v>666.95</v>
      </c>
      <c r="H58" s="79">
        <f t="shared" si="2"/>
        <v>666.95</v>
      </c>
      <c r="I58" s="60">
        <v>45451.0</v>
      </c>
    </row>
    <row r="59" ht="22.5" customHeight="1">
      <c r="A59" s="43" t="s">
        <v>137</v>
      </c>
      <c r="B59" s="47"/>
      <c r="C59" s="50" t="s">
        <v>132</v>
      </c>
      <c r="D59" s="51" t="s">
        <v>72</v>
      </c>
      <c r="E59" s="53">
        <v>45453.0</v>
      </c>
      <c r="F59" s="56" t="str">
        <f t="shared" si="1"/>
        <v>6/2024</v>
      </c>
      <c r="G59" s="57">
        <v>1000.0</v>
      </c>
      <c r="H59" s="79">
        <f t="shared" si="2"/>
        <v>1000</v>
      </c>
      <c r="I59" s="60">
        <v>45453.0</v>
      </c>
    </row>
    <row r="60" ht="22.5" customHeight="1">
      <c r="A60" s="43" t="s">
        <v>141</v>
      </c>
      <c r="B60" s="47"/>
      <c r="C60" s="50" t="s">
        <v>132</v>
      </c>
      <c r="D60" s="51" t="s">
        <v>75</v>
      </c>
      <c r="E60" s="53">
        <v>45453.0</v>
      </c>
      <c r="F60" s="56" t="str">
        <f t="shared" si="1"/>
        <v>6/2024</v>
      </c>
      <c r="G60" s="57">
        <v>129.9</v>
      </c>
      <c r="H60" s="79">
        <f t="shared" si="2"/>
        <v>129.9</v>
      </c>
      <c r="I60" s="60">
        <v>45453.0</v>
      </c>
    </row>
    <row r="61" ht="22.5" customHeight="1">
      <c r="A61" s="43" t="s">
        <v>141</v>
      </c>
      <c r="B61" s="47"/>
      <c r="C61" s="50" t="s">
        <v>132</v>
      </c>
      <c r="D61" s="51" t="s">
        <v>75</v>
      </c>
      <c r="E61" s="53">
        <v>45453.0</v>
      </c>
      <c r="F61" s="56" t="str">
        <f t="shared" si="1"/>
        <v>6/2024</v>
      </c>
      <c r="G61" s="57">
        <v>99.9</v>
      </c>
      <c r="H61" s="79">
        <f t="shared" si="2"/>
        <v>99.9</v>
      </c>
      <c r="I61" s="60">
        <v>45453.0</v>
      </c>
    </row>
    <row r="62" ht="22.5" customHeight="1">
      <c r="A62" s="43" t="s">
        <v>136</v>
      </c>
      <c r="B62" s="47" t="s">
        <v>131</v>
      </c>
      <c r="C62" s="50" t="s">
        <v>132</v>
      </c>
      <c r="D62" s="51" t="s">
        <v>70</v>
      </c>
      <c r="E62" s="53">
        <v>45453.0</v>
      </c>
      <c r="F62" s="56" t="str">
        <f t="shared" si="1"/>
        <v>6/2024</v>
      </c>
      <c r="G62" s="57">
        <v>97.24</v>
      </c>
      <c r="H62" s="79">
        <f t="shared" si="2"/>
        <v>97.24</v>
      </c>
      <c r="I62" s="60">
        <v>45453.0</v>
      </c>
    </row>
    <row r="63" ht="22.5" customHeight="1">
      <c r="A63" s="43" t="s">
        <v>138</v>
      </c>
      <c r="B63" s="47"/>
      <c r="C63" s="50" t="s">
        <v>67</v>
      </c>
      <c r="D63" s="51" t="s">
        <v>71</v>
      </c>
      <c r="E63" s="53">
        <v>45453.0</v>
      </c>
      <c r="F63" s="56" t="str">
        <f t="shared" si="1"/>
        <v>6/2024</v>
      </c>
      <c r="G63" s="57">
        <v>10569.03</v>
      </c>
      <c r="H63" s="79">
        <f t="shared" si="2"/>
        <v>10569.03</v>
      </c>
      <c r="I63" s="60">
        <v>45453.0</v>
      </c>
    </row>
    <row r="64" ht="22.5" customHeight="1">
      <c r="A64" s="43" t="s">
        <v>130</v>
      </c>
      <c r="B64" s="47"/>
      <c r="C64" s="50" t="s">
        <v>132</v>
      </c>
      <c r="D64" s="51" t="s">
        <v>68</v>
      </c>
      <c r="E64" s="53">
        <v>45453.0</v>
      </c>
      <c r="F64" s="56" t="str">
        <f t="shared" si="1"/>
        <v>6/2024</v>
      </c>
      <c r="G64" s="57">
        <v>143.41</v>
      </c>
      <c r="H64" s="79">
        <f t="shared" si="2"/>
        <v>143.41</v>
      </c>
      <c r="I64" s="60">
        <v>45453.0</v>
      </c>
    </row>
    <row r="65" ht="22.5" customHeight="1">
      <c r="A65" s="43" t="s">
        <v>140</v>
      </c>
      <c r="B65" s="47"/>
      <c r="C65" s="50" t="s">
        <v>132</v>
      </c>
      <c r="D65" s="51" t="s">
        <v>74</v>
      </c>
      <c r="E65" s="53">
        <v>45453.0</v>
      </c>
      <c r="F65" s="56" t="str">
        <f t="shared" si="1"/>
        <v>6/2024</v>
      </c>
      <c r="G65" s="57">
        <v>96.99</v>
      </c>
      <c r="H65" s="79">
        <f t="shared" si="2"/>
        <v>96.99</v>
      </c>
      <c r="I65" s="60">
        <v>45453.0</v>
      </c>
    </row>
    <row r="66" ht="22.5" customHeight="1">
      <c r="A66" s="43" t="s">
        <v>140</v>
      </c>
      <c r="B66" s="47"/>
      <c r="C66" s="50" t="s">
        <v>132</v>
      </c>
      <c r="D66" s="51" t="s">
        <v>74</v>
      </c>
      <c r="E66" s="53">
        <v>45453.0</v>
      </c>
      <c r="F66" s="56" t="str">
        <f t="shared" si="1"/>
        <v>6/2024</v>
      </c>
      <c r="G66" s="57">
        <v>49.99</v>
      </c>
      <c r="H66" s="79">
        <f t="shared" si="2"/>
        <v>49.99</v>
      </c>
      <c r="I66" s="60">
        <v>45453.0</v>
      </c>
    </row>
    <row r="67" ht="22.5" customHeight="1">
      <c r="A67" s="43" t="s">
        <v>143</v>
      </c>
      <c r="B67" s="47"/>
      <c r="C67" s="50" t="s">
        <v>67</v>
      </c>
      <c r="D67" s="51" t="s">
        <v>71</v>
      </c>
      <c r="E67" s="53">
        <v>45454.0</v>
      </c>
      <c r="F67" s="56" t="str">
        <f t="shared" si="1"/>
        <v>6/2024</v>
      </c>
      <c r="G67" s="57">
        <v>339.95</v>
      </c>
      <c r="H67" s="79">
        <f t="shared" si="2"/>
        <v>339.95</v>
      </c>
      <c r="I67" s="60">
        <v>45454.0</v>
      </c>
    </row>
    <row r="68" ht="22.5" customHeight="1">
      <c r="A68" s="43" t="s">
        <v>144</v>
      </c>
      <c r="B68" s="47"/>
      <c r="C68" s="50" t="s">
        <v>50</v>
      </c>
      <c r="D68" s="51" t="s">
        <v>71</v>
      </c>
      <c r="E68" s="53">
        <v>45457.0</v>
      </c>
      <c r="F68" s="56" t="str">
        <f t="shared" si="1"/>
        <v>6/2024</v>
      </c>
      <c r="G68" s="57">
        <v>932.27</v>
      </c>
      <c r="H68" s="79">
        <f t="shared" si="2"/>
        <v>932.27</v>
      </c>
      <c r="I68" s="60">
        <v>45457.0</v>
      </c>
    </row>
    <row r="69" ht="22.5" customHeight="1">
      <c r="A69" s="43" t="s">
        <v>160</v>
      </c>
      <c r="B69" s="47"/>
      <c r="C69" s="50" t="s">
        <v>67</v>
      </c>
      <c r="D69" s="51" t="s">
        <v>67</v>
      </c>
      <c r="E69" s="53">
        <v>45458.0</v>
      </c>
      <c r="F69" s="56" t="str">
        <f t="shared" si="1"/>
        <v>6/2024</v>
      </c>
      <c r="G69" s="57">
        <v>1015.63</v>
      </c>
      <c r="H69" s="79">
        <f t="shared" si="2"/>
        <v>1015.63</v>
      </c>
      <c r="I69" s="60">
        <v>45458.0</v>
      </c>
    </row>
    <row r="70" ht="22.5" customHeight="1">
      <c r="A70" s="43" t="s">
        <v>144</v>
      </c>
      <c r="B70" s="47"/>
      <c r="C70" s="50" t="s">
        <v>50</v>
      </c>
      <c r="D70" s="51" t="s">
        <v>71</v>
      </c>
      <c r="E70" s="53">
        <v>45460.0</v>
      </c>
      <c r="F70" s="56" t="str">
        <f t="shared" si="1"/>
        <v>6/2024</v>
      </c>
      <c r="G70" s="57">
        <v>949.28</v>
      </c>
      <c r="H70" s="79">
        <f t="shared" si="2"/>
        <v>949.28</v>
      </c>
      <c r="I70" s="60">
        <v>45460.0</v>
      </c>
    </row>
    <row r="71" ht="22.5" customHeight="1">
      <c r="A71" s="43" t="s">
        <v>147</v>
      </c>
      <c r="B71" s="47" t="s">
        <v>148</v>
      </c>
      <c r="C71" s="50" t="s">
        <v>132</v>
      </c>
      <c r="D71" s="51" t="s">
        <v>76</v>
      </c>
      <c r="E71" s="53">
        <v>45463.0</v>
      </c>
      <c r="F71" s="56" t="str">
        <f t="shared" si="1"/>
        <v>6/2024</v>
      </c>
      <c r="G71" s="57">
        <v>71.6</v>
      </c>
      <c r="H71" s="79">
        <f t="shared" si="2"/>
        <v>71.6</v>
      </c>
      <c r="I71" s="60">
        <v>45463.0</v>
      </c>
    </row>
    <row r="72" ht="22.5" customHeight="1">
      <c r="A72" s="43" t="s">
        <v>134</v>
      </c>
      <c r="B72" s="47" t="s">
        <v>168</v>
      </c>
      <c r="C72" s="50" t="s">
        <v>67</v>
      </c>
      <c r="D72" s="51" t="s">
        <v>71</v>
      </c>
      <c r="E72" s="53">
        <v>45467.0</v>
      </c>
      <c r="F72" s="56" t="str">
        <f t="shared" si="1"/>
        <v>6/2024</v>
      </c>
      <c r="G72" s="57">
        <v>90.0</v>
      </c>
      <c r="H72" s="79">
        <f t="shared" si="2"/>
        <v>90</v>
      </c>
      <c r="I72" s="60">
        <v>45467.0</v>
      </c>
    </row>
    <row r="73" ht="22.5" customHeight="1">
      <c r="A73" s="43" t="s">
        <v>130</v>
      </c>
      <c r="B73" s="47"/>
      <c r="C73" s="50" t="s">
        <v>132</v>
      </c>
      <c r="D73" s="51" t="s">
        <v>68</v>
      </c>
      <c r="E73" s="53">
        <v>45475.0</v>
      </c>
      <c r="F73" s="56" t="str">
        <f t="shared" si="1"/>
        <v>7/2024</v>
      </c>
      <c r="G73" s="57">
        <v>38.67</v>
      </c>
      <c r="H73" s="79">
        <f t="shared" si="2"/>
        <v>38.67</v>
      </c>
      <c r="I73" s="60">
        <v>45475.0</v>
      </c>
    </row>
    <row r="74" ht="22.5" customHeight="1">
      <c r="A74" s="43" t="s">
        <v>133</v>
      </c>
      <c r="B74" s="47" t="s">
        <v>131</v>
      </c>
      <c r="C74" s="50" t="s">
        <v>50</v>
      </c>
      <c r="D74" s="51" t="s">
        <v>71</v>
      </c>
      <c r="E74" s="53">
        <v>45477.0</v>
      </c>
      <c r="F74" s="56" t="str">
        <f t="shared" si="1"/>
        <v>7/2024</v>
      </c>
      <c r="G74" s="57">
        <v>615.88</v>
      </c>
      <c r="H74" s="79">
        <f t="shared" si="2"/>
        <v>615.88</v>
      </c>
      <c r="I74" s="60">
        <v>45477.0</v>
      </c>
    </row>
    <row r="75" ht="22.5" customHeight="1">
      <c r="A75" s="43" t="s">
        <v>176</v>
      </c>
      <c r="B75" s="47"/>
      <c r="C75" s="50" t="s">
        <v>67</v>
      </c>
      <c r="D75" s="51" t="s">
        <v>67</v>
      </c>
      <c r="E75" s="53">
        <v>45480.0</v>
      </c>
      <c r="F75" s="56" t="str">
        <f t="shared" si="1"/>
        <v>7/2024</v>
      </c>
      <c r="G75" s="57">
        <v>1231.13</v>
      </c>
      <c r="H75" s="79">
        <f t="shared" si="2"/>
        <v>1231.13</v>
      </c>
      <c r="I75" s="60">
        <v>45480.0</v>
      </c>
    </row>
    <row r="76" ht="22.5" customHeight="1">
      <c r="A76" s="43" t="s">
        <v>151</v>
      </c>
      <c r="B76" s="47"/>
      <c r="C76" s="50" t="s">
        <v>50</v>
      </c>
      <c r="D76" s="51" t="s">
        <v>71</v>
      </c>
      <c r="E76" s="53">
        <v>45481.0</v>
      </c>
      <c r="F76" s="56" t="str">
        <f t="shared" si="1"/>
        <v>7/2024</v>
      </c>
      <c r="G76" s="57">
        <v>881.2</v>
      </c>
      <c r="H76" s="79">
        <f t="shared" si="2"/>
        <v>881.2</v>
      </c>
      <c r="I76" s="60">
        <v>45481.0</v>
      </c>
    </row>
    <row r="77" ht="22.5" customHeight="1">
      <c r="A77" s="43" t="s">
        <v>134</v>
      </c>
      <c r="B77" s="47" t="s">
        <v>135</v>
      </c>
      <c r="C77" s="50" t="s">
        <v>67</v>
      </c>
      <c r="D77" s="51" t="s">
        <v>71</v>
      </c>
      <c r="E77" s="53">
        <v>45481.0</v>
      </c>
      <c r="F77" s="56" t="str">
        <f t="shared" si="1"/>
        <v>7/2024</v>
      </c>
      <c r="G77" s="57">
        <v>1868.06</v>
      </c>
      <c r="H77" s="79">
        <f t="shared" si="2"/>
        <v>1868.06</v>
      </c>
      <c r="I77" s="60">
        <v>45481.0</v>
      </c>
    </row>
    <row r="78" ht="22.5" customHeight="1">
      <c r="A78" s="43" t="s">
        <v>136</v>
      </c>
      <c r="B78" s="47" t="s">
        <v>83</v>
      </c>
      <c r="C78" s="50" t="s">
        <v>132</v>
      </c>
      <c r="D78" s="51" t="s">
        <v>70</v>
      </c>
      <c r="E78" s="53">
        <v>45481.0</v>
      </c>
      <c r="F78" s="56" t="str">
        <f t="shared" si="1"/>
        <v>7/2024</v>
      </c>
      <c r="G78" s="57">
        <v>56.66</v>
      </c>
      <c r="H78" s="79">
        <f t="shared" si="2"/>
        <v>56.66</v>
      </c>
      <c r="I78" s="60">
        <v>45481.0</v>
      </c>
    </row>
    <row r="79" ht="22.5" customHeight="1">
      <c r="A79" s="43" t="s">
        <v>82</v>
      </c>
      <c r="B79" s="47" t="s">
        <v>83</v>
      </c>
      <c r="C79" s="50" t="s">
        <v>67</v>
      </c>
      <c r="D79" s="51" t="s">
        <v>71</v>
      </c>
      <c r="E79" s="53">
        <v>45481.0</v>
      </c>
      <c r="F79" s="56" t="str">
        <f t="shared" si="1"/>
        <v>7/2024</v>
      </c>
      <c r="G79" s="57">
        <v>666.95</v>
      </c>
      <c r="H79" s="79">
        <f t="shared" si="2"/>
        <v>666.95</v>
      </c>
      <c r="I79" s="60">
        <v>45481.0</v>
      </c>
    </row>
    <row r="80" ht="22.5" customHeight="1">
      <c r="A80" s="43" t="s">
        <v>137</v>
      </c>
      <c r="B80" s="47"/>
      <c r="C80" s="50" t="s">
        <v>132</v>
      </c>
      <c r="D80" s="51" t="s">
        <v>72</v>
      </c>
      <c r="E80" s="53">
        <v>45483.0</v>
      </c>
      <c r="F80" s="56" t="str">
        <f t="shared" si="1"/>
        <v>7/2024</v>
      </c>
      <c r="G80" s="57">
        <v>1200.0</v>
      </c>
      <c r="H80" s="79">
        <f t="shared" si="2"/>
        <v>1200</v>
      </c>
      <c r="I80" s="60">
        <v>45483.0</v>
      </c>
    </row>
    <row r="81" ht="22.5" customHeight="1">
      <c r="A81" s="43" t="s">
        <v>141</v>
      </c>
      <c r="B81" s="47"/>
      <c r="C81" s="50" t="s">
        <v>132</v>
      </c>
      <c r="D81" s="51" t="s">
        <v>75</v>
      </c>
      <c r="E81" s="53">
        <v>45483.0</v>
      </c>
      <c r="F81" s="56" t="str">
        <f t="shared" si="1"/>
        <v>7/2024</v>
      </c>
      <c r="G81" s="57">
        <v>129.9</v>
      </c>
      <c r="H81" s="79">
        <f t="shared" si="2"/>
        <v>129.9</v>
      </c>
      <c r="I81" s="60">
        <v>45483.0</v>
      </c>
    </row>
    <row r="82" ht="22.5" customHeight="1">
      <c r="A82" s="43" t="s">
        <v>141</v>
      </c>
      <c r="B82" s="47"/>
      <c r="C82" s="50" t="s">
        <v>132</v>
      </c>
      <c r="D82" s="51" t="s">
        <v>75</v>
      </c>
      <c r="E82" s="53">
        <v>45483.0</v>
      </c>
      <c r="F82" s="56" t="str">
        <f t="shared" si="1"/>
        <v>7/2024</v>
      </c>
      <c r="G82" s="57">
        <v>99.9</v>
      </c>
      <c r="H82" s="79">
        <f t="shared" si="2"/>
        <v>99.9</v>
      </c>
      <c r="I82" s="60">
        <v>45483.0</v>
      </c>
    </row>
    <row r="83" ht="22.5" customHeight="1">
      <c r="A83" s="43" t="s">
        <v>136</v>
      </c>
      <c r="B83" s="47" t="s">
        <v>131</v>
      </c>
      <c r="C83" s="50" t="s">
        <v>132</v>
      </c>
      <c r="D83" s="51" t="s">
        <v>70</v>
      </c>
      <c r="E83" s="53">
        <v>45483.0</v>
      </c>
      <c r="F83" s="56" t="str">
        <f t="shared" si="1"/>
        <v>7/2024</v>
      </c>
      <c r="G83" s="57">
        <v>97.24</v>
      </c>
      <c r="H83" s="79">
        <f t="shared" si="2"/>
        <v>97.24</v>
      </c>
      <c r="I83" s="60">
        <v>45483.0</v>
      </c>
    </row>
    <row r="84" ht="22.5" customHeight="1">
      <c r="A84" s="43" t="s">
        <v>138</v>
      </c>
      <c r="B84" s="47"/>
      <c r="C84" s="50" t="s">
        <v>67</v>
      </c>
      <c r="D84" s="51" t="s">
        <v>71</v>
      </c>
      <c r="E84" s="53">
        <v>45483.0</v>
      </c>
      <c r="F84" s="56" t="str">
        <f t="shared" si="1"/>
        <v>7/2024</v>
      </c>
      <c r="G84" s="57">
        <v>10560.96</v>
      </c>
      <c r="H84" s="79">
        <f t="shared" si="2"/>
        <v>10560.96</v>
      </c>
      <c r="I84" s="60">
        <v>45483.0</v>
      </c>
    </row>
    <row r="85" ht="22.5" customHeight="1">
      <c r="A85" s="43" t="s">
        <v>130</v>
      </c>
      <c r="B85" s="47"/>
      <c r="C85" s="50" t="s">
        <v>132</v>
      </c>
      <c r="D85" s="51" t="s">
        <v>68</v>
      </c>
      <c r="E85" s="53">
        <v>45483.0</v>
      </c>
      <c r="F85" s="56" t="str">
        <f t="shared" si="1"/>
        <v>7/2024</v>
      </c>
      <c r="G85" s="57">
        <v>164.75</v>
      </c>
      <c r="H85" s="79">
        <f t="shared" si="2"/>
        <v>164.75</v>
      </c>
      <c r="I85" s="60">
        <v>45483.0</v>
      </c>
    </row>
    <row r="86" ht="22.5" customHeight="1">
      <c r="A86" s="43" t="s">
        <v>140</v>
      </c>
      <c r="B86" s="47"/>
      <c r="C86" s="50" t="s">
        <v>132</v>
      </c>
      <c r="D86" s="51" t="s">
        <v>74</v>
      </c>
      <c r="E86" s="53">
        <v>45483.0</v>
      </c>
      <c r="F86" s="56" t="str">
        <f t="shared" si="1"/>
        <v>7/2024</v>
      </c>
      <c r="G86" s="57">
        <v>96.99</v>
      </c>
      <c r="H86" s="79">
        <f t="shared" si="2"/>
        <v>96.99</v>
      </c>
      <c r="I86" s="60">
        <v>45483.0</v>
      </c>
    </row>
    <row r="87" ht="22.5" customHeight="1">
      <c r="A87" s="43" t="s">
        <v>140</v>
      </c>
      <c r="B87" s="47"/>
      <c r="C87" s="50" t="s">
        <v>132</v>
      </c>
      <c r="D87" s="51" t="s">
        <v>74</v>
      </c>
      <c r="E87" s="53">
        <v>45483.0</v>
      </c>
      <c r="F87" s="56" t="str">
        <f t="shared" si="1"/>
        <v>7/2024</v>
      </c>
      <c r="G87" s="57">
        <v>49.99</v>
      </c>
      <c r="H87" s="79">
        <f t="shared" si="2"/>
        <v>49.99</v>
      </c>
      <c r="I87" s="60">
        <v>45483.0</v>
      </c>
    </row>
    <row r="88" ht="22.5" customHeight="1">
      <c r="A88" s="43" t="s">
        <v>143</v>
      </c>
      <c r="B88" s="47"/>
      <c r="C88" s="50" t="s">
        <v>67</v>
      </c>
      <c r="D88" s="51" t="s">
        <v>71</v>
      </c>
      <c r="E88" s="53">
        <v>45484.0</v>
      </c>
      <c r="F88" s="56" t="str">
        <f t="shared" si="1"/>
        <v>7/2024</v>
      </c>
      <c r="G88" s="57">
        <v>59.54</v>
      </c>
      <c r="H88" s="79">
        <f t="shared" si="2"/>
        <v>59.54</v>
      </c>
      <c r="I88" s="60">
        <v>45484.0</v>
      </c>
    </row>
    <row r="89" ht="22.5" customHeight="1">
      <c r="A89" s="43" t="s">
        <v>144</v>
      </c>
      <c r="B89" s="47"/>
      <c r="C89" s="50" t="s">
        <v>50</v>
      </c>
      <c r="D89" s="51" t="s">
        <v>71</v>
      </c>
      <c r="E89" s="53">
        <v>45488.0</v>
      </c>
      <c r="F89" s="56" t="str">
        <f t="shared" si="1"/>
        <v>7/2024</v>
      </c>
      <c r="G89" s="57">
        <v>932.26</v>
      </c>
      <c r="H89" s="79">
        <f t="shared" si="2"/>
        <v>932.26</v>
      </c>
      <c r="I89" s="60">
        <v>45488.0</v>
      </c>
    </row>
    <row r="90" ht="22.5" customHeight="1">
      <c r="A90" s="43" t="s">
        <v>160</v>
      </c>
      <c r="B90" s="47"/>
      <c r="C90" s="50" t="s">
        <v>67</v>
      </c>
      <c r="D90" s="51" t="s">
        <v>67</v>
      </c>
      <c r="E90" s="53">
        <v>45488.0</v>
      </c>
      <c r="F90" s="56" t="str">
        <f t="shared" si="1"/>
        <v>7/2024</v>
      </c>
      <c r="G90" s="57">
        <v>1015.63</v>
      </c>
      <c r="H90" s="79">
        <f t="shared" si="2"/>
        <v>1015.63</v>
      </c>
      <c r="I90" s="60">
        <v>45488.0</v>
      </c>
    </row>
    <row r="91" ht="22.5" customHeight="1">
      <c r="A91" s="43" t="s">
        <v>147</v>
      </c>
      <c r="B91" s="47" t="s">
        <v>148</v>
      </c>
      <c r="C91" s="50" t="s">
        <v>132</v>
      </c>
      <c r="D91" s="51" t="s">
        <v>76</v>
      </c>
      <c r="E91" s="53">
        <v>45493.0</v>
      </c>
      <c r="F91" s="56" t="str">
        <f t="shared" si="1"/>
        <v>7/2024</v>
      </c>
      <c r="G91" s="57">
        <v>71.6</v>
      </c>
      <c r="H91" s="79">
        <f t="shared" si="2"/>
        <v>71.6</v>
      </c>
      <c r="I91" s="60">
        <v>45493.0</v>
      </c>
    </row>
    <row r="92" ht="22.5" customHeight="1">
      <c r="A92" s="43" t="s">
        <v>134</v>
      </c>
      <c r="B92" s="47" t="s">
        <v>168</v>
      </c>
      <c r="C92" s="50" t="s">
        <v>67</v>
      </c>
      <c r="D92" s="51" t="s">
        <v>71</v>
      </c>
      <c r="E92" s="53">
        <v>45497.0</v>
      </c>
      <c r="F92" s="56" t="str">
        <f t="shared" si="1"/>
        <v>7/2024</v>
      </c>
      <c r="G92" s="57">
        <v>57.99</v>
      </c>
      <c r="H92" s="79">
        <f t="shared" si="2"/>
        <v>57.99</v>
      </c>
      <c r="I92" s="60">
        <v>45497.0</v>
      </c>
    </row>
    <row r="93" ht="22.5" customHeight="1">
      <c r="A93" s="43" t="s">
        <v>130</v>
      </c>
      <c r="B93" s="47"/>
      <c r="C93" s="50" t="s">
        <v>132</v>
      </c>
      <c r="D93" s="51" t="s">
        <v>68</v>
      </c>
      <c r="E93" s="53">
        <v>45506.0</v>
      </c>
      <c r="F93" s="56" t="str">
        <f t="shared" si="1"/>
        <v>8/2024</v>
      </c>
      <c r="G93" s="57">
        <v>38.67</v>
      </c>
      <c r="H93" s="79">
        <f t="shared" si="2"/>
        <v>38.67</v>
      </c>
      <c r="I93" s="60">
        <v>45506.0</v>
      </c>
    </row>
    <row r="94" ht="22.5" customHeight="1">
      <c r="A94" s="43" t="s">
        <v>176</v>
      </c>
      <c r="B94" s="47"/>
      <c r="C94" s="50" t="s">
        <v>67</v>
      </c>
      <c r="D94" s="51" t="s">
        <v>67</v>
      </c>
      <c r="E94" s="53">
        <v>45511.0</v>
      </c>
      <c r="F94" s="56" t="str">
        <f t="shared" si="1"/>
        <v>8/2024</v>
      </c>
      <c r="G94" s="57">
        <v>1231.13</v>
      </c>
      <c r="H94" s="79">
        <f t="shared" si="2"/>
        <v>1231.13</v>
      </c>
      <c r="I94" s="60">
        <v>45511.0</v>
      </c>
    </row>
    <row r="95" ht="22.5" customHeight="1">
      <c r="A95" s="43" t="s">
        <v>134</v>
      </c>
      <c r="B95" s="47" t="s">
        <v>135</v>
      </c>
      <c r="C95" s="50" t="s">
        <v>67</v>
      </c>
      <c r="D95" s="51" t="s">
        <v>71</v>
      </c>
      <c r="E95" s="53">
        <v>45512.0</v>
      </c>
      <c r="F95" s="56" t="str">
        <f t="shared" si="1"/>
        <v>8/2024</v>
      </c>
      <c r="G95" s="57">
        <v>688.7</v>
      </c>
      <c r="H95" s="79">
        <f t="shared" si="2"/>
        <v>688.7</v>
      </c>
      <c r="I95" s="60">
        <v>45512.0</v>
      </c>
    </row>
    <row r="96" ht="22.5" customHeight="1">
      <c r="A96" s="43" t="s">
        <v>136</v>
      </c>
      <c r="B96" s="47" t="s">
        <v>83</v>
      </c>
      <c r="C96" s="50" t="s">
        <v>132</v>
      </c>
      <c r="D96" s="51" t="s">
        <v>70</v>
      </c>
      <c r="E96" s="53">
        <v>45512.0</v>
      </c>
      <c r="F96" s="56" t="str">
        <f t="shared" si="1"/>
        <v>8/2024</v>
      </c>
      <c r="G96" s="57">
        <v>50.42</v>
      </c>
      <c r="H96" s="79">
        <f t="shared" si="2"/>
        <v>50.42</v>
      </c>
      <c r="I96" s="60">
        <v>45512.0</v>
      </c>
    </row>
    <row r="97" ht="22.5" customHeight="1">
      <c r="A97" s="43" t="s">
        <v>82</v>
      </c>
      <c r="B97" s="47" t="s">
        <v>83</v>
      </c>
      <c r="C97" s="50" t="s">
        <v>67</v>
      </c>
      <c r="D97" s="51" t="s">
        <v>71</v>
      </c>
      <c r="E97" s="53">
        <v>45512.0</v>
      </c>
      <c r="F97" s="56" t="str">
        <f t="shared" si="1"/>
        <v>8/2024</v>
      </c>
      <c r="G97" s="57">
        <v>666.95</v>
      </c>
      <c r="H97" s="79">
        <f t="shared" si="2"/>
        <v>666.95</v>
      </c>
      <c r="I97" s="60">
        <v>45512.0</v>
      </c>
    </row>
    <row r="98" ht="22.5" customHeight="1">
      <c r="A98" s="43" t="s">
        <v>137</v>
      </c>
      <c r="B98" s="47"/>
      <c r="C98" s="50" t="s">
        <v>132</v>
      </c>
      <c r="D98" s="51" t="s">
        <v>72</v>
      </c>
      <c r="E98" s="53">
        <v>45514.0</v>
      </c>
      <c r="F98" s="56" t="str">
        <f t="shared" si="1"/>
        <v>8/2024</v>
      </c>
      <c r="G98" s="57">
        <v>1200.0</v>
      </c>
      <c r="H98" s="79">
        <f t="shared" si="2"/>
        <v>1200</v>
      </c>
      <c r="I98" s="60">
        <v>45514.0</v>
      </c>
    </row>
    <row r="99" ht="22.5" customHeight="1">
      <c r="A99" s="43" t="s">
        <v>141</v>
      </c>
      <c r="B99" s="47"/>
      <c r="C99" s="50" t="s">
        <v>132</v>
      </c>
      <c r="D99" s="51" t="s">
        <v>75</v>
      </c>
      <c r="E99" s="53">
        <v>45514.0</v>
      </c>
      <c r="F99" s="56" t="str">
        <f t="shared" si="1"/>
        <v>8/2024</v>
      </c>
      <c r="G99" s="57">
        <v>129.9</v>
      </c>
      <c r="H99" s="79">
        <f t="shared" si="2"/>
        <v>129.9</v>
      </c>
      <c r="I99" s="60">
        <v>45514.0</v>
      </c>
    </row>
    <row r="100" ht="22.5" customHeight="1">
      <c r="A100" s="43" t="s">
        <v>141</v>
      </c>
      <c r="B100" s="47"/>
      <c r="C100" s="50" t="s">
        <v>132</v>
      </c>
      <c r="D100" s="51" t="s">
        <v>75</v>
      </c>
      <c r="E100" s="53">
        <v>45514.0</v>
      </c>
      <c r="F100" s="56" t="str">
        <f t="shared" si="1"/>
        <v>8/2024</v>
      </c>
      <c r="G100" s="57">
        <v>99.9</v>
      </c>
      <c r="H100" s="79">
        <f t="shared" si="2"/>
        <v>99.9</v>
      </c>
      <c r="I100" s="60">
        <v>45514.0</v>
      </c>
    </row>
    <row r="101" ht="22.5" customHeight="1">
      <c r="A101" s="43" t="s">
        <v>136</v>
      </c>
      <c r="B101" s="47" t="s">
        <v>131</v>
      </c>
      <c r="C101" s="50" t="s">
        <v>132</v>
      </c>
      <c r="D101" s="51" t="s">
        <v>70</v>
      </c>
      <c r="E101" s="53">
        <v>45514.0</v>
      </c>
      <c r="F101" s="56" t="str">
        <f t="shared" si="1"/>
        <v>8/2024</v>
      </c>
      <c r="G101" s="57">
        <v>97.24</v>
      </c>
      <c r="H101" s="79">
        <f t="shared" si="2"/>
        <v>97.24</v>
      </c>
      <c r="I101" s="60">
        <v>45514.0</v>
      </c>
    </row>
    <row r="102" ht="22.5" customHeight="1">
      <c r="A102" s="43" t="s">
        <v>130</v>
      </c>
      <c r="B102" s="47"/>
      <c r="C102" s="50" t="s">
        <v>132</v>
      </c>
      <c r="D102" s="51" t="s">
        <v>68</v>
      </c>
      <c r="E102" s="53">
        <v>45514.0</v>
      </c>
      <c r="F102" s="56" t="str">
        <f t="shared" si="1"/>
        <v>8/2024</v>
      </c>
      <c r="G102" s="57">
        <v>167.0</v>
      </c>
      <c r="H102" s="79">
        <f t="shared" si="2"/>
        <v>167</v>
      </c>
      <c r="I102" s="60">
        <v>45514.0</v>
      </c>
    </row>
    <row r="103" ht="22.5" customHeight="1">
      <c r="A103" s="43" t="s">
        <v>140</v>
      </c>
      <c r="B103" s="47"/>
      <c r="C103" s="50" t="s">
        <v>132</v>
      </c>
      <c r="D103" s="51" t="s">
        <v>74</v>
      </c>
      <c r="E103" s="53">
        <v>45514.0</v>
      </c>
      <c r="F103" s="56" t="str">
        <f t="shared" si="1"/>
        <v>8/2024</v>
      </c>
      <c r="G103" s="57">
        <v>96.99</v>
      </c>
      <c r="H103" s="79">
        <f t="shared" si="2"/>
        <v>96.99</v>
      </c>
      <c r="I103" s="60">
        <v>45514.0</v>
      </c>
    </row>
    <row r="104" ht="22.5" customHeight="1">
      <c r="A104" s="43" t="s">
        <v>140</v>
      </c>
      <c r="B104" s="47"/>
      <c r="C104" s="50" t="s">
        <v>132</v>
      </c>
      <c r="D104" s="51" t="s">
        <v>74</v>
      </c>
      <c r="E104" s="53">
        <v>45514.0</v>
      </c>
      <c r="F104" s="56" t="str">
        <f t="shared" si="1"/>
        <v>8/2024</v>
      </c>
      <c r="G104" s="57">
        <v>46.99</v>
      </c>
      <c r="H104" s="79">
        <f t="shared" si="2"/>
        <v>46.99</v>
      </c>
      <c r="I104" s="60">
        <v>45514.0</v>
      </c>
    </row>
    <row r="105" ht="22.5" customHeight="1">
      <c r="A105" s="43" t="s">
        <v>143</v>
      </c>
      <c r="B105" s="47"/>
      <c r="C105" s="50" t="s">
        <v>67</v>
      </c>
      <c r="D105" s="51" t="s">
        <v>71</v>
      </c>
      <c r="E105" s="53">
        <v>45515.0</v>
      </c>
      <c r="F105" s="56" t="str">
        <f t="shared" si="1"/>
        <v>8/2024</v>
      </c>
      <c r="G105" s="57">
        <v>120.18</v>
      </c>
      <c r="H105" s="79">
        <f t="shared" si="2"/>
        <v>120.18</v>
      </c>
      <c r="I105" s="60">
        <v>45515.0</v>
      </c>
    </row>
    <row r="106" ht="22.5" customHeight="1">
      <c r="A106" s="43" t="s">
        <v>228</v>
      </c>
      <c r="B106" s="47"/>
      <c r="C106" s="50" t="s">
        <v>132</v>
      </c>
      <c r="D106" s="51" t="s">
        <v>77</v>
      </c>
      <c r="E106" s="53">
        <v>45516.0</v>
      </c>
      <c r="F106" s="56" t="str">
        <f t="shared" si="1"/>
        <v>8/2024</v>
      </c>
      <c r="G106" s="57">
        <v>285.96</v>
      </c>
      <c r="H106" s="79">
        <f t="shared" si="2"/>
        <v>285.96</v>
      </c>
      <c r="I106" s="60">
        <v>45516.0</v>
      </c>
    </row>
    <row r="107" ht="22.5" customHeight="1">
      <c r="A107" s="43" t="s">
        <v>27</v>
      </c>
      <c r="B107" s="47"/>
      <c r="C107" s="50" t="s">
        <v>50</v>
      </c>
      <c r="D107" s="51" t="s">
        <v>71</v>
      </c>
      <c r="E107" s="53">
        <v>45518.0</v>
      </c>
      <c r="F107" s="56" t="str">
        <f t="shared" si="1"/>
        <v>8/2024</v>
      </c>
      <c r="G107" s="57">
        <v>716.27</v>
      </c>
      <c r="H107" s="79">
        <f t="shared" si="2"/>
        <v>716.27</v>
      </c>
      <c r="I107" s="60">
        <v>45518.0</v>
      </c>
    </row>
    <row r="108" ht="22.5" customHeight="1">
      <c r="A108" s="43" t="s">
        <v>160</v>
      </c>
      <c r="B108" s="47"/>
      <c r="C108" s="50" t="s">
        <v>67</v>
      </c>
      <c r="D108" s="51" t="s">
        <v>67</v>
      </c>
      <c r="E108" s="53">
        <v>45519.0</v>
      </c>
      <c r="F108" s="56" t="str">
        <f t="shared" si="1"/>
        <v>8/2024</v>
      </c>
      <c r="G108" s="57">
        <v>1015.63</v>
      </c>
      <c r="H108" s="79">
        <f t="shared" si="2"/>
        <v>1015.63</v>
      </c>
      <c r="I108" s="60">
        <v>45519.0</v>
      </c>
    </row>
    <row r="109" ht="22.5" customHeight="1">
      <c r="A109" s="43" t="s">
        <v>147</v>
      </c>
      <c r="B109" s="47" t="s">
        <v>148</v>
      </c>
      <c r="C109" s="50" t="s">
        <v>132</v>
      </c>
      <c r="D109" s="51" t="s">
        <v>76</v>
      </c>
      <c r="E109" s="53">
        <v>45524.0</v>
      </c>
      <c r="F109" s="56" t="str">
        <f t="shared" si="1"/>
        <v>8/2024</v>
      </c>
      <c r="G109" s="57">
        <v>71.6</v>
      </c>
      <c r="H109" s="79">
        <f t="shared" si="2"/>
        <v>71.6</v>
      </c>
      <c r="I109" s="60">
        <v>45524.0</v>
      </c>
    </row>
    <row r="110" ht="22.5" customHeight="1">
      <c r="A110" s="43" t="s">
        <v>233</v>
      </c>
      <c r="B110" s="47"/>
      <c r="C110" s="50" t="s">
        <v>50</v>
      </c>
      <c r="D110" s="51" t="s">
        <v>71</v>
      </c>
      <c r="E110" s="53">
        <v>45524.0</v>
      </c>
      <c r="F110" s="56" t="str">
        <f t="shared" si="1"/>
        <v>8/2024</v>
      </c>
      <c r="G110" s="57">
        <v>716.92</v>
      </c>
      <c r="H110" s="79">
        <f t="shared" si="2"/>
        <v>716.92</v>
      </c>
      <c r="I110" s="60">
        <v>45524.0</v>
      </c>
    </row>
    <row r="111" ht="22.5" customHeight="1">
      <c r="A111" s="43" t="s">
        <v>134</v>
      </c>
      <c r="B111" s="47" t="s">
        <v>168</v>
      </c>
      <c r="C111" s="50" t="s">
        <v>67</v>
      </c>
      <c r="D111" s="51" t="s">
        <v>71</v>
      </c>
      <c r="E111" s="53">
        <v>45528.0</v>
      </c>
      <c r="F111" s="56" t="str">
        <f t="shared" si="1"/>
        <v>8/2024</v>
      </c>
      <c r="G111" s="57">
        <v>55.83</v>
      </c>
      <c r="H111" s="79">
        <f t="shared" si="2"/>
        <v>55.83</v>
      </c>
      <c r="I111" s="60">
        <v>45528.0</v>
      </c>
    </row>
    <row r="112" ht="22.5" customHeight="1">
      <c r="A112" s="43" t="s">
        <v>138</v>
      </c>
      <c r="B112" s="47"/>
      <c r="C112" s="50" t="s">
        <v>67</v>
      </c>
      <c r="D112" s="51" t="s">
        <v>71</v>
      </c>
      <c r="E112" s="53">
        <v>45529.0</v>
      </c>
      <c r="F112" s="56" t="str">
        <f t="shared" si="1"/>
        <v>8/2024</v>
      </c>
      <c r="G112" s="57">
        <v>12082.98</v>
      </c>
      <c r="H112" s="79">
        <f t="shared" si="2"/>
        <v>12082.98</v>
      </c>
      <c r="I112" s="60">
        <v>45514.0</v>
      </c>
    </row>
    <row r="113" ht="22.5" customHeight="1">
      <c r="A113" s="43" t="s">
        <v>234</v>
      </c>
      <c r="B113" s="47"/>
      <c r="C113" s="50" t="s">
        <v>50</v>
      </c>
      <c r="D113" s="51" t="s">
        <v>71</v>
      </c>
      <c r="E113" s="53">
        <v>45530.0</v>
      </c>
      <c r="F113" s="56" t="str">
        <f t="shared" si="1"/>
        <v>8/2024</v>
      </c>
      <c r="G113" s="57">
        <v>390.0</v>
      </c>
      <c r="H113" s="79">
        <f t="shared" si="2"/>
        <v>390</v>
      </c>
      <c r="I113" s="60">
        <v>45530.0</v>
      </c>
    </row>
    <row r="114" ht="22.5" customHeight="1">
      <c r="A114" s="43" t="s">
        <v>235</v>
      </c>
      <c r="B114" s="47"/>
      <c r="C114" s="50" t="s">
        <v>50</v>
      </c>
      <c r="D114" s="51" t="s">
        <v>71</v>
      </c>
      <c r="E114" s="53">
        <v>45533.0</v>
      </c>
      <c r="F114" s="56" t="str">
        <f t="shared" si="1"/>
        <v>8/2024</v>
      </c>
      <c r="G114" s="57">
        <v>1148.3</v>
      </c>
      <c r="H114" s="79">
        <f t="shared" si="2"/>
        <v>1148.3</v>
      </c>
      <c r="I114" s="60">
        <v>45533.0</v>
      </c>
    </row>
    <row r="115" ht="22.5" customHeight="1">
      <c r="A115" s="43" t="s">
        <v>236</v>
      </c>
      <c r="B115" s="47"/>
      <c r="C115" s="50" t="s">
        <v>50</v>
      </c>
      <c r="D115" s="51" t="s">
        <v>71</v>
      </c>
      <c r="E115" s="53">
        <v>45536.0</v>
      </c>
      <c r="F115" s="56" t="str">
        <f t="shared" si="1"/>
        <v>9/2024</v>
      </c>
      <c r="G115" s="57">
        <v>614.0</v>
      </c>
      <c r="H115" s="79">
        <v>614.0</v>
      </c>
      <c r="I115" s="60">
        <v>45536.0</v>
      </c>
    </row>
    <row r="116" ht="22.5" customHeight="1">
      <c r="A116" s="43" t="s">
        <v>130</v>
      </c>
      <c r="B116" s="47"/>
      <c r="C116" s="50" t="s">
        <v>132</v>
      </c>
      <c r="D116" s="51" t="s">
        <v>68</v>
      </c>
      <c r="E116" s="53">
        <v>45537.0</v>
      </c>
      <c r="F116" s="56" t="str">
        <f t="shared" si="1"/>
        <v>9/2024</v>
      </c>
      <c r="G116" s="57">
        <v>38.67</v>
      </c>
      <c r="H116" s="79">
        <f t="shared" ref="H116:H137" si="3">IF(I116,G116,0)</f>
        <v>38.67</v>
      </c>
      <c r="I116" s="60">
        <v>45537.0</v>
      </c>
    </row>
    <row r="117" ht="22.5" customHeight="1">
      <c r="A117" s="43" t="s">
        <v>176</v>
      </c>
      <c r="B117" s="47"/>
      <c r="C117" s="50" t="s">
        <v>67</v>
      </c>
      <c r="D117" s="51" t="s">
        <v>67</v>
      </c>
      <c r="E117" s="53">
        <v>45542.0</v>
      </c>
      <c r="F117" s="56" t="str">
        <f t="shared" si="1"/>
        <v>9/2024</v>
      </c>
      <c r="G117" s="57">
        <v>1231.13</v>
      </c>
      <c r="H117" s="79">
        <f t="shared" si="3"/>
        <v>1231.13</v>
      </c>
      <c r="I117" s="60">
        <v>45542.0</v>
      </c>
    </row>
    <row r="118" ht="22.5" customHeight="1">
      <c r="A118" s="43" t="s">
        <v>134</v>
      </c>
      <c r="B118" s="47" t="s">
        <v>135</v>
      </c>
      <c r="C118" s="50" t="s">
        <v>67</v>
      </c>
      <c r="D118" s="51" t="s">
        <v>71</v>
      </c>
      <c r="E118" s="53">
        <v>45543.0</v>
      </c>
      <c r="F118" s="56" t="str">
        <f t="shared" si="1"/>
        <v>9/2024</v>
      </c>
      <c r="G118" s="57">
        <v>688.7</v>
      </c>
      <c r="H118" s="79">
        <f t="shared" si="3"/>
        <v>688.7</v>
      </c>
      <c r="I118" s="60">
        <v>45543.0</v>
      </c>
    </row>
    <row r="119" ht="22.5" customHeight="1">
      <c r="A119" s="43" t="s">
        <v>136</v>
      </c>
      <c r="B119" s="47" t="s">
        <v>83</v>
      </c>
      <c r="C119" s="50" t="s">
        <v>132</v>
      </c>
      <c r="D119" s="51" t="s">
        <v>70</v>
      </c>
      <c r="E119" s="53">
        <v>45543.0</v>
      </c>
      <c r="F119" s="56" t="str">
        <f t="shared" si="1"/>
        <v>9/2024</v>
      </c>
      <c r="G119" s="57">
        <v>53.54</v>
      </c>
      <c r="H119" s="79">
        <f t="shared" si="3"/>
        <v>53.54</v>
      </c>
      <c r="I119" s="60">
        <v>45543.0</v>
      </c>
    </row>
    <row r="120" ht="22.5" customHeight="1">
      <c r="A120" s="43" t="s">
        <v>82</v>
      </c>
      <c r="B120" s="47" t="s">
        <v>83</v>
      </c>
      <c r="C120" s="50" t="s">
        <v>67</v>
      </c>
      <c r="D120" s="51" t="s">
        <v>71</v>
      </c>
      <c r="E120" s="53">
        <v>45543.0</v>
      </c>
      <c r="F120" s="56" t="str">
        <f t="shared" si="1"/>
        <v>9/2024</v>
      </c>
      <c r="G120" s="57">
        <v>666.95</v>
      </c>
      <c r="H120" s="79">
        <f t="shared" si="3"/>
        <v>666.95</v>
      </c>
      <c r="I120" s="60">
        <v>45543.0</v>
      </c>
    </row>
    <row r="121" ht="22.5" customHeight="1">
      <c r="A121" s="43" t="s">
        <v>137</v>
      </c>
      <c r="B121" s="47"/>
      <c r="C121" s="50" t="s">
        <v>132</v>
      </c>
      <c r="D121" s="51" t="s">
        <v>72</v>
      </c>
      <c r="E121" s="53">
        <v>45545.0</v>
      </c>
      <c r="F121" s="56" t="str">
        <f t="shared" si="1"/>
        <v>9/2024</v>
      </c>
      <c r="G121" s="57">
        <v>1200.0</v>
      </c>
      <c r="H121" s="79">
        <f t="shared" si="3"/>
        <v>1200</v>
      </c>
      <c r="I121" s="60">
        <v>45545.0</v>
      </c>
    </row>
    <row r="122" ht="22.5" customHeight="1">
      <c r="A122" s="43" t="s">
        <v>141</v>
      </c>
      <c r="B122" s="47"/>
      <c r="C122" s="50" t="s">
        <v>132</v>
      </c>
      <c r="D122" s="51" t="s">
        <v>75</v>
      </c>
      <c r="E122" s="53">
        <v>45545.0</v>
      </c>
      <c r="F122" s="56" t="str">
        <f t="shared" si="1"/>
        <v>9/2024</v>
      </c>
      <c r="G122" s="57">
        <v>129.9</v>
      </c>
      <c r="H122" s="79">
        <f t="shared" si="3"/>
        <v>129.9</v>
      </c>
      <c r="I122" s="60">
        <v>45545.0</v>
      </c>
    </row>
    <row r="123" ht="22.5" customHeight="1">
      <c r="A123" s="43" t="s">
        <v>141</v>
      </c>
      <c r="B123" s="47"/>
      <c r="C123" s="50" t="s">
        <v>132</v>
      </c>
      <c r="D123" s="51" t="s">
        <v>75</v>
      </c>
      <c r="E123" s="53">
        <v>45545.0</v>
      </c>
      <c r="F123" s="56" t="str">
        <f t="shared" si="1"/>
        <v>9/2024</v>
      </c>
      <c r="G123" s="57">
        <v>99.9</v>
      </c>
      <c r="H123" s="79">
        <f t="shared" si="3"/>
        <v>99.9</v>
      </c>
      <c r="I123" s="60">
        <v>45545.0</v>
      </c>
    </row>
    <row r="124" ht="22.5" customHeight="1">
      <c r="A124" s="43" t="s">
        <v>136</v>
      </c>
      <c r="B124" s="47" t="s">
        <v>131</v>
      </c>
      <c r="C124" s="50" t="s">
        <v>132</v>
      </c>
      <c r="D124" s="51" t="s">
        <v>70</v>
      </c>
      <c r="E124" s="53">
        <v>45545.0</v>
      </c>
      <c r="F124" s="56" t="str">
        <f t="shared" si="1"/>
        <v>9/2024</v>
      </c>
      <c r="G124" s="57">
        <v>97.24</v>
      </c>
      <c r="H124" s="79">
        <f t="shared" si="3"/>
        <v>97.24</v>
      </c>
      <c r="I124" s="60">
        <v>45545.0</v>
      </c>
    </row>
    <row r="125" ht="22.5" customHeight="1">
      <c r="A125" s="43" t="s">
        <v>228</v>
      </c>
      <c r="B125" s="47"/>
      <c r="C125" s="50" t="s">
        <v>132</v>
      </c>
      <c r="D125" s="51" t="s">
        <v>77</v>
      </c>
      <c r="E125" s="53">
        <v>45545.0</v>
      </c>
      <c r="F125" s="56" t="str">
        <f t="shared" si="1"/>
        <v>9/2024</v>
      </c>
      <c r="G125" s="57">
        <v>285.96</v>
      </c>
      <c r="H125" s="79">
        <f t="shared" si="3"/>
        <v>285.96</v>
      </c>
      <c r="I125" s="60">
        <v>45545.0</v>
      </c>
    </row>
    <row r="126" ht="22.5" customHeight="1">
      <c r="A126" s="43" t="s">
        <v>130</v>
      </c>
      <c r="B126" s="47"/>
      <c r="C126" s="50" t="s">
        <v>132</v>
      </c>
      <c r="D126" s="51" t="s">
        <v>68</v>
      </c>
      <c r="E126" s="53">
        <v>45545.0</v>
      </c>
      <c r="F126" s="56" t="str">
        <f t="shared" si="1"/>
        <v>9/2024</v>
      </c>
      <c r="G126" s="57">
        <v>181.16</v>
      </c>
      <c r="H126" s="79">
        <f t="shared" si="3"/>
        <v>181.16</v>
      </c>
      <c r="I126" s="60">
        <v>45545.0</v>
      </c>
    </row>
    <row r="127" ht="22.5" customHeight="1">
      <c r="A127" s="43" t="s">
        <v>140</v>
      </c>
      <c r="B127" s="47"/>
      <c r="C127" s="50" t="s">
        <v>132</v>
      </c>
      <c r="D127" s="51" t="s">
        <v>74</v>
      </c>
      <c r="E127" s="53">
        <v>45545.0</v>
      </c>
      <c r="F127" s="56" t="str">
        <f t="shared" si="1"/>
        <v>9/2024</v>
      </c>
      <c r="G127" s="57">
        <v>96.99</v>
      </c>
      <c r="H127" s="79">
        <f t="shared" si="3"/>
        <v>96.99</v>
      </c>
      <c r="I127" s="60">
        <v>45545.0</v>
      </c>
    </row>
    <row r="128" ht="22.5" customHeight="1">
      <c r="A128" s="43" t="s">
        <v>140</v>
      </c>
      <c r="B128" s="47"/>
      <c r="C128" s="50" t="s">
        <v>132</v>
      </c>
      <c r="D128" s="51" t="s">
        <v>74</v>
      </c>
      <c r="E128" s="53">
        <v>45545.0</v>
      </c>
      <c r="F128" s="56" t="str">
        <f t="shared" si="1"/>
        <v>9/2024</v>
      </c>
      <c r="G128" s="57">
        <v>49.99</v>
      </c>
      <c r="H128" s="79">
        <f t="shared" si="3"/>
        <v>49.99</v>
      </c>
      <c r="I128" s="60">
        <v>45545.0</v>
      </c>
    </row>
    <row r="129" ht="22.5" customHeight="1">
      <c r="A129" s="43" t="s">
        <v>143</v>
      </c>
      <c r="B129" s="47"/>
      <c r="C129" s="50" t="s">
        <v>67</v>
      </c>
      <c r="D129" s="51" t="s">
        <v>71</v>
      </c>
      <c r="E129" s="53">
        <v>45546.0</v>
      </c>
      <c r="F129" s="56" t="str">
        <f t="shared" si="1"/>
        <v>9/2024</v>
      </c>
      <c r="G129" s="57">
        <v>62.6</v>
      </c>
      <c r="H129" s="79">
        <f t="shared" si="3"/>
        <v>62.6</v>
      </c>
      <c r="I129" s="60">
        <v>45546.0</v>
      </c>
    </row>
    <row r="130" ht="22.5" customHeight="1">
      <c r="A130" s="43" t="s">
        <v>144</v>
      </c>
      <c r="B130" s="47"/>
      <c r="C130" s="50" t="s">
        <v>50</v>
      </c>
      <c r="D130" s="51" t="s">
        <v>71</v>
      </c>
      <c r="E130" s="53">
        <v>45547.0</v>
      </c>
      <c r="F130" s="56" t="str">
        <f t="shared" si="1"/>
        <v>9/2024</v>
      </c>
      <c r="G130" s="57">
        <v>592.25</v>
      </c>
      <c r="H130" s="79">
        <f t="shared" si="3"/>
        <v>592.25</v>
      </c>
      <c r="I130" s="60">
        <v>45547.0</v>
      </c>
    </row>
    <row r="131" ht="22.5" customHeight="1">
      <c r="A131" s="43" t="s">
        <v>27</v>
      </c>
      <c r="B131" s="47"/>
      <c r="C131" s="50" t="s">
        <v>50</v>
      </c>
      <c r="D131" s="51" t="s">
        <v>71</v>
      </c>
      <c r="E131" s="53">
        <v>45548.0</v>
      </c>
      <c r="F131" s="56" t="str">
        <f t="shared" si="1"/>
        <v>9/2024</v>
      </c>
      <c r="G131" s="57">
        <v>632.06</v>
      </c>
      <c r="H131" s="79">
        <f t="shared" si="3"/>
        <v>632.06</v>
      </c>
      <c r="I131" s="60">
        <v>45548.0</v>
      </c>
    </row>
    <row r="132" ht="22.5" customHeight="1">
      <c r="A132" s="43" t="s">
        <v>160</v>
      </c>
      <c r="B132" s="47"/>
      <c r="C132" s="50" t="s">
        <v>67</v>
      </c>
      <c r="D132" s="51" t="s">
        <v>67</v>
      </c>
      <c r="E132" s="53">
        <v>45550.0</v>
      </c>
      <c r="F132" s="56" t="str">
        <f t="shared" si="1"/>
        <v>9/2024</v>
      </c>
      <c r="G132" s="57">
        <v>1015.63</v>
      </c>
      <c r="H132" s="79">
        <f t="shared" si="3"/>
        <v>1015.63</v>
      </c>
      <c r="I132" s="60">
        <v>45550.0</v>
      </c>
    </row>
    <row r="133" ht="22.5" customHeight="1">
      <c r="A133" s="43" t="s">
        <v>147</v>
      </c>
      <c r="B133" s="47" t="s">
        <v>148</v>
      </c>
      <c r="C133" s="50" t="s">
        <v>132</v>
      </c>
      <c r="D133" s="51" t="s">
        <v>76</v>
      </c>
      <c r="E133" s="53">
        <v>45555.0</v>
      </c>
      <c r="F133" s="56" t="str">
        <f t="shared" si="1"/>
        <v>9/2024</v>
      </c>
      <c r="G133" s="57">
        <v>71.6</v>
      </c>
      <c r="H133" s="79">
        <f t="shared" si="3"/>
        <v>71.6</v>
      </c>
      <c r="I133" s="60">
        <v>45555.0</v>
      </c>
    </row>
    <row r="134" ht="22.5" customHeight="1">
      <c r="A134" s="43" t="s">
        <v>237</v>
      </c>
      <c r="B134" s="47"/>
      <c r="C134" s="50" t="s">
        <v>50</v>
      </c>
      <c r="D134" s="51" t="s">
        <v>71</v>
      </c>
      <c r="E134" s="53">
        <v>45557.0</v>
      </c>
      <c r="F134" s="56" t="str">
        <f t="shared" si="1"/>
        <v>9/2024</v>
      </c>
      <c r="G134" s="57">
        <v>829.0</v>
      </c>
      <c r="H134" s="79">
        <f t="shared" si="3"/>
        <v>829</v>
      </c>
      <c r="I134" s="60">
        <v>45557.0</v>
      </c>
    </row>
    <row r="135" ht="22.5" customHeight="1">
      <c r="A135" s="127" t="s">
        <v>134</v>
      </c>
      <c r="B135" s="47" t="s">
        <v>168</v>
      </c>
      <c r="C135" s="128" t="s">
        <v>67</v>
      </c>
      <c r="D135" s="51" t="s">
        <v>71</v>
      </c>
      <c r="E135" s="53">
        <v>45559.0</v>
      </c>
      <c r="F135" s="56" t="str">
        <f t="shared" si="1"/>
        <v>9/2024</v>
      </c>
      <c r="G135" s="57">
        <v>0.0</v>
      </c>
      <c r="H135" s="59">
        <f t="shared" si="3"/>
        <v>0</v>
      </c>
      <c r="I135" s="60">
        <v>45559.0</v>
      </c>
    </row>
    <row r="136" ht="22.5" customHeight="1">
      <c r="A136" s="43" t="s">
        <v>138</v>
      </c>
      <c r="B136" s="47"/>
      <c r="C136" s="50" t="s">
        <v>67</v>
      </c>
      <c r="D136" s="51" t="s">
        <v>71</v>
      </c>
      <c r="E136" s="53">
        <v>45560.0</v>
      </c>
      <c r="F136" s="56" t="str">
        <f t="shared" si="1"/>
        <v>9/2024</v>
      </c>
      <c r="G136" s="57">
        <v>12362.96</v>
      </c>
      <c r="H136" s="79">
        <f t="shared" si="3"/>
        <v>12362.96</v>
      </c>
      <c r="I136" s="60">
        <v>45545.0</v>
      </c>
    </row>
    <row r="137" ht="22.5" customHeight="1">
      <c r="A137" s="43" t="s">
        <v>235</v>
      </c>
      <c r="B137" s="47"/>
      <c r="C137" s="50" t="s">
        <v>50</v>
      </c>
      <c r="D137" s="51" t="s">
        <v>71</v>
      </c>
      <c r="E137" s="53">
        <v>45563.0</v>
      </c>
      <c r="F137" s="56" t="str">
        <f t="shared" si="1"/>
        <v>9/2024</v>
      </c>
      <c r="G137" s="57">
        <v>1802.4</v>
      </c>
      <c r="H137" s="79">
        <f t="shared" si="3"/>
        <v>1802.4</v>
      </c>
      <c r="I137" s="60">
        <v>45563.0</v>
      </c>
    </row>
    <row r="138" ht="22.5" customHeight="1">
      <c r="A138" s="43" t="s">
        <v>236</v>
      </c>
      <c r="B138" s="47"/>
      <c r="C138" s="50" t="s">
        <v>50</v>
      </c>
      <c r="D138" s="51" t="s">
        <v>71</v>
      </c>
      <c r="E138" s="53">
        <v>45566.0</v>
      </c>
      <c r="F138" s="56" t="str">
        <f t="shared" si="1"/>
        <v>10/2024</v>
      </c>
      <c r="G138" s="57">
        <v>613.0</v>
      </c>
      <c r="H138" s="79">
        <v>613.0</v>
      </c>
      <c r="I138" s="60">
        <v>45566.0</v>
      </c>
    </row>
    <row r="139" ht="22.5" customHeight="1">
      <c r="A139" s="43" t="s">
        <v>130</v>
      </c>
      <c r="B139" s="47"/>
      <c r="C139" s="50" t="s">
        <v>132</v>
      </c>
      <c r="D139" s="51" t="s">
        <v>68</v>
      </c>
      <c r="E139" s="53">
        <v>45567.0</v>
      </c>
      <c r="F139" s="56" t="str">
        <f t="shared" si="1"/>
        <v>10/2024</v>
      </c>
      <c r="G139" s="57">
        <v>38.67</v>
      </c>
      <c r="H139" s="79">
        <f t="shared" ref="H139:H153" si="4">IF(I139,G139,0)</f>
        <v>38.67</v>
      </c>
      <c r="I139" s="60">
        <v>45567.0</v>
      </c>
    </row>
    <row r="140" ht="22.5" customHeight="1">
      <c r="A140" s="43" t="s">
        <v>176</v>
      </c>
      <c r="B140" s="47"/>
      <c r="C140" s="50" t="s">
        <v>67</v>
      </c>
      <c r="D140" s="51" t="s">
        <v>67</v>
      </c>
      <c r="E140" s="53">
        <v>45572.0</v>
      </c>
      <c r="F140" s="56" t="str">
        <f t="shared" si="1"/>
        <v>10/2024</v>
      </c>
      <c r="G140" s="57">
        <v>1231.13</v>
      </c>
      <c r="H140" s="79">
        <f t="shared" si="4"/>
        <v>1231.13</v>
      </c>
      <c r="I140" s="60">
        <v>45572.0</v>
      </c>
    </row>
    <row r="141" ht="22.5" customHeight="1">
      <c r="A141" s="43" t="s">
        <v>136</v>
      </c>
      <c r="B141" s="47" t="s">
        <v>83</v>
      </c>
      <c r="C141" s="50" t="s">
        <v>132</v>
      </c>
      <c r="D141" s="51" t="s">
        <v>70</v>
      </c>
      <c r="E141" s="53">
        <v>45573.0</v>
      </c>
      <c r="F141" s="56" t="str">
        <f t="shared" si="1"/>
        <v>10/2024</v>
      </c>
      <c r="G141" s="57">
        <v>55.1</v>
      </c>
      <c r="H141" s="79">
        <f t="shared" si="4"/>
        <v>55.1</v>
      </c>
      <c r="I141" s="60">
        <v>45573.0</v>
      </c>
    </row>
    <row r="142" ht="22.5" customHeight="1">
      <c r="A142" s="43" t="s">
        <v>134</v>
      </c>
      <c r="B142" s="47" t="s">
        <v>135</v>
      </c>
      <c r="C142" s="50" t="s">
        <v>67</v>
      </c>
      <c r="D142" s="51" t="s">
        <v>71</v>
      </c>
      <c r="E142" s="53">
        <v>45573.0</v>
      </c>
      <c r="F142" s="56" t="str">
        <f t="shared" si="1"/>
        <v>10/2024</v>
      </c>
      <c r="G142" s="57">
        <v>908.0</v>
      </c>
      <c r="H142" s="79">
        <f t="shared" si="4"/>
        <v>908</v>
      </c>
      <c r="I142" s="60">
        <v>45573.0</v>
      </c>
    </row>
    <row r="143" ht="22.5" customHeight="1">
      <c r="A143" s="43" t="s">
        <v>82</v>
      </c>
      <c r="B143" s="47" t="s">
        <v>83</v>
      </c>
      <c r="C143" s="50" t="s">
        <v>67</v>
      </c>
      <c r="D143" s="51" t="s">
        <v>71</v>
      </c>
      <c r="E143" s="53">
        <v>45573.0</v>
      </c>
      <c r="F143" s="56" t="str">
        <f t="shared" si="1"/>
        <v>10/2024</v>
      </c>
      <c r="G143" s="57">
        <v>666.95</v>
      </c>
      <c r="H143" s="79">
        <f t="shared" si="4"/>
        <v>666.95</v>
      </c>
      <c r="I143" s="60">
        <v>45573.0</v>
      </c>
    </row>
    <row r="144" ht="22.5" customHeight="1">
      <c r="A144" s="43" t="s">
        <v>137</v>
      </c>
      <c r="B144" s="47"/>
      <c r="C144" s="50" t="s">
        <v>132</v>
      </c>
      <c r="D144" s="51" t="s">
        <v>72</v>
      </c>
      <c r="E144" s="53">
        <v>45575.0</v>
      </c>
      <c r="F144" s="56" t="str">
        <f t="shared" si="1"/>
        <v>10/2024</v>
      </c>
      <c r="G144" s="57">
        <v>1200.0</v>
      </c>
      <c r="H144" s="79">
        <f t="shared" si="4"/>
        <v>1200</v>
      </c>
      <c r="I144" s="60">
        <v>45575.0</v>
      </c>
    </row>
    <row r="145" ht="22.5" customHeight="1">
      <c r="A145" s="43" t="s">
        <v>141</v>
      </c>
      <c r="B145" s="47"/>
      <c r="C145" s="50" t="s">
        <v>132</v>
      </c>
      <c r="D145" s="51" t="s">
        <v>75</v>
      </c>
      <c r="E145" s="53">
        <v>45575.0</v>
      </c>
      <c r="F145" s="56" t="str">
        <f t="shared" si="1"/>
        <v>10/2024</v>
      </c>
      <c r="G145" s="57">
        <v>129.9</v>
      </c>
      <c r="H145" s="79">
        <f t="shared" si="4"/>
        <v>129.9</v>
      </c>
      <c r="I145" s="60">
        <v>45575.0</v>
      </c>
    </row>
    <row r="146" ht="22.5" customHeight="1">
      <c r="A146" s="43" t="s">
        <v>141</v>
      </c>
      <c r="B146" s="47"/>
      <c r="C146" s="50" t="s">
        <v>132</v>
      </c>
      <c r="D146" s="51" t="s">
        <v>75</v>
      </c>
      <c r="E146" s="53">
        <v>45575.0</v>
      </c>
      <c r="F146" s="56" t="str">
        <f t="shared" si="1"/>
        <v>10/2024</v>
      </c>
      <c r="G146" s="57">
        <v>99.9</v>
      </c>
      <c r="H146" s="79">
        <f t="shared" si="4"/>
        <v>99.9</v>
      </c>
      <c r="I146" s="60">
        <v>45575.0</v>
      </c>
    </row>
    <row r="147" ht="22.5" customHeight="1">
      <c r="A147" s="43" t="s">
        <v>136</v>
      </c>
      <c r="B147" s="47" t="s">
        <v>131</v>
      </c>
      <c r="C147" s="50" t="s">
        <v>132</v>
      </c>
      <c r="D147" s="51" t="s">
        <v>70</v>
      </c>
      <c r="E147" s="53">
        <v>45575.0</v>
      </c>
      <c r="F147" s="56" t="str">
        <f t="shared" si="1"/>
        <v>10/2024</v>
      </c>
      <c r="G147" s="57">
        <v>97.24</v>
      </c>
      <c r="H147" s="79">
        <f t="shared" si="4"/>
        <v>97.24</v>
      </c>
      <c r="I147" s="60">
        <v>45575.0</v>
      </c>
    </row>
    <row r="148" ht="22.5" customHeight="1">
      <c r="A148" s="43" t="s">
        <v>228</v>
      </c>
      <c r="B148" s="47"/>
      <c r="C148" s="50" t="s">
        <v>132</v>
      </c>
      <c r="D148" s="51" t="s">
        <v>77</v>
      </c>
      <c r="E148" s="53">
        <v>45575.0</v>
      </c>
      <c r="F148" s="56" t="str">
        <f t="shared" si="1"/>
        <v>10/2024</v>
      </c>
      <c r="G148" s="57">
        <v>285.98</v>
      </c>
      <c r="H148" s="79">
        <f t="shared" si="4"/>
        <v>285.98</v>
      </c>
      <c r="I148" s="60">
        <v>45575.0</v>
      </c>
    </row>
    <row r="149" ht="22.5" customHeight="1">
      <c r="A149" s="43" t="s">
        <v>130</v>
      </c>
      <c r="B149" s="47"/>
      <c r="C149" s="50" t="s">
        <v>132</v>
      </c>
      <c r="D149" s="51" t="s">
        <v>68</v>
      </c>
      <c r="E149" s="53">
        <v>45575.0</v>
      </c>
      <c r="F149" s="56" t="str">
        <f t="shared" si="1"/>
        <v>10/2024</v>
      </c>
      <c r="G149" s="57">
        <v>170.09</v>
      </c>
      <c r="H149" s="79">
        <f t="shared" si="4"/>
        <v>170.09</v>
      </c>
      <c r="I149" s="60">
        <v>45575.0</v>
      </c>
    </row>
    <row r="150" ht="22.5" customHeight="1">
      <c r="A150" s="43" t="s">
        <v>140</v>
      </c>
      <c r="B150" s="47"/>
      <c r="C150" s="50" t="s">
        <v>132</v>
      </c>
      <c r="D150" s="51" t="s">
        <v>74</v>
      </c>
      <c r="E150" s="53">
        <v>45575.0</v>
      </c>
      <c r="F150" s="56" t="str">
        <f t="shared" si="1"/>
        <v>10/2024</v>
      </c>
      <c r="G150" s="57">
        <v>96.99</v>
      </c>
      <c r="H150" s="79">
        <f t="shared" si="4"/>
        <v>96.99</v>
      </c>
      <c r="I150" s="60">
        <v>45575.0</v>
      </c>
    </row>
    <row r="151" ht="22.5" customHeight="1">
      <c r="A151" s="43" t="s">
        <v>140</v>
      </c>
      <c r="B151" s="47"/>
      <c r="C151" s="50" t="s">
        <v>132</v>
      </c>
      <c r="D151" s="51" t="s">
        <v>74</v>
      </c>
      <c r="E151" s="53">
        <v>45575.0</v>
      </c>
      <c r="F151" s="56" t="str">
        <f t="shared" si="1"/>
        <v>10/2024</v>
      </c>
      <c r="G151" s="57">
        <v>51.08</v>
      </c>
      <c r="H151" s="79">
        <f t="shared" si="4"/>
        <v>51.08</v>
      </c>
      <c r="I151" s="60">
        <v>45575.0</v>
      </c>
    </row>
    <row r="152" ht="22.5" customHeight="1">
      <c r="A152" s="43" t="s">
        <v>144</v>
      </c>
      <c r="B152" s="47"/>
      <c r="C152" s="50" t="s">
        <v>50</v>
      </c>
      <c r="D152" s="51" t="s">
        <v>71</v>
      </c>
      <c r="E152" s="53">
        <v>45576.0</v>
      </c>
      <c r="F152" s="56" t="str">
        <f t="shared" si="1"/>
        <v>10/2024</v>
      </c>
      <c r="G152" s="57">
        <v>592.25</v>
      </c>
      <c r="H152" s="79">
        <f t="shared" si="4"/>
        <v>592.25</v>
      </c>
      <c r="I152" s="60">
        <v>45576.0</v>
      </c>
    </row>
    <row r="153" ht="22.5" customHeight="1">
      <c r="A153" s="43" t="s">
        <v>143</v>
      </c>
      <c r="B153" s="47"/>
      <c r="C153" s="50" t="s">
        <v>67</v>
      </c>
      <c r="D153" s="51" t="s">
        <v>71</v>
      </c>
      <c r="E153" s="53">
        <v>45576.0</v>
      </c>
      <c r="F153" s="56" t="str">
        <f t="shared" si="1"/>
        <v>10/2024</v>
      </c>
      <c r="G153" s="57">
        <v>97.6</v>
      </c>
      <c r="H153" s="79">
        <f t="shared" si="4"/>
        <v>97.6</v>
      </c>
      <c r="I153" s="60">
        <v>45576.0</v>
      </c>
    </row>
    <row r="154" ht="22.5" customHeight="1">
      <c r="A154" s="43" t="s">
        <v>23</v>
      </c>
      <c r="B154" s="47"/>
      <c r="C154" s="50" t="s">
        <v>50</v>
      </c>
      <c r="D154" s="51" t="s">
        <v>71</v>
      </c>
      <c r="E154" s="53">
        <v>45576.0</v>
      </c>
      <c r="F154" s="56" t="str">
        <f t="shared" si="1"/>
        <v>10/2024</v>
      </c>
      <c r="G154" s="57">
        <v>258.47</v>
      </c>
      <c r="H154" s="79">
        <v>260.62</v>
      </c>
      <c r="I154" s="60">
        <v>45581.0</v>
      </c>
    </row>
    <row r="155" ht="22.5" customHeight="1">
      <c r="A155" s="43" t="s">
        <v>160</v>
      </c>
      <c r="B155" s="47"/>
      <c r="C155" s="50" t="s">
        <v>67</v>
      </c>
      <c r="D155" s="51" t="s">
        <v>67</v>
      </c>
      <c r="E155" s="53">
        <v>45580.0</v>
      </c>
      <c r="F155" s="56" t="str">
        <f t="shared" si="1"/>
        <v>10/2024</v>
      </c>
      <c r="G155" s="57">
        <v>1015.63</v>
      </c>
      <c r="H155" s="79">
        <f>IF(I155,G155,0)</f>
        <v>1015.63</v>
      </c>
      <c r="I155" s="60">
        <v>45580.0</v>
      </c>
    </row>
    <row r="156" ht="22.5" customHeight="1">
      <c r="A156" s="43" t="s">
        <v>147</v>
      </c>
      <c r="B156" s="47" t="s">
        <v>148</v>
      </c>
      <c r="C156" s="50" t="s">
        <v>132</v>
      </c>
      <c r="D156" s="51" t="s">
        <v>76</v>
      </c>
      <c r="E156" s="53">
        <v>45586.0</v>
      </c>
      <c r="F156" s="56" t="str">
        <f t="shared" si="1"/>
        <v>10/2024</v>
      </c>
      <c r="G156" s="57">
        <v>71.6</v>
      </c>
      <c r="H156" s="79">
        <v>71.6</v>
      </c>
      <c r="I156" s="60">
        <v>45583.0</v>
      </c>
    </row>
    <row r="157" ht="22.5" customHeight="1">
      <c r="A157" s="43" t="s">
        <v>147</v>
      </c>
      <c r="B157" s="47" t="s">
        <v>238</v>
      </c>
      <c r="C157" s="50" t="s">
        <v>132</v>
      </c>
      <c r="D157" s="51" t="s">
        <v>76</v>
      </c>
      <c r="E157" s="53">
        <v>45586.0</v>
      </c>
      <c r="F157" s="56" t="str">
        <f t="shared" si="1"/>
        <v>10/2024</v>
      </c>
      <c r="G157" s="57">
        <v>76.6</v>
      </c>
      <c r="H157" s="79">
        <v>76.6</v>
      </c>
      <c r="I157" s="60">
        <v>45583.0</v>
      </c>
    </row>
    <row r="158" ht="22.5" customHeight="1">
      <c r="A158" s="43" t="s">
        <v>237</v>
      </c>
      <c r="B158" s="47"/>
      <c r="C158" s="50" t="s">
        <v>50</v>
      </c>
      <c r="D158" s="51" t="s">
        <v>71</v>
      </c>
      <c r="E158" s="53">
        <v>45587.0</v>
      </c>
      <c r="F158" s="56" t="str">
        <f t="shared" si="1"/>
        <v>10/2024</v>
      </c>
      <c r="G158" s="57">
        <v>829.0</v>
      </c>
      <c r="H158" s="79">
        <v>829.0</v>
      </c>
      <c r="I158" s="60">
        <v>45587.0</v>
      </c>
    </row>
    <row r="159" ht="22.5" customHeight="1">
      <c r="A159" s="43" t="s">
        <v>18</v>
      </c>
      <c r="B159" s="47"/>
      <c r="C159" s="50" t="s">
        <v>50</v>
      </c>
      <c r="D159" s="51" t="s">
        <v>71</v>
      </c>
      <c r="E159" s="53">
        <v>45588.0</v>
      </c>
      <c r="F159" s="56" t="str">
        <f t="shared" si="1"/>
        <v>10/2024</v>
      </c>
      <c r="G159" s="57">
        <v>525.65</v>
      </c>
      <c r="H159" s="59">
        <f>262.8+262.8</f>
        <v>525.6</v>
      </c>
      <c r="I159" s="60">
        <v>45588.0</v>
      </c>
    </row>
    <row r="160" ht="22.5" customHeight="1">
      <c r="A160" s="43" t="s">
        <v>239</v>
      </c>
      <c r="B160" s="47" t="s">
        <v>240</v>
      </c>
      <c r="C160" s="50" t="s">
        <v>67</v>
      </c>
      <c r="D160" s="51" t="s">
        <v>67</v>
      </c>
      <c r="E160" s="53">
        <v>45589.0</v>
      </c>
      <c r="F160" s="56" t="str">
        <f t="shared" si="1"/>
        <v>10/2024</v>
      </c>
      <c r="G160" s="57">
        <v>749.78</v>
      </c>
      <c r="H160" s="79">
        <v>749.78</v>
      </c>
      <c r="I160" s="60">
        <v>45589.0</v>
      </c>
    </row>
    <row r="161" ht="22.5" customHeight="1">
      <c r="A161" s="127" t="s">
        <v>134</v>
      </c>
      <c r="B161" s="47" t="s">
        <v>168</v>
      </c>
      <c r="C161" s="128" t="s">
        <v>67</v>
      </c>
      <c r="D161" s="51" t="s">
        <v>71</v>
      </c>
      <c r="E161" s="53">
        <v>45589.0</v>
      </c>
      <c r="F161" s="56" t="str">
        <f t="shared" si="1"/>
        <v>10/2024</v>
      </c>
      <c r="G161" s="57">
        <v>38.4</v>
      </c>
      <c r="H161" s="59">
        <f>IF(I161,G161,0)</f>
        <v>38.4</v>
      </c>
      <c r="I161" s="60">
        <v>45589.0</v>
      </c>
    </row>
    <row r="162" ht="22.5" customHeight="1">
      <c r="A162" s="43" t="s">
        <v>138</v>
      </c>
      <c r="B162" s="47"/>
      <c r="C162" s="50" t="s">
        <v>67</v>
      </c>
      <c r="D162" s="51" t="s">
        <v>71</v>
      </c>
      <c r="E162" s="53">
        <v>45590.0</v>
      </c>
      <c r="F162" s="56" t="str">
        <f t="shared" si="1"/>
        <v>10/2024</v>
      </c>
      <c r="G162" s="57">
        <v>11414.55</v>
      </c>
      <c r="H162" s="79">
        <v>11414.55</v>
      </c>
      <c r="I162" s="60">
        <v>45589.0</v>
      </c>
    </row>
    <row r="163" ht="22.5" customHeight="1">
      <c r="A163" s="43" t="s">
        <v>235</v>
      </c>
      <c r="B163" s="47"/>
      <c r="C163" s="50" t="s">
        <v>50</v>
      </c>
      <c r="D163" s="51" t="s">
        <v>71</v>
      </c>
      <c r="E163" s="53">
        <v>45593.0</v>
      </c>
      <c r="F163" s="56" t="str">
        <f t="shared" si="1"/>
        <v>10/2024</v>
      </c>
      <c r="G163" s="57">
        <v>1148.26</v>
      </c>
      <c r="H163" s="79">
        <v>1148.26</v>
      </c>
      <c r="I163" s="60">
        <v>45593.0</v>
      </c>
    </row>
    <row r="164" ht="22.5" customHeight="1">
      <c r="A164" s="43" t="s">
        <v>236</v>
      </c>
      <c r="B164" s="47"/>
      <c r="C164" s="50" t="s">
        <v>50</v>
      </c>
      <c r="D164" s="51" t="s">
        <v>71</v>
      </c>
      <c r="E164" s="53">
        <v>45597.0</v>
      </c>
      <c r="F164" s="56" t="str">
        <f t="shared" si="1"/>
        <v>11/2024</v>
      </c>
      <c r="G164" s="57">
        <v>613.0</v>
      </c>
      <c r="H164" s="79">
        <v>613.0</v>
      </c>
      <c r="I164" s="60">
        <v>45597.0</v>
      </c>
    </row>
    <row r="165" ht="22.5" customHeight="1">
      <c r="A165" s="43" t="s">
        <v>130</v>
      </c>
      <c r="B165" s="47"/>
      <c r="C165" s="50" t="s">
        <v>132</v>
      </c>
      <c r="D165" s="51" t="s">
        <v>68</v>
      </c>
      <c r="E165" s="53">
        <v>45598.0</v>
      </c>
      <c r="F165" s="56" t="str">
        <f t="shared" si="1"/>
        <v>11/2024</v>
      </c>
      <c r="G165" s="57">
        <v>133.99</v>
      </c>
      <c r="H165" s="79">
        <v>133.99</v>
      </c>
      <c r="I165" s="60">
        <v>45600.0</v>
      </c>
    </row>
    <row r="166" ht="22.5" customHeight="1">
      <c r="A166" s="43" t="s">
        <v>176</v>
      </c>
      <c r="B166" s="47"/>
      <c r="C166" s="50" t="s">
        <v>67</v>
      </c>
      <c r="D166" s="51" t="s">
        <v>67</v>
      </c>
      <c r="E166" s="53">
        <v>45603.0</v>
      </c>
      <c r="F166" s="56" t="str">
        <f t="shared" si="1"/>
        <v>11/2024</v>
      </c>
      <c r="G166" s="57">
        <v>1231.13</v>
      </c>
      <c r="H166" s="79">
        <v>1231.13</v>
      </c>
      <c r="I166" s="60">
        <v>45603.0</v>
      </c>
    </row>
    <row r="167" ht="22.5" customHeight="1">
      <c r="A167" s="43" t="s">
        <v>82</v>
      </c>
      <c r="B167" s="47" t="s">
        <v>83</v>
      </c>
      <c r="C167" s="50" t="s">
        <v>67</v>
      </c>
      <c r="D167" s="51" t="s">
        <v>71</v>
      </c>
      <c r="E167" s="53">
        <v>45603.0</v>
      </c>
      <c r="F167" s="56" t="str">
        <f t="shared" si="1"/>
        <v>11/2024</v>
      </c>
      <c r="G167" s="57">
        <v>666.95</v>
      </c>
      <c r="H167" s="79">
        <v>666.95</v>
      </c>
      <c r="I167" s="60">
        <v>45603.0</v>
      </c>
    </row>
    <row r="168" ht="22.5" customHeight="1">
      <c r="A168" s="43" t="s">
        <v>136</v>
      </c>
      <c r="B168" s="47" t="s">
        <v>83</v>
      </c>
      <c r="C168" s="50" t="s">
        <v>132</v>
      </c>
      <c r="D168" s="51" t="s">
        <v>70</v>
      </c>
      <c r="E168" s="53">
        <v>45604.0</v>
      </c>
      <c r="F168" s="56" t="str">
        <f t="shared" si="1"/>
        <v>11/2024</v>
      </c>
      <c r="G168" s="57">
        <v>53.54</v>
      </c>
      <c r="H168" s="79">
        <v>53.54</v>
      </c>
      <c r="I168" s="60">
        <v>45604.0</v>
      </c>
    </row>
    <row r="169" ht="22.5" customHeight="1">
      <c r="A169" s="43" t="s">
        <v>134</v>
      </c>
      <c r="B169" s="47" t="s">
        <v>135</v>
      </c>
      <c r="C169" s="50" t="s">
        <v>67</v>
      </c>
      <c r="D169" s="51" t="s">
        <v>71</v>
      </c>
      <c r="E169" s="53">
        <v>45604.0</v>
      </c>
      <c r="F169" s="56" t="str">
        <f t="shared" si="1"/>
        <v>11/2024</v>
      </c>
      <c r="G169" s="57">
        <v>2879.26</v>
      </c>
      <c r="H169" s="79">
        <v>2879.26</v>
      </c>
      <c r="I169" s="60">
        <v>45604.0</v>
      </c>
    </row>
    <row r="170" ht="22.5" customHeight="1">
      <c r="A170" s="43" t="s">
        <v>136</v>
      </c>
      <c r="B170" s="47" t="s">
        <v>131</v>
      </c>
      <c r="C170" s="50" t="s">
        <v>132</v>
      </c>
      <c r="D170" s="51" t="s">
        <v>70</v>
      </c>
      <c r="E170" s="53">
        <v>45606.0</v>
      </c>
      <c r="F170" s="56" t="str">
        <f t="shared" si="1"/>
        <v>11/2024</v>
      </c>
      <c r="G170" s="57">
        <v>80.0</v>
      </c>
      <c r="H170" s="79">
        <f t="shared" ref="H170:H173" si="5">IF(I170,G170,0)</f>
        <v>80</v>
      </c>
      <c r="I170" s="60">
        <v>45608.0</v>
      </c>
    </row>
    <row r="171" ht="22.5" customHeight="1">
      <c r="A171" s="43" t="s">
        <v>137</v>
      </c>
      <c r="B171" s="47"/>
      <c r="C171" s="50" t="s">
        <v>132</v>
      </c>
      <c r="D171" s="51" t="s">
        <v>72</v>
      </c>
      <c r="E171" s="53">
        <v>45606.0</v>
      </c>
      <c r="F171" s="56" t="str">
        <f t="shared" si="1"/>
        <v>11/2024</v>
      </c>
      <c r="G171" s="57">
        <v>1200.0</v>
      </c>
      <c r="H171" s="79">
        <f t="shared" si="5"/>
        <v>1200</v>
      </c>
      <c r="I171" s="60">
        <v>45608.0</v>
      </c>
    </row>
    <row r="172" ht="22.5" customHeight="1">
      <c r="A172" s="43" t="s">
        <v>228</v>
      </c>
      <c r="B172" s="47"/>
      <c r="C172" s="50" t="s">
        <v>132</v>
      </c>
      <c r="D172" s="51" t="s">
        <v>77</v>
      </c>
      <c r="E172" s="53">
        <v>45606.0</v>
      </c>
      <c r="F172" s="56" t="str">
        <f t="shared" si="1"/>
        <v>11/2024</v>
      </c>
      <c r="G172" s="57">
        <v>285.96</v>
      </c>
      <c r="H172" s="79">
        <f t="shared" si="5"/>
        <v>285.96</v>
      </c>
      <c r="I172" s="60">
        <v>45607.0</v>
      </c>
    </row>
    <row r="173" ht="22.5" customHeight="1">
      <c r="A173" s="43" t="s">
        <v>130</v>
      </c>
      <c r="B173" s="47"/>
      <c r="C173" s="50" t="s">
        <v>132</v>
      </c>
      <c r="D173" s="51" t="s">
        <v>68</v>
      </c>
      <c r="E173" s="53">
        <v>45606.0</v>
      </c>
      <c r="F173" s="56" t="str">
        <f t="shared" si="1"/>
        <v>11/2024</v>
      </c>
      <c r="G173" s="57">
        <v>198.92</v>
      </c>
      <c r="H173" s="79">
        <f t="shared" si="5"/>
        <v>198.92</v>
      </c>
      <c r="I173" s="60">
        <v>45608.0</v>
      </c>
    </row>
    <row r="174" ht="22.5" customHeight="1">
      <c r="A174" s="43" t="s">
        <v>140</v>
      </c>
      <c r="B174" s="47"/>
      <c r="C174" s="50" t="s">
        <v>132</v>
      </c>
      <c r="D174" s="51" t="s">
        <v>74</v>
      </c>
      <c r="E174" s="53">
        <v>45606.0</v>
      </c>
      <c r="F174" s="56" t="str">
        <f t="shared" si="1"/>
        <v>11/2024</v>
      </c>
      <c r="G174" s="57">
        <v>49.99</v>
      </c>
      <c r="H174" s="79">
        <v>54.99</v>
      </c>
      <c r="I174" s="60">
        <v>45608.0</v>
      </c>
    </row>
    <row r="175" ht="22.5" customHeight="1">
      <c r="A175" s="43" t="s">
        <v>141</v>
      </c>
      <c r="B175" s="47"/>
      <c r="C175" s="50" t="s">
        <v>132</v>
      </c>
      <c r="D175" s="51" t="s">
        <v>75</v>
      </c>
      <c r="E175" s="53">
        <v>45607.0</v>
      </c>
      <c r="F175" s="56" t="str">
        <f t="shared" si="1"/>
        <v>11/2024</v>
      </c>
      <c r="G175" s="57">
        <v>129.9</v>
      </c>
      <c r="H175" s="79">
        <f t="shared" ref="H175:H177" si="6">IF(I175,G175,0)</f>
        <v>129.9</v>
      </c>
      <c r="I175" s="60">
        <v>45607.0</v>
      </c>
    </row>
    <row r="176" ht="22.5" customHeight="1">
      <c r="A176" s="43" t="s">
        <v>141</v>
      </c>
      <c r="B176" s="47"/>
      <c r="C176" s="50" t="s">
        <v>132</v>
      </c>
      <c r="D176" s="51" t="s">
        <v>75</v>
      </c>
      <c r="E176" s="53">
        <v>45607.0</v>
      </c>
      <c r="F176" s="56" t="str">
        <f t="shared" si="1"/>
        <v>11/2024</v>
      </c>
      <c r="G176" s="57">
        <v>99.9</v>
      </c>
      <c r="H176" s="79">
        <f t="shared" si="6"/>
        <v>99.9</v>
      </c>
      <c r="I176" s="60">
        <v>45607.0</v>
      </c>
    </row>
    <row r="177" ht="22.5" customHeight="1">
      <c r="A177" s="43" t="s">
        <v>144</v>
      </c>
      <c r="B177" s="47"/>
      <c r="C177" s="50" t="s">
        <v>50</v>
      </c>
      <c r="D177" s="51" t="s">
        <v>71</v>
      </c>
      <c r="E177" s="53">
        <v>45607.0</v>
      </c>
      <c r="F177" s="56" t="str">
        <f t="shared" si="1"/>
        <v>11/2024</v>
      </c>
      <c r="G177" s="57">
        <v>592.25</v>
      </c>
      <c r="H177" s="79">
        <f t="shared" si="6"/>
        <v>592.25</v>
      </c>
      <c r="I177" s="60">
        <v>45607.0</v>
      </c>
    </row>
    <row r="178" ht="22.5" customHeight="1">
      <c r="A178" s="43" t="s">
        <v>143</v>
      </c>
      <c r="B178" s="47"/>
      <c r="C178" s="50" t="s">
        <v>67</v>
      </c>
      <c r="D178" s="51" t="s">
        <v>71</v>
      </c>
      <c r="E178" s="53">
        <v>45607.0</v>
      </c>
      <c r="F178" s="56" t="str">
        <f t="shared" si="1"/>
        <v>11/2024</v>
      </c>
      <c r="G178" s="57">
        <v>591.8</v>
      </c>
      <c r="H178" s="79">
        <v>646.7</v>
      </c>
      <c r="I178" s="60">
        <v>45607.0</v>
      </c>
    </row>
    <row r="179" ht="22.5" customHeight="1">
      <c r="A179" s="127" t="s">
        <v>417</v>
      </c>
      <c r="B179" s="47" t="s">
        <v>131</v>
      </c>
      <c r="C179" s="128" t="s">
        <v>50</v>
      </c>
      <c r="D179" s="51" t="s">
        <v>71</v>
      </c>
      <c r="E179" s="53">
        <v>45607.0</v>
      </c>
      <c r="F179" s="56" t="str">
        <f t="shared" si="1"/>
        <v>11/2024</v>
      </c>
      <c r="G179" s="57">
        <v>758.78</v>
      </c>
      <c r="H179" s="59">
        <f t="shared" ref="H179:H226" si="7">IF(I179,G179,0)</f>
        <v>758.78</v>
      </c>
      <c r="I179" s="60">
        <v>45608.0</v>
      </c>
    </row>
    <row r="180" ht="22.5" customHeight="1">
      <c r="A180" s="43" t="s">
        <v>160</v>
      </c>
      <c r="B180" s="47"/>
      <c r="C180" s="50" t="s">
        <v>67</v>
      </c>
      <c r="D180" s="51" t="s">
        <v>67</v>
      </c>
      <c r="E180" s="53">
        <v>45611.0</v>
      </c>
      <c r="F180" s="56" t="str">
        <f t="shared" si="1"/>
        <v>11/2024</v>
      </c>
      <c r="G180" s="57">
        <v>1015.63</v>
      </c>
      <c r="H180" s="79">
        <f t="shared" si="7"/>
        <v>1015.63</v>
      </c>
      <c r="I180" s="60">
        <v>45614.0</v>
      </c>
    </row>
    <row r="181" ht="22.5" customHeight="1">
      <c r="A181" s="43" t="s">
        <v>233</v>
      </c>
      <c r="B181" s="47"/>
      <c r="C181" s="50" t="s">
        <v>50</v>
      </c>
      <c r="D181" s="51" t="s">
        <v>71</v>
      </c>
      <c r="E181" s="53">
        <v>45611.0</v>
      </c>
      <c r="F181" s="56" t="str">
        <f t="shared" si="1"/>
        <v>11/2024</v>
      </c>
      <c r="G181" s="57">
        <v>696.18</v>
      </c>
      <c r="H181" s="59">
        <f t="shared" si="7"/>
        <v>696.18</v>
      </c>
      <c r="I181" s="60">
        <v>45610.0</v>
      </c>
    </row>
    <row r="182" ht="22.5" customHeight="1">
      <c r="A182" s="43" t="s">
        <v>147</v>
      </c>
      <c r="B182" s="47" t="s">
        <v>148</v>
      </c>
      <c r="C182" s="50" t="s">
        <v>132</v>
      </c>
      <c r="D182" s="51" t="s">
        <v>76</v>
      </c>
      <c r="E182" s="53">
        <v>45616.0</v>
      </c>
      <c r="F182" s="56" t="str">
        <f t="shared" si="1"/>
        <v>11/2024</v>
      </c>
      <c r="G182" s="57">
        <v>71.6</v>
      </c>
      <c r="H182" s="79">
        <f t="shared" si="7"/>
        <v>71.6</v>
      </c>
      <c r="I182" s="60">
        <v>45617.0</v>
      </c>
    </row>
    <row r="183" ht="22.5" customHeight="1">
      <c r="A183" s="43" t="s">
        <v>147</v>
      </c>
      <c r="B183" s="47" t="s">
        <v>238</v>
      </c>
      <c r="C183" s="50" t="s">
        <v>132</v>
      </c>
      <c r="D183" s="51" t="s">
        <v>76</v>
      </c>
      <c r="E183" s="53">
        <v>45616.0</v>
      </c>
      <c r="F183" s="56" t="str">
        <f t="shared" si="1"/>
        <v>11/2024</v>
      </c>
      <c r="G183" s="57">
        <v>76.6</v>
      </c>
      <c r="H183" s="79">
        <f t="shared" si="7"/>
        <v>76.6</v>
      </c>
      <c r="I183" s="60">
        <v>45617.0</v>
      </c>
    </row>
    <row r="184" ht="22.5" customHeight="1">
      <c r="A184" s="43" t="s">
        <v>237</v>
      </c>
      <c r="B184" s="47"/>
      <c r="C184" s="50" t="s">
        <v>50</v>
      </c>
      <c r="D184" s="51" t="s">
        <v>71</v>
      </c>
      <c r="E184" s="53">
        <v>45617.0</v>
      </c>
      <c r="F184" s="56" t="str">
        <f t="shared" si="1"/>
        <v>11/2024</v>
      </c>
      <c r="G184" s="57">
        <v>831.0</v>
      </c>
      <c r="H184" s="59">
        <f t="shared" si="7"/>
        <v>831</v>
      </c>
      <c r="I184" s="60">
        <v>45617.0</v>
      </c>
    </row>
    <row r="185" ht="22.5" customHeight="1">
      <c r="A185" s="127" t="s">
        <v>485</v>
      </c>
      <c r="B185" s="47" t="s">
        <v>131</v>
      </c>
      <c r="C185" s="128" t="s">
        <v>71</v>
      </c>
      <c r="D185" s="51" t="s">
        <v>71</v>
      </c>
      <c r="E185" s="53">
        <v>45618.0</v>
      </c>
      <c r="F185" s="56" t="str">
        <f t="shared" si="1"/>
        <v>11/2024</v>
      </c>
      <c r="G185" s="57">
        <v>100.0</v>
      </c>
      <c r="H185" s="59">
        <f t="shared" si="7"/>
        <v>100</v>
      </c>
      <c r="I185" s="60">
        <v>45624.0</v>
      </c>
    </row>
    <row r="186" ht="22.5" customHeight="1">
      <c r="A186" s="43" t="s">
        <v>18</v>
      </c>
      <c r="B186" s="47"/>
      <c r="C186" s="50" t="s">
        <v>50</v>
      </c>
      <c r="D186" s="51" t="s">
        <v>71</v>
      </c>
      <c r="E186" s="53">
        <v>45619.0</v>
      </c>
      <c r="F186" s="56" t="str">
        <f t="shared" si="1"/>
        <v>11/2024</v>
      </c>
      <c r="G186" s="57">
        <v>525.65</v>
      </c>
      <c r="H186" s="59">
        <f t="shared" si="7"/>
        <v>525.65</v>
      </c>
      <c r="I186" s="60">
        <v>45618.0</v>
      </c>
    </row>
    <row r="187" ht="22.5" customHeight="1">
      <c r="A187" s="43" t="s">
        <v>239</v>
      </c>
      <c r="B187" s="47" t="s">
        <v>240</v>
      </c>
      <c r="C187" s="50" t="s">
        <v>67</v>
      </c>
      <c r="D187" s="51" t="s">
        <v>67</v>
      </c>
      <c r="E187" s="53">
        <v>45620.0</v>
      </c>
      <c r="F187" s="56" t="str">
        <f t="shared" si="1"/>
        <v>11/2024</v>
      </c>
      <c r="G187" s="57">
        <v>749.78</v>
      </c>
      <c r="H187" s="59">
        <f t="shared" si="7"/>
        <v>749.78</v>
      </c>
      <c r="I187" s="60">
        <v>45618.0</v>
      </c>
    </row>
    <row r="188" ht="22.5" customHeight="1">
      <c r="A188" s="127" t="s">
        <v>134</v>
      </c>
      <c r="B188" s="47" t="s">
        <v>168</v>
      </c>
      <c r="C188" s="128" t="s">
        <v>67</v>
      </c>
      <c r="D188" s="51" t="s">
        <v>71</v>
      </c>
      <c r="E188" s="53">
        <v>45620.0</v>
      </c>
      <c r="F188" s="56" t="str">
        <f t="shared" si="1"/>
        <v>11/2024</v>
      </c>
      <c r="G188" s="57">
        <v>199.99</v>
      </c>
      <c r="H188" s="59">
        <f t="shared" si="7"/>
        <v>199.99</v>
      </c>
      <c r="I188" s="60">
        <v>45618.0</v>
      </c>
    </row>
    <row r="189" ht="22.5" customHeight="1">
      <c r="A189" s="43" t="s">
        <v>138</v>
      </c>
      <c r="B189" s="47"/>
      <c r="C189" s="50" t="s">
        <v>67</v>
      </c>
      <c r="D189" s="51" t="s">
        <v>71</v>
      </c>
      <c r="E189" s="53">
        <v>45621.0</v>
      </c>
      <c r="F189" s="56" t="str">
        <f t="shared" si="1"/>
        <v>11/2024</v>
      </c>
      <c r="G189" s="57">
        <v>10859.69</v>
      </c>
      <c r="H189" s="79">
        <f t="shared" si="7"/>
        <v>10859.69</v>
      </c>
      <c r="I189" s="60">
        <v>45621.0</v>
      </c>
    </row>
    <row r="190" ht="22.5" customHeight="1">
      <c r="A190" s="43" t="s">
        <v>235</v>
      </c>
      <c r="B190" s="47"/>
      <c r="C190" s="50" t="s">
        <v>50</v>
      </c>
      <c r="D190" s="51" t="s">
        <v>71</v>
      </c>
      <c r="E190" s="53">
        <v>45623.0</v>
      </c>
      <c r="F190" s="56" t="str">
        <f t="shared" si="1"/>
        <v>11/2024</v>
      </c>
      <c r="G190" s="57">
        <v>1148.26</v>
      </c>
      <c r="H190" s="59">
        <f t="shared" si="7"/>
        <v>1148.26</v>
      </c>
      <c r="I190" s="60">
        <v>45623.0</v>
      </c>
    </row>
    <row r="191" ht="22.5" customHeight="1">
      <c r="A191" s="43" t="s">
        <v>133</v>
      </c>
      <c r="B191" s="47" t="s">
        <v>131</v>
      </c>
      <c r="C191" s="128" t="s">
        <v>50</v>
      </c>
      <c r="D191" s="51" t="s">
        <v>71</v>
      </c>
      <c r="E191" s="53">
        <v>45624.0</v>
      </c>
      <c r="F191" s="56" t="str">
        <f t="shared" si="1"/>
        <v>11/2024</v>
      </c>
      <c r="G191" s="57">
        <v>400.0</v>
      </c>
      <c r="H191" s="59">
        <f t="shared" si="7"/>
        <v>400</v>
      </c>
      <c r="I191" s="60">
        <v>45624.0</v>
      </c>
    </row>
    <row r="192" ht="22.5" customHeight="1">
      <c r="A192" s="127" t="s">
        <v>130</v>
      </c>
      <c r="B192" s="47" t="s">
        <v>131</v>
      </c>
      <c r="C192" s="128" t="s">
        <v>132</v>
      </c>
      <c r="D192" s="51" t="s">
        <v>68</v>
      </c>
      <c r="E192" s="53">
        <v>45628.0</v>
      </c>
      <c r="F192" s="56" t="str">
        <f t="shared" si="1"/>
        <v>12/2024</v>
      </c>
      <c r="G192" s="57">
        <v>127.22</v>
      </c>
      <c r="H192" s="59">
        <f t="shared" si="7"/>
        <v>127.22</v>
      </c>
      <c r="I192" s="60">
        <v>45629.0</v>
      </c>
    </row>
    <row r="193" ht="22.5" customHeight="1">
      <c r="A193" s="127" t="s">
        <v>573</v>
      </c>
      <c r="B193" s="131"/>
      <c r="C193" s="128" t="s">
        <v>80</v>
      </c>
      <c r="D193" s="51" t="s">
        <v>80</v>
      </c>
      <c r="E193" s="53">
        <v>45629.0</v>
      </c>
      <c r="F193" s="56" t="str">
        <f t="shared" si="1"/>
        <v>12/2024</v>
      </c>
      <c r="G193" s="57">
        <v>67.64</v>
      </c>
      <c r="H193" s="59">
        <f t="shared" si="7"/>
        <v>67.64</v>
      </c>
      <c r="I193" s="60">
        <v>45629.0</v>
      </c>
    </row>
    <row r="194" ht="22.5" customHeight="1">
      <c r="A194" s="127" t="s">
        <v>234</v>
      </c>
      <c r="B194" s="131"/>
      <c r="C194" s="128" t="s">
        <v>50</v>
      </c>
      <c r="D194" s="51" t="s">
        <v>71</v>
      </c>
      <c r="E194" s="53">
        <v>45630.0</v>
      </c>
      <c r="F194" s="56" t="str">
        <f t="shared" si="1"/>
        <v>12/2024</v>
      </c>
      <c r="G194" s="57">
        <v>330.0</v>
      </c>
      <c r="H194" s="59">
        <f t="shared" si="7"/>
        <v>330</v>
      </c>
      <c r="I194" s="60">
        <v>45630.0</v>
      </c>
    </row>
    <row r="195" ht="22.5" customHeight="1">
      <c r="A195" s="127" t="s">
        <v>605</v>
      </c>
      <c r="B195" s="131"/>
      <c r="C195" s="128" t="s">
        <v>80</v>
      </c>
      <c r="D195" s="51" t="s">
        <v>80</v>
      </c>
      <c r="E195" s="53">
        <v>45630.0</v>
      </c>
      <c r="F195" s="56" t="str">
        <f t="shared" si="1"/>
        <v>12/2024</v>
      </c>
      <c r="G195" s="57">
        <v>74.24</v>
      </c>
      <c r="H195" s="59">
        <f t="shared" si="7"/>
        <v>74.24</v>
      </c>
      <c r="I195" s="60">
        <v>45630.0</v>
      </c>
    </row>
    <row r="196" ht="22.5" customHeight="1">
      <c r="A196" s="127" t="s">
        <v>618</v>
      </c>
      <c r="B196" s="131"/>
      <c r="C196" s="128" t="s">
        <v>79</v>
      </c>
      <c r="D196" s="51" t="s">
        <v>79</v>
      </c>
      <c r="E196" s="53">
        <v>45631.0</v>
      </c>
      <c r="F196" s="56" t="str">
        <f t="shared" si="1"/>
        <v>12/2024</v>
      </c>
      <c r="G196" s="57">
        <v>100.0</v>
      </c>
      <c r="H196" s="59">
        <f t="shared" si="7"/>
        <v>100</v>
      </c>
      <c r="I196" s="60">
        <v>45631.0</v>
      </c>
    </row>
    <row r="197" ht="22.5" customHeight="1">
      <c r="A197" s="127" t="s">
        <v>636</v>
      </c>
      <c r="B197" s="131"/>
      <c r="C197" s="128" t="s">
        <v>80</v>
      </c>
      <c r="D197" s="51" t="s">
        <v>80</v>
      </c>
      <c r="E197" s="53">
        <v>45631.0</v>
      </c>
      <c r="F197" s="56" t="str">
        <f t="shared" si="1"/>
        <v>12/2024</v>
      </c>
      <c r="G197" s="57">
        <v>35.79</v>
      </c>
      <c r="H197" s="59">
        <f t="shared" si="7"/>
        <v>35.79</v>
      </c>
      <c r="I197" s="60">
        <v>45631.0</v>
      </c>
    </row>
    <row r="198" ht="22.5" customHeight="1">
      <c r="A198" s="127" t="s">
        <v>636</v>
      </c>
      <c r="B198" s="131"/>
      <c r="C198" s="128" t="s">
        <v>80</v>
      </c>
      <c r="D198" s="51" t="s">
        <v>80</v>
      </c>
      <c r="E198" s="53">
        <v>45632.0</v>
      </c>
      <c r="F198" s="56" t="str">
        <f t="shared" si="1"/>
        <v>12/2024</v>
      </c>
      <c r="G198" s="57">
        <v>210.75</v>
      </c>
      <c r="H198" s="59">
        <f t="shared" si="7"/>
        <v>210.75</v>
      </c>
      <c r="I198" s="60">
        <v>45632.0</v>
      </c>
    </row>
    <row r="199" ht="22.5" customHeight="1">
      <c r="A199" s="127" t="s">
        <v>663</v>
      </c>
      <c r="B199" s="131"/>
      <c r="C199" s="128" t="s">
        <v>666</v>
      </c>
      <c r="D199" s="51" t="s">
        <v>80</v>
      </c>
      <c r="E199" s="53">
        <v>45632.0</v>
      </c>
      <c r="F199" s="56" t="str">
        <f t="shared" si="1"/>
        <v>12/2024</v>
      </c>
      <c r="G199" s="57">
        <v>89.9</v>
      </c>
      <c r="H199" s="59">
        <f t="shared" si="7"/>
        <v>89.9</v>
      </c>
      <c r="I199" s="60">
        <v>45632.0</v>
      </c>
    </row>
    <row r="200" ht="22.5" customHeight="1">
      <c r="A200" s="43" t="s">
        <v>134</v>
      </c>
      <c r="B200" s="47" t="s">
        <v>135</v>
      </c>
      <c r="C200" s="50" t="s">
        <v>67</v>
      </c>
      <c r="D200" s="51" t="s">
        <v>71</v>
      </c>
      <c r="E200" s="53">
        <v>45634.0</v>
      </c>
      <c r="F200" s="56" t="str">
        <f t="shared" si="1"/>
        <v>12/2024</v>
      </c>
      <c r="G200" s="57">
        <v>2303.1</v>
      </c>
      <c r="H200" s="59">
        <f t="shared" si="7"/>
        <v>2303.1</v>
      </c>
      <c r="I200" s="60">
        <v>45631.0</v>
      </c>
    </row>
    <row r="201" ht="22.5" customHeight="1">
      <c r="A201" s="127" t="s">
        <v>136</v>
      </c>
      <c r="B201" s="47" t="s">
        <v>83</v>
      </c>
      <c r="C201" s="128" t="s">
        <v>132</v>
      </c>
      <c r="D201" s="51" t="s">
        <v>70</v>
      </c>
      <c r="E201" s="53">
        <v>45634.0</v>
      </c>
      <c r="F201" s="56" t="str">
        <f t="shared" si="1"/>
        <v>12/2024</v>
      </c>
      <c r="G201" s="57">
        <v>53.54</v>
      </c>
      <c r="H201" s="59">
        <f t="shared" si="7"/>
        <v>53.54</v>
      </c>
      <c r="I201" s="60">
        <v>45638.0</v>
      </c>
    </row>
    <row r="202" ht="22.5" customHeight="1">
      <c r="A202" s="43" t="s">
        <v>176</v>
      </c>
      <c r="B202" s="47"/>
      <c r="C202" s="50" t="s">
        <v>67</v>
      </c>
      <c r="D202" s="51" t="s">
        <v>67</v>
      </c>
      <c r="E202" s="53">
        <v>45635.0</v>
      </c>
      <c r="F202" s="56" t="str">
        <f t="shared" si="1"/>
        <v>12/2024</v>
      </c>
      <c r="G202" s="57">
        <v>1231.13</v>
      </c>
      <c r="H202" s="79">
        <f t="shared" si="7"/>
        <v>1231.13</v>
      </c>
      <c r="I202" s="60">
        <v>45635.0</v>
      </c>
    </row>
    <row r="203" ht="22.5" customHeight="1">
      <c r="A203" s="43" t="s">
        <v>82</v>
      </c>
      <c r="B203" s="47" t="s">
        <v>83</v>
      </c>
      <c r="C203" s="50" t="s">
        <v>67</v>
      </c>
      <c r="D203" s="51" t="s">
        <v>71</v>
      </c>
      <c r="E203" s="53">
        <v>45635.0</v>
      </c>
      <c r="F203" s="56" t="str">
        <f t="shared" si="1"/>
        <v>12/2024</v>
      </c>
      <c r="G203" s="57">
        <v>666.950000000001</v>
      </c>
      <c r="H203" s="79">
        <f t="shared" si="7"/>
        <v>666.95</v>
      </c>
      <c r="I203" s="60">
        <v>45635.0</v>
      </c>
    </row>
    <row r="204" ht="22.5" customHeight="1">
      <c r="A204" s="127" t="s">
        <v>636</v>
      </c>
      <c r="B204" s="131"/>
      <c r="C204" s="128" t="s">
        <v>80</v>
      </c>
      <c r="D204" s="51" t="s">
        <v>80</v>
      </c>
      <c r="E204" s="53">
        <v>45635.0</v>
      </c>
      <c r="F204" s="56" t="str">
        <f t="shared" si="1"/>
        <v>12/2024</v>
      </c>
      <c r="G204" s="57">
        <v>93.53</v>
      </c>
      <c r="H204" s="59">
        <f t="shared" si="7"/>
        <v>93.53</v>
      </c>
      <c r="I204" s="60">
        <v>45635.0</v>
      </c>
    </row>
    <row r="205" ht="22.5" customHeight="1">
      <c r="A205" s="43" t="s">
        <v>137</v>
      </c>
      <c r="B205" s="47"/>
      <c r="C205" s="50" t="s">
        <v>132</v>
      </c>
      <c r="D205" s="51" t="s">
        <v>72</v>
      </c>
      <c r="E205" s="53">
        <v>45636.0</v>
      </c>
      <c r="F205" s="56" t="str">
        <f t="shared" si="1"/>
        <v>12/2024</v>
      </c>
      <c r="G205" s="57">
        <v>1200.0</v>
      </c>
      <c r="H205" s="79">
        <f t="shared" si="7"/>
        <v>1200</v>
      </c>
      <c r="I205" s="60">
        <v>45637.0</v>
      </c>
    </row>
    <row r="206" ht="22.5" customHeight="1">
      <c r="A206" s="43" t="s">
        <v>141</v>
      </c>
      <c r="B206" s="47"/>
      <c r="C206" s="50" t="s">
        <v>132</v>
      </c>
      <c r="D206" s="51" t="s">
        <v>75</v>
      </c>
      <c r="E206" s="53">
        <v>45636.0</v>
      </c>
      <c r="F206" s="56" t="str">
        <f t="shared" si="1"/>
        <v>12/2024</v>
      </c>
      <c r="G206" s="57">
        <v>129.9</v>
      </c>
      <c r="H206" s="79">
        <f t="shared" si="7"/>
        <v>129.9</v>
      </c>
      <c r="I206" s="60">
        <v>45636.0</v>
      </c>
    </row>
    <row r="207" ht="22.5" customHeight="1">
      <c r="A207" s="43" t="s">
        <v>141</v>
      </c>
      <c r="B207" s="47"/>
      <c r="C207" s="50" t="s">
        <v>132</v>
      </c>
      <c r="D207" s="51" t="s">
        <v>75</v>
      </c>
      <c r="E207" s="53">
        <v>45636.0</v>
      </c>
      <c r="F207" s="56" t="str">
        <f t="shared" si="1"/>
        <v>12/2024</v>
      </c>
      <c r="G207" s="57">
        <v>99.9</v>
      </c>
      <c r="H207" s="79">
        <f t="shared" si="7"/>
        <v>99.9</v>
      </c>
      <c r="I207" s="60">
        <v>45636.0</v>
      </c>
    </row>
    <row r="208" ht="22.5" customHeight="1">
      <c r="A208" s="43" t="s">
        <v>228</v>
      </c>
      <c r="B208" s="47"/>
      <c r="C208" s="50" t="s">
        <v>132</v>
      </c>
      <c r="D208" s="51" t="s">
        <v>77</v>
      </c>
      <c r="E208" s="53">
        <v>45636.0</v>
      </c>
      <c r="F208" s="56" t="str">
        <f t="shared" si="1"/>
        <v>12/2024</v>
      </c>
      <c r="G208" s="57">
        <v>285.96</v>
      </c>
      <c r="H208" s="79">
        <f t="shared" si="7"/>
        <v>285.96</v>
      </c>
      <c r="I208" s="60">
        <v>45636.0</v>
      </c>
    </row>
    <row r="209" ht="22.5" customHeight="1">
      <c r="A209" s="43" t="s">
        <v>140</v>
      </c>
      <c r="B209" s="47"/>
      <c r="C209" s="50" t="s">
        <v>132</v>
      </c>
      <c r="D209" s="51" t="s">
        <v>74</v>
      </c>
      <c r="E209" s="53">
        <v>45636.0</v>
      </c>
      <c r="F209" s="56" t="str">
        <f t="shared" si="1"/>
        <v>12/2024</v>
      </c>
      <c r="G209" s="57">
        <v>54.99</v>
      </c>
      <c r="H209" s="79">
        <f t="shared" si="7"/>
        <v>54.99</v>
      </c>
      <c r="I209" s="60">
        <v>45637.0</v>
      </c>
    </row>
    <row r="210" ht="22.5" customHeight="1">
      <c r="A210" s="43" t="s">
        <v>136</v>
      </c>
      <c r="B210" s="47" t="s">
        <v>131</v>
      </c>
      <c r="C210" s="128" t="s">
        <v>132</v>
      </c>
      <c r="D210" s="51" t="s">
        <v>70</v>
      </c>
      <c r="E210" s="53">
        <v>45636.0</v>
      </c>
      <c r="F210" s="56" t="str">
        <f t="shared" si="1"/>
        <v>12/2024</v>
      </c>
      <c r="G210" s="57">
        <v>80.0</v>
      </c>
      <c r="H210" s="59">
        <f t="shared" si="7"/>
        <v>80</v>
      </c>
      <c r="I210" s="60">
        <v>45637.0</v>
      </c>
    </row>
    <row r="211" ht="22.5" customHeight="1">
      <c r="A211" s="127" t="s">
        <v>130</v>
      </c>
      <c r="B211" s="47" t="s">
        <v>83</v>
      </c>
      <c r="C211" s="128" t="s">
        <v>132</v>
      </c>
      <c r="D211" s="51" t="s">
        <v>68</v>
      </c>
      <c r="E211" s="53">
        <v>45636.0</v>
      </c>
      <c r="F211" s="56" t="str">
        <f t="shared" si="1"/>
        <v>12/2024</v>
      </c>
      <c r="G211" s="57">
        <v>164.32</v>
      </c>
      <c r="H211" s="59">
        <f t="shared" si="7"/>
        <v>164.32</v>
      </c>
      <c r="I211" s="60">
        <v>45638.0</v>
      </c>
    </row>
    <row r="212" ht="22.5" customHeight="1">
      <c r="A212" s="43" t="s">
        <v>143</v>
      </c>
      <c r="B212" s="47"/>
      <c r="C212" s="50" t="s">
        <v>67</v>
      </c>
      <c r="D212" s="51" t="s">
        <v>71</v>
      </c>
      <c r="E212" s="53">
        <v>45637.0</v>
      </c>
      <c r="F212" s="56" t="str">
        <f t="shared" si="1"/>
        <v>12/2024</v>
      </c>
      <c r="G212" s="57">
        <v>913.26</v>
      </c>
      <c r="H212" s="79">
        <f t="shared" si="7"/>
        <v>913.26</v>
      </c>
      <c r="I212" s="60">
        <v>45637.0</v>
      </c>
    </row>
    <row r="213" ht="22.5" customHeight="1">
      <c r="A213" s="43" t="s">
        <v>160</v>
      </c>
      <c r="B213" s="47"/>
      <c r="C213" s="50" t="s">
        <v>67</v>
      </c>
      <c r="D213" s="51" t="s">
        <v>67</v>
      </c>
      <c r="E213" s="53">
        <v>45641.0</v>
      </c>
      <c r="F213" s="56" t="str">
        <f t="shared" si="1"/>
        <v>12/2024</v>
      </c>
      <c r="G213" s="57">
        <v>1015.63</v>
      </c>
      <c r="H213" s="79">
        <f t="shared" si="7"/>
        <v>1015.63</v>
      </c>
      <c r="I213" s="53">
        <v>45642.0</v>
      </c>
    </row>
    <row r="214" ht="22.5" customHeight="1">
      <c r="A214" s="127" t="s">
        <v>233</v>
      </c>
      <c r="B214" s="131"/>
      <c r="C214" s="128" t="s">
        <v>50</v>
      </c>
      <c r="D214" s="51" t="s">
        <v>71</v>
      </c>
      <c r="E214" s="53">
        <v>45643.0</v>
      </c>
      <c r="F214" s="56" t="str">
        <f t="shared" si="1"/>
        <v>12/2024</v>
      </c>
      <c r="G214" s="57">
        <v>726.84</v>
      </c>
      <c r="H214" s="59">
        <f t="shared" si="7"/>
        <v>726.84</v>
      </c>
      <c r="I214" s="60">
        <v>45643.0</v>
      </c>
    </row>
    <row r="215" ht="22.5" customHeight="1">
      <c r="A215" s="43" t="s">
        <v>147</v>
      </c>
      <c r="B215" s="47" t="s">
        <v>148</v>
      </c>
      <c r="C215" s="50" t="s">
        <v>132</v>
      </c>
      <c r="D215" s="51" t="s">
        <v>76</v>
      </c>
      <c r="E215" s="53">
        <v>45646.0</v>
      </c>
      <c r="F215" s="56" t="str">
        <f t="shared" si="1"/>
        <v>12/2024</v>
      </c>
      <c r="G215" s="57">
        <v>71.6</v>
      </c>
      <c r="H215" s="79">
        <f t="shared" si="7"/>
        <v>71.6</v>
      </c>
      <c r="I215" s="60">
        <v>45646.0</v>
      </c>
    </row>
    <row r="216" ht="22.5" customHeight="1">
      <c r="A216" s="43" t="s">
        <v>147</v>
      </c>
      <c r="B216" s="47" t="s">
        <v>238</v>
      </c>
      <c r="C216" s="50" t="s">
        <v>132</v>
      </c>
      <c r="D216" s="51" t="s">
        <v>76</v>
      </c>
      <c r="E216" s="53">
        <v>45646.0</v>
      </c>
      <c r="F216" s="56" t="str">
        <f t="shared" si="1"/>
        <v>12/2024</v>
      </c>
      <c r="G216" s="57">
        <v>73.6</v>
      </c>
      <c r="H216" s="79">
        <f t="shared" si="7"/>
        <v>73.6</v>
      </c>
      <c r="I216" s="60">
        <v>45646.0</v>
      </c>
    </row>
    <row r="217" ht="22.5" customHeight="1">
      <c r="A217" s="43" t="s">
        <v>237</v>
      </c>
      <c r="B217" s="47"/>
      <c r="C217" s="50" t="s">
        <v>50</v>
      </c>
      <c r="D217" s="51" t="s">
        <v>71</v>
      </c>
      <c r="E217" s="53">
        <v>45647.0</v>
      </c>
      <c r="F217" s="56" t="str">
        <f t="shared" si="1"/>
        <v>12/2024</v>
      </c>
      <c r="G217" s="57">
        <v>829.0</v>
      </c>
      <c r="H217" s="59">
        <f t="shared" si="7"/>
        <v>829</v>
      </c>
      <c r="I217" s="60">
        <v>45646.0</v>
      </c>
    </row>
    <row r="218" ht="22.5" customHeight="1">
      <c r="A218" s="43" t="s">
        <v>18</v>
      </c>
      <c r="B218" s="47"/>
      <c r="C218" s="50" t="s">
        <v>50</v>
      </c>
      <c r="D218" s="51" t="s">
        <v>71</v>
      </c>
      <c r="E218" s="53">
        <v>45649.0</v>
      </c>
      <c r="F218" s="56" t="str">
        <f t="shared" si="1"/>
        <v>12/2024</v>
      </c>
      <c r="G218" s="57">
        <v>525.65</v>
      </c>
      <c r="H218" s="59">
        <f t="shared" si="7"/>
        <v>525.65</v>
      </c>
      <c r="I218" s="60">
        <v>45649.0</v>
      </c>
    </row>
    <row r="219" ht="22.5" customHeight="1">
      <c r="A219" s="43" t="s">
        <v>239</v>
      </c>
      <c r="B219" s="47" t="s">
        <v>240</v>
      </c>
      <c r="C219" s="50" t="s">
        <v>67</v>
      </c>
      <c r="D219" s="51" t="s">
        <v>67</v>
      </c>
      <c r="E219" s="53">
        <v>45650.0</v>
      </c>
      <c r="F219" s="56" t="str">
        <f t="shared" si="1"/>
        <v>12/2024</v>
      </c>
      <c r="G219" s="57">
        <v>749.78</v>
      </c>
      <c r="H219" s="59">
        <f t="shared" si="7"/>
        <v>749.78</v>
      </c>
      <c r="I219" s="60">
        <v>45646.0</v>
      </c>
    </row>
    <row r="220" ht="22.5" customHeight="1">
      <c r="A220" s="127" t="s">
        <v>134</v>
      </c>
      <c r="B220" s="47" t="s">
        <v>168</v>
      </c>
      <c r="C220" s="128" t="s">
        <v>67</v>
      </c>
      <c r="D220" s="51" t="s">
        <v>71</v>
      </c>
      <c r="E220" s="53">
        <v>45650.0</v>
      </c>
      <c r="F220" s="56" t="str">
        <f t="shared" si="1"/>
        <v>12/2024</v>
      </c>
      <c r="G220" s="57">
        <v>924.7</v>
      </c>
      <c r="H220" s="59">
        <f t="shared" si="7"/>
        <v>924.7</v>
      </c>
      <c r="I220" s="60">
        <v>45646.0</v>
      </c>
    </row>
    <row r="221" ht="22.5" customHeight="1">
      <c r="A221" s="43" t="s">
        <v>138</v>
      </c>
      <c r="B221" s="47"/>
      <c r="C221" s="50" t="s">
        <v>67</v>
      </c>
      <c r="D221" s="51" t="s">
        <v>71</v>
      </c>
      <c r="E221" s="53">
        <v>45651.0</v>
      </c>
      <c r="F221" s="56" t="str">
        <f t="shared" si="1"/>
        <v>12/2024</v>
      </c>
      <c r="G221" s="57">
        <v>7698.04</v>
      </c>
      <c r="H221" s="79">
        <f t="shared" si="7"/>
        <v>7698.04</v>
      </c>
      <c r="I221" s="60">
        <v>45650.0</v>
      </c>
    </row>
    <row r="222" ht="22.5" customHeight="1">
      <c r="A222" s="43" t="s">
        <v>235</v>
      </c>
      <c r="B222" s="47"/>
      <c r="C222" s="50" t="s">
        <v>50</v>
      </c>
      <c r="D222" s="51" t="s">
        <v>71</v>
      </c>
      <c r="E222" s="53">
        <v>45653.0</v>
      </c>
      <c r="F222" s="56" t="str">
        <f t="shared" si="1"/>
        <v>12/2024</v>
      </c>
      <c r="G222" s="57">
        <v>1148.26</v>
      </c>
      <c r="H222" s="59">
        <f t="shared" si="7"/>
        <v>1148.26</v>
      </c>
      <c r="I222" s="60">
        <v>45650.0</v>
      </c>
    </row>
    <row r="223" ht="22.5" customHeight="1">
      <c r="A223" s="127" t="s">
        <v>233</v>
      </c>
      <c r="B223" s="131"/>
      <c r="C223" s="128" t="s">
        <v>50</v>
      </c>
      <c r="D223" s="51" t="s">
        <v>71</v>
      </c>
      <c r="E223" s="53">
        <v>45658.0</v>
      </c>
      <c r="F223" s="56" t="str">
        <f t="shared" si="1"/>
        <v>1/2025</v>
      </c>
      <c r="G223" s="57">
        <v>377.08</v>
      </c>
      <c r="H223" s="59">
        <f t="shared" si="7"/>
        <v>377.08</v>
      </c>
      <c r="I223" s="60">
        <v>45659.0</v>
      </c>
    </row>
    <row r="224" ht="22.5" customHeight="1">
      <c r="A224" s="127" t="s">
        <v>130</v>
      </c>
      <c r="B224" s="47" t="s">
        <v>131</v>
      </c>
      <c r="C224" s="128" t="s">
        <v>132</v>
      </c>
      <c r="D224" s="51" t="s">
        <v>68</v>
      </c>
      <c r="E224" s="53">
        <v>45659.0</v>
      </c>
      <c r="F224" s="56" t="str">
        <f t="shared" si="1"/>
        <v>1/2025</v>
      </c>
      <c r="G224" s="57">
        <v>118.1</v>
      </c>
      <c r="H224" s="59">
        <f t="shared" si="7"/>
        <v>118.1</v>
      </c>
      <c r="I224" s="60">
        <v>45663.0</v>
      </c>
    </row>
    <row r="225" ht="22.5" customHeight="1">
      <c r="A225" s="43" t="s">
        <v>176</v>
      </c>
      <c r="B225" s="47"/>
      <c r="C225" s="50" t="s">
        <v>67</v>
      </c>
      <c r="D225" s="51" t="s">
        <v>67</v>
      </c>
      <c r="E225" s="53">
        <v>45664.0</v>
      </c>
      <c r="F225" s="56" t="str">
        <f t="shared" si="1"/>
        <v>1/2025</v>
      </c>
      <c r="G225" s="57">
        <v>1231.13</v>
      </c>
      <c r="H225" s="79">
        <f t="shared" si="7"/>
        <v>1231.13</v>
      </c>
      <c r="I225" s="60">
        <v>45664.0</v>
      </c>
    </row>
    <row r="226" ht="22.5" customHeight="1">
      <c r="A226" s="43" t="s">
        <v>134</v>
      </c>
      <c r="B226" s="47" t="s">
        <v>135</v>
      </c>
      <c r="C226" s="50" t="s">
        <v>67</v>
      </c>
      <c r="D226" s="51" t="s">
        <v>71</v>
      </c>
      <c r="E226" s="53">
        <v>45665.0</v>
      </c>
      <c r="F226" s="56" t="str">
        <f t="shared" si="1"/>
        <v>1/2025</v>
      </c>
      <c r="G226" s="57">
        <v>1787.62</v>
      </c>
      <c r="H226" s="59">
        <f t="shared" si="7"/>
        <v>1787.62</v>
      </c>
      <c r="I226" s="60">
        <v>45660.0</v>
      </c>
    </row>
    <row r="227" ht="22.5" customHeight="1">
      <c r="A227" s="43" t="s">
        <v>82</v>
      </c>
      <c r="B227" s="47" t="s">
        <v>83</v>
      </c>
      <c r="C227" s="50" t="s">
        <v>67</v>
      </c>
      <c r="D227" s="51" t="s">
        <v>71</v>
      </c>
      <c r="E227" s="53">
        <v>45665.0</v>
      </c>
      <c r="F227" s="56" t="str">
        <f t="shared" si="1"/>
        <v>1/2025</v>
      </c>
      <c r="G227" s="57">
        <v>684.29</v>
      </c>
      <c r="H227" s="79">
        <v>699.22</v>
      </c>
      <c r="I227" s="60">
        <v>45664.0</v>
      </c>
    </row>
    <row r="228" ht="22.5" customHeight="1">
      <c r="A228" s="127" t="s">
        <v>136</v>
      </c>
      <c r="B228" s="47" t="s">
        <v>83</v>
      </c>
      <c r="C228" s="128" t="s">
        <v>132</v>
      </c>
      <c r="D228" s="51" t="s">
        <v>70</v>
      </c>
      <c r="E228" s="53">
        <v>45665.0</v>
      </c>
      <c r="F228" s="56" t="str">
        <f t="shared" si="1"/>
        <v>1/2025</v>
      </c>
      <c r="G228" s="57">
        <v>53.54</v>
      </c>
      <c r="H228" s="59">
        <f t="shared" ref="H228:H278" si="8">IF(I228,G228,0)</f>
        <v>53.54</v>
      </c>
      <c r="I228" s="60">
        <v>45667.0</v>
      </c>
    </row>
    <row r="229" ht="22.5" customHeight="1">
      <c r="A229" s="43" t="s">
        <v>137</v>
      </c>
      <c r="B229" s="47"/>
      <c r="C229" s="50" t="s">
        <v>132</v>
      </c>
      <c r="D229" s="51" t="s">
        <v>72</v>
      </c>
      <c r="E229" s="53">
        <v>45667.0</v>
      </c>
      <c r="F229" s="56" t="str">
        <f t="shared" si="1"/>
        <v>1/2025</v>
      </c>
      <c r="G229" s="57">
        <v>1200.0</v>
      </c>
      <c r="H229" s="79">
        <f t="shared" si="8"/>
        <v>1200</v>
      </c>
      <c r="I229" s="60">
        <v>45667.0</v>
      </c>
    </row>
    <row r="230" ht="22.5" customHeight="1">
      <c r="A230" s="43" t="s">
        <v>141</v>
      </c>
      <c r="B230" s="47"/>
      <c r="C230" s="50" t="s">
        <v>132</v>
      </c>
      <c r="D230" s="51" t="s">
        <v>75</v>
      </c>
      <c r="E230" s="53">
        <v>45667.0</v>
      </c>
      <c r="F230" s="56" t="str">
        <f t="shared" si="1"/>
        <v>1/2025</v>
      </c>
      <c r="G230" s="57">
        <v>129.9</v>
      </c>
      <c r="H230" s="79">
        <f t="shared" si="8"/>
        <v>129.9</v>
      </c>
      <c r="I230" s="60">
        <v>45667.0</v>
      </c>
    </row>
    <row r="231" ht="22.5" customHeight="1">
      <c r="A231" s="43" t="s">
        <v>141</v>
      </c>
      <c r="B231" s="47"/>
      <c r="C231" s="50" t="s">
        <v>132</v>
      </c>
      <c r="D231" s="51" t="s">
        <v>75</v>
      </c>
      <c r="E231" s="53">
        <v>45667.0</v>
      </c>
      <c r="F231" s="56" t="str">
        <f t="shared" si="1"/>
        <v>1/2025</v>
      </c>
      <c r="G231" s="57">
        <v>99.9</v>
      </c>
      <c r="H231" s="79">
        <f t="shared" si="8"/>
        <v>99.9</v>
      </c>
      <c r="I231" s="60">
        <v>45667.0</v>
      </c>
    </row>
    <row r="232" ht="22.5" customHeight="1">
      <c r="A232" s="43" t="s">
        <v>228</v>
      </c>
      <c r="B232" s="47"/>
      <c r="C232" s="50" t="s">
        <v>132</v>
      </c>
      <c r="D232" s="51" t="s">
        <v>77</v>
      </c>
      <c r="E232" s="53">
        <v>45667.0</v>
      </c>
      <c r="F232" s="56" t="str">
        <f t="shared" si="1"/>
        <v>1/2025</v>
      </c>
      <c r="G232" s="57">
        <v>285.98</v>
      </c>
      <c r="H232" s="79">
        <f t="shared" si="8"/>
        <v>285.98</v>
      </c>
      <c r="I232" s="60">
        <v>45668.0</v>
      </c>
    </row>
    <row r="233" ht="22.5" customHeight="1">
      <c r="A233" s="43" t="s">
        <v>140</v>
      </c>
      <c r="B233" s="47"/>
      <c r="C233" s="50" t="s">
        <v>132</v>
      </c>
      <c r="D233" s="51" t="s">
        <v>74</v>
      </c>
      <c r="E233" s="53">
        <v>45667.0</v>
      </c>
      <c r="F233" s="56" t="str">
        <f t="shared" si="1"/>
        <v>1/2025</v>
      </c>
      <c r="G233" s="57">
        <v>54.99</v>
      </c>
      <c r="H233" s="79">
        <f t="shared" si="8"/>
        <v>54.99</v>
      </c>
      <c r="I233" s="60">
        <v>45667.0</v>
      </c>
    </row>
    <row r="234" ht="22.5" customHeight="1">
      <c r="A234" s="127" t="s">
        <v>136</v>
      </c>
      <c r="B234" s="47" t="s">
        <v>131</v>
      </c>
      <c r="C234" s="128" t="s">
        <v>132</v>
      </c>
      <c r="D234" s="51" t="s">
        <v>70</v>
      </c>
      <c r="E234" s="53">
        <v>45667.0</v>
      </c>
      <c r="F234" s="56" t="str">
        <f t="shared" si="1"/>
        <v>1/2025</v>
      </c>
      <c r="G234" s="57">
        <v>80.0</v>
      </c>
      <c r="H234" s="59">
        <f t="shared" si="8"/>
        <v>80</v>
      </c>
      <c r="I234" s="60">
        <v>45667.0</v>
      </c>
    </row>
    <row r="235" ht="22.5" customHeight="1">
      <c r="A235" s="127" t="s">
        <v>130</v>
      </c>
      <c r="B235" s="47" t="s">
        <v>83</v>
      </c>
      <c r="C235" s="128" t="s">
        <v>132</v>
      </c>
      <c r="D235" s="51" t="s">
        <v>68</v>
      </c>
      <c r="E235" s="53">
        <v>45667.0</v>
      </c>
      <c r="F235" s="56" t="str">
        <f t="shared" si="1"/>
        <v>1/2025</v>
      </c>
      <c r="G235" s="57">
        <v>152.44</v>
      </c>
      <c r="H235" s="59">
        <f t="shared" si="8"/>
        <v>152.44</v>
      </c>
      <c r="I235" s="60">
        <v>45667.0</v>
      </c>
    </row>
    <row r="236" ht="22.5" customHeight="1">
      <c r="A236" s="127" t="s">
        <v>141</v>
      </c>
      <c r="B236" s="131"/>
      <c r="C236" s="128" t="s">
        <v>132</v>
      </c>
      <c r="D236" s="51" t="s">
        <v>75</v>
      </c>
      <c r="E236" s="53">
        <v>45667.0</v>
      </c>
      <c r="F236" s="56" t="str">
        <f t="shared" si="1"/>
        <v>1/2025</v>
      </c>
      <c r="G236" s="57">
        <v>129.9</v>
      </c>
      <c r="H236" s="59">
        <f t="shared" si="8"/>
        <v>129.9</v>
      </c>
      <c r="I236" s="60">
        <v>46024.0</v>
      </c>
    </row>
    <row r="237" ht="22.5" customHeight="1">
      <c r="A237" s="43" t="s">
        <v>143</v>
      </c>
      <c r="B237" s="47"/>
      <c r="C237" s="50" t="s">
        <v>67</v>
      </c>
      <c r="D237" s="51" t="s">
        <v>71</v>
      </c>
      <c r="E237" s="53">
        <v>45668.0</v>
      </c>
      <c r="F237" s="56" t="str">
        <f t="shared" si="1"/>
        <v>1/2025</v>
      </c>
      <c r="G237" s="57">
        <v>753.45</v>
      </c>
      <c r="H237" s="79">
        <f t="shared" si="8"/>
        <v>753.45</v>
      </c>
      <c r="I237" s="60">
        <v>45668.0</v>
      </c>
    </row>
    <row r="238" ht="22.5" customHeight="1">
      <c r="A238" s="43" t="s">
        <v>160</v>
      </c>
      <c r="B238" s="47"/>
      <c r="C238" s="50" t="s">
        <v>67</v>
      </c>
      <c r="D238" s="51" t="s">
        <v>67</v>
      </c>
      <c r="E238" s="53">
        <v>45672.0</v>
      </c>
      <c r="F238" s="56" t="str">
        <f t="shared" si="1"/>
        <v>1/2025</v>
      </c>
      <c r="G238" s="57">
        <v>1015.73</v>
      </c>
      <c r="H238" s="79">
        <f t="shared" si="8"/>
        <v>1015.73</v>
      </c>
      <c r="I238" s="60">
        <v>45672.0</v>
      </c>
    </row>
    <row r="239" ht="22.5" customHeight="1">
      <c r="A239" s="127" t="s">
        <v>1140</v>
      </c>
      <c r="B239" s="47" t="s">
        <v>135</v>
      </c>
      <c r="C239" s="128" t="s">
        <v>67</v>
      </c>
      <c r="D239" s="51" t="s">
        <v>67</v>
      </c>
      <c r="E239" s="53">
        <v>45674.0</v>
      </c>
      <c r="F239" s="56" t="str">
        <f t="shared" si="1"/>
        <v>1/2025</v>
      </c>
      <c r="G239" s="57">
        <v>1059.27</v>
      </c>
      <c r="H239" s="59">
        <f t="shared" si="8"/>
        <v>1059.27</v>
      </c>
      <c r="I239" s="60">
        <v>45674.0</v>
      </c>
    </row>
    <row r="240" ht="22.5" customHeight="1">
      <c r="A240" s="43" t="s">
        <v>147</v>
      </c>
      <c r="B240" s="47" t="s">
        <v>148</v>
      </c>
      <c r="C240" s="50" t="s">
        <v>132</v>
      </c>
      <c r="D240" s="51" t="s">
        <v>76</v>
      </c>
      <c r="E240" s="53">
        <v>45677.0</v>
      </c>
      <c r="F240" s="56" t="str">
        <f t="shared" si="1"/>
        <v>1/2025</v>
      </c>
      <c r="G240" s="57">
        <v>71.6</v>
      </c>
      <c r="H240" s="79">
        <f t="shared" si="8"/>
        <v>71.6</v>
      </c>
      <c r="I240" s="60">
        <v>45677.0</v>
      </c>
    </row>
    <row r="241" ht="22.5" customHeight="1">
      <c r="A241" s="43" t="s">
        <v>147</v>
      </c>
      <c r="B241" s="47" t="s">
        <v>238</v>
      </c>
      <c r="C241" s="50" t="s">
        <v>132</v>
      </c>
      <c r="D241" s="51" t="s">
        <v>76</v>
      </c>
      <c r="E241" s="53">
        <v>45677.0</v>
      </c>
      <c r="F241" s="56" t="str">
        <f t="shared" si="1"/>
        <v>1/2025</v>
      </c>
      <c r="G241" s="57">
        <v>76.6</v>
      </c>
      <c r="H241" s="79">
        <f t="shared" si="8"/>
        <v>76.6</v>
      </c>
      <c r="I241" s="60">
        <v>45677.0</v>
      </c>
    </row>
    <row r="242" ht="22.5" customHeight="1">
      <c r="A242" s="43" t="s">
        <v>18</v>
      </c>
      <c r="B242" s="47"/>
      <c r="C242" s="50" t="s">
        <v>50</v>
      </c>
      <c r="D242" s="51" t="s">
        <v>71</v>
      </c>
      <c r="E242" s="53">
        <v>45680.0</v>
      </c>
      <c r="F242" s="56" t="str">
        <f t="shared" si="1"/>
        <v>1/2025</v>
      </c>
      <c r="G242" s="57">
        <f>262.9+262.9</f>
        <v>525.8</v>
      </c>
      <c r="H242" s="59">
        <f t="shared" si="8"/>
        <v>525.8</v>
      </c>
      <c r="I242" s="136">
        <v>45680.0</v>
      </c>
    </row>
    <row r="243" ht="22.5" customHeight="1">
      <c r="A243" s="43" t="s">
        <v>239</v>
      </c>
      <c r="B243" s="47" t="s">
        <v>240</v>
      </c>
      <c r="C243" s="50" t="s">
        <v>67</v>
      </c>
      <c r="D243" s="51" t="s">
        <v>67</v>
      </c>
      <c r="E243" s="53">
        <v>45681.0</v>
      </c>
      <c r="F243" s="56" t="str">
        <f t="shared" si="1"/>
        <v>1/2025</v>
      </c>
      <c r="G243" s="57">
        <v>766.55</v>
      </c>
      <c r="H243" s="59">
        <f t="shared" si="8"/>
        <v>766.55</v>
      </c>
      <c r="I243" s="60">
        <v>45682.0</v>
      </c>
    </row>
    <row r="244" ht="22.5" customHeight="1">
      <c r="A244" s="127" t="s">
        <v>134</v>
      </c>
      <c r="B244" s="47" t="s">
        <v>168</v>
      </c>
      <c r="C244" s="128" t="s">
        <v>67</v>
      </c>
      <c r="D244" s="51" t="s">
        <v>67</v>
      </c>
      <c r="E244" s="53">
        <v>45681.0</v>
      </c>
      <c r="F244" s="56" t="str">
        <f t="shared" si="1"/>
        <v>1/2025</v>
      </c>
      <c r="G244" s="57">
        <v>1087.6</v>
      </c>
      <c r="H244" s="59">
        <f t="shared" si="8"/>
        <v>1087.6</v>
      </c>
      <c r="I244" s="136">
        <v>45681.0</v>
      </c>
    </row>
    <row r="245" ht="22.5" customHeight="1">
      <c r="A245" s="43" t="s">
        <v>138</v>
      </c>
      <c r="B245" s="47"/>
      <c r="C245" s="50" t="s">
        <v>67</v>
      </c>
      <c r="D245" s="51" t="s">
        <v>71</v>
      </c>
      <c r="E245" s="53">
        <v>45682.0</v>
      </c>
      <c r="F245" s="56" t="str">
        <f t="shared" si="1"/>
        <v>1/2025</v>
      </c>
      <c r="G245" s="57">
        <v>8773.09</v>
      </c>
      <c r="H245" s="79">
        <f t="shared" si="8"/>
        <v>8773.09</v>
      </c>
      <c r="I245" s="60">
        <v>45682.0</v>
      </c>
    </row>
    <row r="246" ht="22.5" customHeight="1">
      <c r="A246" s="43" t="s">
        <v>235</v>
      </c>
      <c r="B246" s="47"/>
      <c r="C246" s="50" t="s">
        <v>50</v>
      </c>
      <c r="D246" s="51" t="s">
        <v>71</v>
      </c>
      <c r="E246" s="53">
        <v>45683.0</v>
      </c>
      <c r="F246" s="56" t="str">
        <f t="shared" si="1"/>
        <v>1/2025</v>
      </c>
      <c r="G246" s="57">
        <v>1148.26</v>
      </c>
      <c r="H246" s="59">
        <f t="shared" si="8"/>
        <v>1148.26</v>
      </c>
      <c r="I246" s="60">
        <v>45684.0</v>
      </c>
    </row>
    <row r="247" ht="22.5" customHeight="1">
      <c r="A247" s="127" t="s">
        <v>130</v>
      </c>
      <c r="B247" s="47" t="s">
        <v>131</v>
      </c>
      <c r="C247" s="128" t="s">
        <v>132</v>
      </c>
      <c r="D247" s="51" t="s">
        <v>68</v>
      </c>
      <c r="E247" s="53">
        <v>45690.0</v>
      </c>
      <c r="F247" s="56" t="str">
        <f t="shared" si="1"/>
        <v>2/2025</v>
      </c>
      <c r="G247" s="57">
        <v>91.35</v>
      </c>
      <c r="H247" s="59">
        <f t="shared" si="8"/>
        <v>91.35</v>
      </c>
      <c r="I247" s="60">
        <v>45691.0</v>
      </c>
    </row>
    <row r="248" ht="22.5" customHeight="1">
      <c r="A248" s="43" t="s">
        <v>176</v>
      </c>
      <c r="B248" s="47"/>
      <c r="C248" s="50" t="s">
        <v>67</v>
      </c>
      <c r="D248" s="51" t="s">
        <v>67</v>
      </c>
      <c r="E248" s="53">
        <v>45695.0</v>
      </c>
      <c r="F248" s="56" t="str">
        <f t="shared" si="1"/>
        <v>2/2025</v>
      </c>
      <c r="G248" s="57">
        <v>1231.13</v>
      </c>
      <c r="H248" s="59">
        <f t="shared" si="8"/>
        <v>1231.13</v>
      </c>
      <c r="I248" s="60">
        <v>45695.0</v>
      </c>
    </row>
    <row r="249" ht="22.5" customHeight="1">
      <c r="A249" s="43" t="s">
        <v>134</v>
      </c>
      <c r="B249" s="47" t="s">
        <v>135</v>
      </c>
      <c r="C249" s="50" t="s">
        <v>67</v>
      </c>
      <c r="D249" s="51" t="s">
        <v>71</v>
      </c>
      <c r="E249" s="53">
        <v>45696.0</v>
      </c>
      <c r="F249" s="56" t="str">
        <f t="shared" si="1"/>
        <v>2/2025</v>
      </c>
      <c r="G249" s="57">
        <v>2339.78</v>
      </c>
      <c r="H249" s="59">
        <f t="shared" si="8"/>
        <v>2339.78</v>
      </c>
      <c r="I249" s="60">
        <v>45695.0</v>
      </c>
    </row>
    <row r="250" ht="22.5" customHeight="1">
      <c r="A250" s="43" t="s">
        <v>82</v>
      </c>
      <c r="B250" s="47" t="s">
        <v>83</v>
      </c>
      <c r="C250" s="50" t="s">
        <v>67</v>
      </c>
      <c r="D250" s="51" t="s">
        <v>71</v>
      </c>
      <c r="E250" s="53">
        <v>45696.0</v>
      </c>
      <c r="F250" s="56" t="str">
        <f t="shared" si="1"/>
        <v>2/2025</v>
      </c>
      <c r="G250" s="57">
        <v>699.22</v>
      </c>
      <c r="H250" s="79">
        <f t="shared" si="8"/>
        <v>699.22</v>
      </c>
      <c r="I250" s="60">
        <v>45695.0</v>
      </c>
    </row>
    <row r="251" ht="22.5" customHeight="1">
      <c r="A251" s="127" t="s">
        <v>136</v>
      </c>
      <c r="B251" s="47" t="s">
        <v>83</v>
      </c>
      <c r="C251" s="128" t="s">
        <v>132</v>
      </c>
      <c r="D251" s="51" t="s">
        <v>70</v>
      </c>
      <c r="E251" s="53">
        <v>45696.0</v>
      </c>
      <c r="F251" s="56" t="str">
        <f t="shared" si="1"/>
        <v>2/2025</v>
      </c>
      <c r="G251" s="57">
        <v>58.93</v>
      </c>
      <c r="H251" s="59">
        <f t="shared" si="8"/>
        <v>58.93</v>
      </c>
      <c r="I251" s="60">
        <v>45707.0</v>
      </c>
    </row>
    <row r="252" ht="22.5" customHeight="1">
      <c r="A252" s="43" t="s">
        <v>137</v>
      </c>
      <c r="B252" s="47"/>
      <c r="C252" s="50" t="s">
        <v>132</v>
      </c>
      <c r="D252" s="51" t="s">
        <v>72</v>
      </c>
      <c r="E252" s="53">
        <v>45698.0</v>
      </c>
      <c r="F252" s="56" t="str">
        <f t="shared" si="1"/>
        <v>2/2025</v>
      </c>
      <c r="G252" s="57">
        <v>1200.0</v>
      </c>
      <c r="H252" s="79">
        <f t="shared" si="8"/>
        <v>1200</v>
      </c>
      <c r="I252" s="60">
        <v>45699.0</v>
      </c>
    </row>
    <row r="253" ht="22.5" customHeight="1">
      <c r="A253" s="43" t="s">
        <v>141</v>
      </c>
      <c r="B253" s="47"/>
      <c r="C253" s="50" t="s">
        <v>132</v>
      </c>
      <c r="D253" s="51" t="s">
        <v>75</v>
      </c>
      <c r="E253" s="53">
        <v>45698.0</v>
      </c>
      <c r="F253" s="56" t="str">
        <f t="shared" si="1"/>
        <v>2/2025</v>
      </c>
      <c r="G253" s="57">
        <v>129.9</v>
      </c>
      <c r="H253" s="79">
        <f t="shared" si="8"/>
        <v>129.9</v>
      </c>
      <c r="I253" s="60">
        <v>45698.0</v>
      </c>
    </row>
    <row r="254" ht="22.5" customHeight="1">
      <c r="A254" s="43" t="s">
        <v>141</v>
      </c>
      <c r="B254" s="47"/>
      <c r="C254" s="50" t="s">
        <v>132</v>
      </c>
      <c r="D254" s="51" t="s">
        <v>75</v>
      </c>
      <c r="E254" s="53">
        <v>45698.0</v>
      </c>
      <c r="F254" s="56" t="str">
        <f t="shared" si="1"/>
        <v>2/2025</v>
      </c>
      <c r="G254" s="57">
        <v>99.9</v>
      </c>
      <c r="H254" s="79">
        <f t="shared" si="8"/>
        <v>99.9</v>
      </c>
      <c r="I254" s="60">
        <v>45698.0</v>
      </c>
    </row>
    <row r="255" ht="22.5" customHeight="1">
      <c r="A255" s="43" t="s">
        <v>140</v>
      </c>
      <c r="B255" s="47"/>
      <c r="C255" s="50" t="s">
        <v>132</v>
      </c>
      <c r="D255" s="51" t="s">
        <v>74</v>
      </c>
      <c r="E255" s="53">
        <v>45698.0</v>
      </c>
      <c r="F255" s="56" t="str">
        <f t="shared" si="1"/>
        <v>2/2025</v>
      </c>
      <c r="G255" s="57">
        <v>60.99</v>
      </c>
      <c r="H255" s="79">
        <f t="shared" si="8"/>
        <v>60.99</v>
      </c>
      <c r="I255" s="60">
        <v>45699.0</v>
      </c>
    </row>
    <row r="256" ht="22.5" customHeight="1">
      <c r="A256" s="127" t="s">
        <v>130</v>
      </c>
      <c r="B256" s="47" t="s">
        <v>83</v>
      </c>
      <c r="C256" s="128" t="s">
        <v>132</v>
      </c>
      <c r="D256" s="51" t="s">
        <v>68</v>
      </c>
      <c r="E256" s="53">
        <v>45698.0</v>
      </c>
      <c r="F256" s="56" t="str">
        <f t="shared" si="1"/>
        <v>2/2025</v>
      </c>
      <c r="G256" s="57">
        <v>176.03</v>
      </c>
      <c r="H256" s="59">
        <f t="shared" si="8"/>
        <v>176.03</v>
      </c>
      <c r="I256" s="60">
        <v>45698.0</v>
      </c>
    </row>
    <row r="257" ht="22.5" customHeight="1">
      <c r="A257" s="127" t="s">
        <v>136</v>
      </c>
      <c r="B257" s="47" t="s">
        <v>131</v>
      </c>
      <c r="C257" s="128" t="s">
        <v>132</v>
      </c>
      <c r="D257" s="51" t="s">
        <v>70</v>
      </c>
      <c r="E257" s="53">
        <v>45698.0</v>
      </c>
      <c r="F257" s="56" t="str">
        <f t="shared" si="1"/>
        <v>2/2025</v>
      </c>
      <c r="G257" s="57">
        <v>80.0</v>
      </c>
      <c r="H257" s="59">
        <f t="shared" si="8"/>
        <v>80</v>
      </c>
      <c r="I257" s="60">
        <v>45698.0</v>
      </c>
    </row>
    <row r="258" ht="22.5" customHeight="1">
      <c r="A258" s="43" t="s">
        <v>143</v>
      </c>
      <c r="B258" s="47"/>
      <c r="C258" s="50" t="s">
        <v>67</v>
      </c>
      <c r="D258" s="51" t="s">
        <v>71</v>
      </c>
      <c r="E258" s="53">
        <v>45699.0</v>
      </c>
      <c r="F258" s="56" t="str">
        <f t="shared" si="1"/>
        <v>2/2025</v>
      </c>
      <c r="G258" s="57">
        <v>917.47</v>
      </c>
      <c r="H258" s="79">
        <f t="shared" si="8"/>
        <v>917.47</v>
      </c>
      <c r="I258" s="60">
        <v>45699.0</v>
      </c>
    </row>
    <row r="259" ht="22.5" customHeight="1">
      <c r="A259" s="127" t="s">
        <v>233</v>
      </c>
      <c r="B259" s="131"/>
      <c r="C259" s="128" t="s">
        <v>50</v>
      </c>
      <c r="D259" s="51" t="s">
        <v>71</v>
      </c>
      <c r="E259" s="53">
        <v>45702.0</v>
      </c>
      <c r="F259" s="56" t="str">
        <f t="shared" si="1"/>
        <v>2/2025</v>
      </c>
      <c r="G259" s="57">
        <v>604.01</v>
      </c>
      <c r="H259" s="59">
        <f t="shared" si="8"/>
        <v>604.01</v>
      </c>
      <c r="I259" s="60">
        <v>45702.0</v>
      </c>
    </row>
    <row r="260" ht="22.5" customHeight="1">
      <c r="A260" s="43" t="s">
        <v>160</v>
      </c>
      <c r="B260" s="47"/>
      <c r="C260" s="50" t="s">
        <v>67</v>
      </c>
      <c r="D260" s="51" t="s">
        <v>67</v>
      </c>
      <c r="E260" s="53">
        <v>45703.0</v>
      </c>
      <c r="F260" s="56" t="str">
        <f t="shared" si="1"/>
        <v>2/2025</v>
      </c>
      <c r="G260" s="57">
        <v>1015.63</v>
      </c>
      <c r="H260" s="79">
        <f t="shared" si="8"/>
        <v>1015.63</v>
      </c>
      <c r="I260" s="60">
        <v>45703.0</v>
      </c>
    </row>
    <row r="261" ht="22.5" customHeight="1">
      <c r="A261" s="127" t="s">
        <v>1140</v>
      </c>
      <c r="B261" s="47" t="s">
        <v>135</v>
      </c>
      <c r="C261" s="128" t="s">
        <v>67</v>
      </c>
      <c r="D261" s="51" t="s">
        <v>67</v>
      </c>
      <c r="E261" s="53">
        <v>45705.0</v>
      </c>
      <c r="F261" s="56" t="str">
        <f t="shared" si="1"/>
        <v>2/2025</v>
      </c>
      <c r="G261" s="57">
        <v>1041.08</v>
      </c>
      <c r="H261" s="59">
        <f t="shared" si="8"/>
        <v>1041.08</v>
      </c>
      <c r="I261" s="60">
        <v>45705.0</v>
      </c>
    </row>
    <row r="262" ht="22.5" customHeight="1">
      <c r="A262" s="43" t="s">
        <v>147</v>
      </c>
      <c r="B262" s="47" t="s">
        <v>148</v>
      </c>
      <c r="C262" s="50" t="s">
        <v>132</v>
      </c>
      <c r="D262" s="51" t="s">
        <v>76</v>
      </c>
      <c r="E262" s="53">
        <v>45708.0</v>
      </c>
      <c r="F262" s="56" t="str">
        <f t="shared" si="1"/>
        <v>2/2025</v>
      </c>
      <c r="G262" s="57">
        <v>76.9</v>
      </c>
      <c r="H262" s="79">
        <f t="shared" si="8"/>
        <v>76.9</v>
      </c>
      <c r="I262" s="60">
        <v>45708.0</v>
      </c>
    </row>
    <row r="263" ht="22.5" customHeight="1">
      <c r="A263" s="43" t="s">
        <v>147</v>
      </c>
      <c r="B263" s="47" t="s">
        <v>238</v>
      </c>
      <c r="C263" s="50" t="s">
        <v>132</v>
      </c>
      <c r="D263" s="51" t="s">
        <v>76</v>
      </c>
      <c r="E263" s="53">
        <v>45708.0</v>
      </c>
      <c r="F263" s="56" t="str">
        <f t="shared" si="1"/>
        <v>2/2025</v>
      </c>
      <c r="G263" s="57">
        <v>81.9</v>
      </c>
      <c r="H263" s="79">
        <f t="shared" si="8"/>
        <v>81.9</v>
      </c>
      <c r="I263" s="60">
        <v>45708.0</v>
      </c>
    </row>
    <row r="264" ht="22.5" customHeight="1">
      <c r="A264" s="127" t="s">
        <v>134</v>
      </c>
      <c r="B264" s="47" t="s">
        <v>168</v>
      </c>
      <c r="C264" s="128" t="s">
        <v>67</v>
      </c>
      <c r="D264" s="51" t="s">
        <v>67</v>
      </c>
      <c r="E264" s="53">
        <v>45712.0</v>
      </c>
      <c r="F264" s="56" t="str">
        <f t="shared" si="1"/>
        <v>2/2025</v>
      </c>
      <c r="G264" s="57">
        <v>365.89</v>
      </c>
      <c r="H264" s="59">
        <f t="shared" si="8"/>
        <v>365.89</v>
      </c>
      <c r="I264" s="60">
        <v>45712.0</v>
      </c>
    </row>
    <row r="265" ht="22.5" customHeight="1">
      <c r="A265" s="43" t="s">
        <v>235</v>
      </c>
      <c r="B265" s="47"/>
      <c r="C265" s="50" t="s">
        <v>50</v>
      </c>
      <c r="D265" s="51" t="s">
        <v>71</v>
      </c>
      <c r="E265" s="53">
        <v>45713.0</v>
      </c>
      <c r="F265" s="56" t="str">
        <f t="shared" si="1"/>
        <v>2/2025</v>
      </c>
      <c r="G265" s="57">
        <v>1148.26</v>
      </c>
      <c r="H265" s="59">
        <f t="shared" si="8"/>
        <v>1148.26</v>
      </c>
      <c r="I265" s="60">
        <v>45713.0</v>
      </c>
    </row>
    <row r="266" ht="22.5" customHeight="1">
      <c r="A266" s="43" t="s">
        <v>138</v>
      </c>
      <c r="B266" s="47"/>
      <c r="C266" s="50" t="s">
        <v>67</v>
      </c>
      <c r="D266" s="51" t="s">
        <v>71</v>
      </c>
      <c r="E266" s="53">
        <v>45713.0</v>
      </c>
      <c r="F266" s="56" t="str">
        <f t="shared" si="1"/>
        <v>2/2025</v>
      </c>
      <c r="G266" s="57">
        <v>7419.99</v>
      </c>
      <c r="H266" s="79">
        <f t="shared" si="8"/>
        <v>7419.99</v>
      </c>
      <c r="I266" s="60">
        <v>45712.0</v>
      </c>
    </row>
    <row r="267" ht="22.5" customHeight="1">
      <c r="A267" s="127" t="s">
        <v>130</v>
      </c>
      <c r="B267" s="47" t="s">
        <v>131</v>
      </c>
      <c r="C267" s="128" t="s">
        <v>132</v>
      </c>
      <c r="D267" s="51" t="s">
        <v>68</v>
      </c>
      <c r="E267" s="53">
        <v>45718.0</v>
      </c>
      <c r="F267" s="56" t="str">
        <f t="shared" si="1"/>
        <v>3/2025</v>
      </c>
      <c r="G267" s="57">
        <v>98.13</v>
      </c>
      <c r="H267" s="59">
        <f t="shared" si="8"/>
        <v>98.13</v>
      </c>
      <c r="I267" s="60">
        <v>45721.0</v>
      </c>
    </row>
    <row r="268" ht="22.5" customHeight="1">
      <c r="A268" s="43" t="s">
        <v>176</v>
      </c>
      <c r="B268" s="47"/>
      <c r="C268" s="50" t="s">
        <v>67</v>
      </c>
      <c r="D268" s="51" t="s">
        <v>67</v>
      </c>
      <c r="E268" s="53">
        <v>45723.0</v>
      </c>
      <c r="F268" s="56" t="str">
        <f t="shared" si="1"/>
        <v>3/2025</v>
      </c>
      <c r="G268" s="57">
        <v>1231.13</v>
      </c>
      <c r="H268" s="59">
        <f t="shared" si="8"/>
        <v>1231.13</v>
      </c>
      <c r="I268" s="60">
        <v>45722.0</v>
      </c>
    </row>
    <row r="269" ht="22.5" customHeight="1">
      <c r="A269" s="43" t="s">
        <v>134</v>
      </c>
      <c r="B269" s="47" t="s">
        <v>135</v>
      </c>
      <c r="C269" s="50" t="s">
        <v>67</v>
      </c>
      <c r="D269" s="51" t="s">
        <v>71</v>
      </c>
      <c r="E269" s="53">
        <v>45724.0</v>
      </c>
      <c r="F269" s="56" t="str">
        <f t="shared" si="1"/>
        <v>3/2025</v>
      </c>
      <c r="G269" s="57">
        <v>1471.42</v>
      </c>
      <c r="H269" s="59">
        <f t="shared" si="8"/>
        <v>1471.42</v>
      </c>
      <c r="I269" s="60">
        <v>45722.0</v>
      </c>
    </row>
    <row r="270" ht="22.5" customHeight="1">
      <c r="A270" s="43" t="s">
        <v>82</v>
      </c>
      <c r="B270" s="47" t="s">
        <v>83</v>
      </c>
      <c r="C270" s="50" t="s">
        <v>67</v>
      </c>
      <c r="D270" s="51" t="s">
        <v>71</v>
      </c>
      <c r="E270" s="53">
        <v>45724.0</v>
      </c>
      <c r="F270" s="56" t="str">
        <f t="shared" si="1"/>
        <v>3/2025</v>
      </c>
      <c r="G270" s="57">
        <v>699.22</v>
      </c>
      <c r="H270" s="79">
        <f t="shared" si="8"/>
        <v>699.22</v>
      </c>
      <c r="I270" s="60">
        <v>45722.0</v>
      </c>
    </row>
    <row r="271" ht="22.5" customHeight="1">
      <c r="A271" s="127" t="s">
        <v>136</v>
      </c>
      <c r="B271" s="47" t="s">
        <v>83</v>
      </c>
      <c r="C271" s="128" t="s">
        <v>132</v>
      </c>
      <c r="D271" s="51" t="s">
        <v>70</v>
      </c>
      <c r="E271" s="53">
        <v>45724.0</v>
      </c>
      <c r="F271" s="56" t="str">
        <f t="shared" si="1"/>
        <v>3/2025</v>
      </c>
      <c r="G271" s="57">
        <v>53.54</v>
      </c>
      <c r="H271" s="59">
        <f t="shared" si="8"/>
        <v>53.54</v>
      </c>
      <c r="I271" s="60">
        <v>45721.0</v>
      </c>
    </row>
    <row r="272" ht="22.5" customHeight="1">
      <c r="A272" s="43" t="s">
        <v>137</v>
      </c>
      <c r="B272" s="47"/>
      <c r="C272" s="50" t="s">
        <v>132</v>
      </c>
      <c r="D272" s="51" t="s">
        <v>72</v>
      </c>
      <c r="E272" s="53">
        <v>45726.0</v>
      </c>
      <c r="F272" s="56" t="str">
        <f t="shared" si="1"/>
        <v>3/2025</v>
      </c>
      <c r="G272" s="57">
        <v>1200.0</v>
      </c>
      <c r="H272" s="79">
        <f t="shared" si="8"/>
        <v>1200</v>
      </c>
      <c r="I272" s="60">
        <v>45726.0</v>
      </c>
    </row>
    <row r="273" ht="22.5" customHeight="1">
      <c r="A273" s="43" t="s">
        <v>141</v>
      </c>
      <c r="B273" s="47"/>
      <c r="C273" s="50" t="s">
        <v>132</v>
      </c>
      <c r="D273" s="51" t="s">
        <v>75</v>
      </c>
      <c r="E273" s="53">
        <v>45726.0</v>
      </c>
      <c r="F273" s="56" t="str">
        <f t="shared" si="1"/>
        <v>3/2025</v>
      </c>
      <c r="G273" s="57">
        <v>129.9</v>
      </c>
      <c r="H273" s="79">
        <f t="shared" si="8"/>
        <v>129.9</v>
      </c>
      <c r="I273" s="60">
        <v>45722.0</v>
      </c>
    </row>
    <row r="274" ht="22.5" customHeight="1">
      <c r="A274" s="43" t="s">
        <v>141</v>
      </c>
      <c r="B274" s="47"/>
      <c r="C274" s="50" t="s">
        <v>132</v>
      </c>
      <c r="D274" s="51" t="s">
        <v>75</v>
      </c>
      <c r="E274" s="53">
        <v>45726.0</v>
      </c>
      <c r="F274" s="56" t="str">
        <f t="shared" si="1"/>
        <v>3/2025</v>
      </c>
      <c r="G274" s="57">
        <v>99.9</v>
      </c>
      <c r="H274" s="79">
        <f t="shared" si="8"/>
        <v>99.9</v>
      </c>
      <c r="I274" s="60">
        <v>45722.0</v>
      </c>
    </row>
    <row r="275" ht="22.5" customHeight="1">
      <c r="A275" s="43" t="s">
        <v>140</v>
      </c>
      <c r="B275" s="47"/>
      <c r="C275" s="50" t="s">
        <v>132</v>
      </c>
      <c r="D275" s="51" t="s">
        <v>74</v>
      </c>
      <c r="E275" s="53">
        <v>45726.0</v>
      </c>
      <c r="F275" s="56" t="str">
        <f t="shared" si="1"/>
        <v>3/2025</v>
      </c>
      <c r="G275" s="57">
        <v>60.97</v>
      </c>
      <c r="H275" s="79">
        <f t="shared" si="8"/>
        <v>60.97</v>
      </c>
      <c r="I275" s="60">
        <v>45726.0</v>
      </c>
    </row>
    <row r="276" ht="22.5" customHeight="1">
      <c r="A276" s="127" t="s">
        <v>130</v>
      </c>
      <c r="B276" s="47" t="s">
        <v>83</v>
      </c>
      <c r="C276" s="128" t="s">
        <v>132</v>
      </c>
      <c r="D276" s="51" t="s">
        <v>68</v>
      </c>
      <c r="E276" s="53">
        <v>45726.0</v>
      </c>
      <c r="F276" s="56" t="str">
        <f t="shared" si="1"/>
        <v>3/2025</v>
      </c>
      <c r="G276" s="57">
        <v>178.33</v>
      </c>
      <c r="H276" s="59">
        <f t="shared" si="8"/>
        <v>178.33</v>
      </c>
      <c r="I276" s="60">
        <v>45721.0</v>
      </c>
    </row>
    <row r="277" ht="22.5" customHeight="1">
      <c r="A277" s="127" t="s">
        <v>136</v>
      </c>
      <c r="B277" s="47" t="s">
        <v>131</v>
      </c>
      <c r="C277" s="128" t="s">
        <v>132</v>
      </c>
      <c r="D277" s="51" t="s">
        <v>70</v>
      </c>
      <c r="E277" s="53">
        <v>45726.0</v>
      </c>
      <c r="F277" s="56" t="str">
        <f t="shared" si="1"/>
        <v>3/2025</v>
      </c>
      <c r="G277" s="57">
        <v>80.0</v>
      </c>
      <c r="H277" s="59">
        <f t="shared" si="8"/>
        <v>80</v>
      </c>
      <c r="I277" s="60">
        <v>45726.0</v>
      </c>
    </row>
    <row r="278" ht="22.5" customHeight="1">
      <c r="A278" s="43" t="s">
        <v>143</v>
      </c>
      <c r="B278" s="47"/>
      <c r="C278" s="50" t="s">
        <v>67</v>
      </c>
      <c r="D278" s="51" t="s">
        <v>71</v>
      </c>
      <c r="E278" s="53">
        <v>45727.0</v>
      </c>
      <c r="F278" s="56" t="str">
        <f t="shared" si="1"/>
        <v>3/2025</v>
      </c>
      <c r="G278" s="57">
        <v>917.47</v>
      </c>
      <c r="H278" s="79">
        <f t="shared" si="8"/>
        <v>917.47</v>
      </c>
      <c r="I278" s="60">
        <v>45727.0</v>
      </c>
    </row>
    <row r="279" ht="22.5" customHeight="1">
      <c r="A279" s="43" t="s">
        <v>239</v>
      </c>
      <c r="B279" s="47" t="s">
        <v>1669</v>
      </c>
      <c r="C279" s="50" t="s">
        <v>67</v>
      </c>
      <c r="D279" s="51" t="s">
        <v>67</v>
      </c>
      <c r="E279" s="53">
        <v>45730.0</v>
      </c>
      <c r="F279" s="56" t="str">
        <f t="shared" si="1"/>
        <v>3/2025</v>
      </c>
      <c r="G279" s="57">
        <v>822.13</v>
      </c>
      <c r="H279" s="79">
        <v>807.58</v>
      </c>
      <c r="I279" s="60">
        <v>45722.0</v>
      </c>
    </row>
    <row r="280" ht="22.5" customHeight="1">
      <c r="A280" s="43" t="s">
        <v>160</v>
      </c>
      <c r="B280" s="47"/>
      <c r="C280" s="50" t="s">
        <v>67</v>
      </c>
      <c r="D280" s="51" t="s">
        <v>67</v>
      </c>
      <c r="E280" s="53">
        <v>45731.0</v>
      </c>
      <c r="F280" s="56" t="str">
        <f t="shared" si="1"/>
        <v>3/2025</v>
      </c>
      <c r="G280" s="57">
        <v>1015.63</v>
      </c>
      <c r="H280" s="79">
        <v>1015.73</v>
      </c>
      <c r="I280" s="60">
        <v>45731.0</v>
      </c>
    </row>
    <row r="281" ht="22.5" customHeight="1">
      <c r="A281" s="127" t="s">
        <v>1140</v>
      </c>
      <c r="B281" s="47" t="s">
        <v>135</v>
      </c>
      <c r="C281" s="128" t="s">
        <v>67</v>
      </c>
      <c r="D281" s="51" t="s">
        <v>67</v>
      </c>
      <c r="E281" s="53">
        <v>45733.0</v>
      </c>
      <c r="F281" s="56" t="str">
        <f t="shared" si="1"/>
        <v>3/2025</v>
      </c>
      <c r="G281" s="57">
        <v>1263.16</v>
      </c>
      <c r="H281" s="59">
        <f t="shared" ref="H281:H283" si="9">IF(I281,G281,0)</f>
        <v>1263.16</v>
      </c>
      <c r="I281" s="60">
        <v>45733.0</v>
      </c>
    </row>
    <row r="282" ht="22.5" customHeight="1">
      <c r="A282" s="43" t="s">
        <v>147</v>
      </c>
      <c r="B282" s="47" t="s">
        <v>148</v>
      </c>
      <c r="C282" s="50" t="s">
        <v>132</v>
      </c>
      <c r="D282" s="51" t="s">
        <v>76</v>
      </c>
      <c r="E282" s="53">
        <v>45736.0</v>
      </c>
      <c r="F282" s="56" t="str">
        <f t="shared" si="1"/>
        <v>3/2025</v>
      </c>
      <c r="G282" s="57">
        <v>76.9</v>
      </c>
      <c r="H282" s="79">
        <f t="shared" si="9"/>
        <v>76.9</v>
      </c>
      <c r="I282" s="60">
        <v>45736.0</v>
      </c>
    </row>
    <row r="283" ht="22.5" customHeight="1">
      <c r="A283" s="43" t="s">
        <v>147</v>
      </c>
      <c r="B283" s="47" t="s">
        <v>238</v>
      </c>
      <c r="C283" s="50" t="s">
        <v>132</v>
      </c>
      <c r="D283" s="51" t="s">
        <v>76</v>
      </c>
      <c r="E283" s="53">
        <v>45736.0</v>
      </c>
      <c r="F283" s="56" t="str">
        <f t="shared" si="1"/>
        <v>3/2025</v>
      </c>
      <c r="G283" s="57">
        <v>81.6</v>
      </c>
      <c r="H283" s="79">
        <f t="shared" si="9"/>
        <v>81.6</v>
      </c>
      <c r="I283" s="60">
        <v>45736.0</v>
      </c>
    </row>
    <row r="284" ht="22.5" customHeight="1">
      <c r="A284" s="43" t="s">
        <v>239</v>
      </c>
      <c r="B284" s="47" t="s">
        <v>240</v>
      </c>
      <c r="C284" s="50" t="s">
        <v>67</v>
      </c>
      <c r="D284" s="51" t="s">
        <v>67</v>
      </c>
      <c r="E284" s="53">
        <v>45737.0</v>
      </c>
      <c r="F284" s="56" t="str">
        <f t="shared" si="1"/>
        <v>3/2025</v>
      </c>
      <c r="G284" s="57">
        <v>539.04</v>
      </c>
      <c r="H284" s="79">
        <v>534.25</v>
      </c>
      <c r="I284" s="60">
        <v>45733.0</v>
      </c>
    </row>
    <row r="285" ht="22.5" customHeight="1">
      <c r="A285" s="127" t="s">
        <v>15</v>
      </c>
      <c r="B285" s="131"/>
      <c r="C285" s="128" t="s">
        <v>50</v>
      </c>
      <c r="D285" s="51" t="s">
        <v>71</v>
      </c>
      <c r="E285" s="53">
        <v>45738.0</v>
      </c>
      <c r="F285" s="56" t="str">
        <f t="shared" si="1"/>
        <v>3/2025</v>
      </c>
      <c r="G285" s="57">
        <v>478.33</v>
      </c>
      <c r="H285" s="59">
        <f t="shared" ref="H285:H288" si="10">IF(I285,G285,0)</f>
        <v>478.33</v>
      </c>
      <c r="I285" s="60">
        <v>45740.0</v>
      </c>
    </row>
    <row r="286" ht="22.5" customHeight="1">
      <c r="A286" s="127" t="s">
        <v>134</v>
      </c>
      <c r="B286" s="47" t="s">
        <v>168</v>
      </c>
      <c r="C286" s="128" t="s">
        <v>67</v>
      </c>
      <c r="D286" s="51" t="s">
        <v>67</v>
      </c>
      <c r="E286" s="53">
        <v>45740.0</v>
      </c>
      <c r="F286" s="56" t="str">
        <f t="shared" si="1"/>
        <v>3/2025</v>
      </c>
      <c r="G286" s="57">
        <v>483.74</v>
      </c>
      <c r="H286" s="59">
        <f t="shared" si="10"/>
        <v>483.74</v>
      </c>
      <c r="I286" s="60">
        <v>45733.0</v>
      </c>
    </row>
    <row r="287" ht="22.5" customHeight="1">
      <c r="A287" s="43" t="s">
        <v>138</v>
      </c>
      <c r="B287" s="47"/>
      <c r="C287" s="50" t="s">
        <v>67</v>
      </c>
      <c r="D287" s="51" t="s">
        <v>71</v>
      </c>
      <c r="E287" s="53">
        <v>45741.0</v>
      </c>
      <c r="F287" s="56" t="str">
        <f t="shared" si="1"/>
        <v>3/2025</v>
      </c>
      <c r="G287" s="57">
        <v>7632.05</v>
      </c>
      <c r="H287" s="79">
        <f t="shared" si="10"/>
        <v>7632.05</v>
      </c>
      <c r="I287" s="60">
        <v>45741.0</v>
      </c>
    </row>
    <row r="288" ht="22.5" customHeight="1">
      <c r="A288" s="127" t="s">
        <v>130</v>
      </c>
      <c r="B288" s="47" t="s">
        <v>131</v>
      </c>
      <c r="C288" s="128" t="s">
        <v>132</v>
      </c>
      <c r="D288" s="51" t="s">
        <v>68</v>
      </c>
      <c r="E288" s="53">
        <v>45749.0</v>
      </c>
      <c r="F288" s="56" t="str">
        <f t="shared" si="1"/>
        <v>4/2025</v>
      </c>
      <c r="G288" s="57">
        <v>90.77</v>
      </c>
      <c r="H288" s="59">
        <f t="shared" si="10"/>
        <v>90.77</v>
      </c>
      <c r="I288" s="60">
        <v>45748.0</v>
      </c>
    </row>
    <row r="289" ht="22.5" customHeight="1">
      <c r="A289" s="43" t="s">
        <v>176</v>
      </c>
      <c r="B289" s="47"/>
      <c r="C289" s="50" t="s">
        <v>67</v>
      </c>
      <c r="D289" s="51" t="s">
        <v>67</v>
      </c>
      <c r="E289" s="53">
        <v>45754.0</v>
      </c>
      <c r="F289" s="56" t="str">
        <f t="shared" si="1"/>
        <v>4/2025</v>
      </c>
      <c r="G289" s="57">
        <v>1231.13</v>
      </c>
      <c r="H289" s="79">
        <v>1226.49</v>
      </c>
      <c r="I289" s="60">
        <v>45748.0</v>
      </c>
    </row>
    <row r="290" ht="22.5" customHeight="1">
      <c r="A290" s="43" t="s">
        <v>134</v>
      </c>
      <c r="B290" s="47" t="s">
        <v>135</v>
      </c>
      <c r="C290" s="50" t="s">
        <v>67</v>
      </c>
      <c r="D290" s="51" t="s">
        <v>71</v>
      </c>
      <c r="E290" s="53">
        <v>45755.0</v>
      </c>
      <c r="F290" s="56" t="str">
        <f t="shared" si="1"/>
        <v>4/2025</v>
      </c>
      <c r="G290" s="57">
        <v>1627.41</v>
      </c>
      <c r="H290" s="59">
        <f t="shared" ref="H290:H298" si="11">IF(I290,G290,0)</f>
        <v>1627.41</v>
      </c>
      <c r="I290" s="60">
        <v>45748.0</v>
      </c>
    </row>
    <row r="291" ht="22.5" customHeight="1">
      <c r="A291" s="43" t="s">
        <v>82</v>
      </c>
      <c r="B291" s="47" t="s">
        <v>83</v>
      </c>
      <c r="C291" s="50" t="s">
        <v>67</v>
      </c>
      <c r="D291" s="51" t="s">
        <v>71</v>
      </c>
      <c r="E291" s="53">
        <v>45755.0</v>
      </c>
      <c r="F291" s="56" t="str">
        <f t="shared" si="1"/>
        <v>4/2025</v>
      </c>
      <c r="G291" s="57">
        <v>1619.31</v>
      </c>
      <c r="H291" s="79">
        <f t="shared" si="11"/>
        <v>1619.31</v>
      </c>
      <c r="I291" s="60">
        <v>45748.0</v>
      </c>
    </row>
    <row r="292" ht="22.5" customHeight="1">
      <c r="A292" s="127" t="s">
        <v>136</v>
      </c>
      <c r="B292" s="47" t="s">
        <v>83</v>
      </c>
      <c r="C292" s="128" t="s">
        <v>132</v>
      </c>
      <c r="D292" s="51" t="s">
        <v>70</v>
      </c>
      <c r="E292" s="53">
        <v>45755.0</v>
      </c>
      <c r="F292" s="56" t="str">
        <f t="shared" si="1"/>
        <v>4/2025</v>
      </c>
      <c r="G292" s="57">
        <v>56.43</v>
      </c>
      <c r="H292" s="59">
        <f t="shared" si="11"/>
        <v>56.43</v>
      </c>
      <c r="I292" s="60">
        <v>45748.0</v>
      </c>
    </row>
    <row r="293" ht="22.5" customHeight="1">
      <c r="A293" s="43" t="s">
        <v>137</v>
      </c>
      <c r="B293" s="47"/>
      <c r="C293" s="50" t="s">
        <v>132</v>
      </c>
      <c r="D293" s="51" t="s">
        <v>72</v>
      </c>
      <c r="E293" s="53">
        <v>45757.0</v>
      </c>
      <c r="F293" s="56" t="str">
        <f t="shared" si="1"/>
        <v>4/2025</v>
      </c>
      <c r="G293" s="57">
        <v>1200.0</v>
      </c>
      <c r="H293" s="79">
        <f t="shared" si="11"/>
        <v>1200</v>
      </c>
      <c r="I293" s="60">
        <v>45757.0</v>
      </c>
    </row>
    <row r="294" ht="22.5" customHeight="1">
      <c r="A294" s="43" t="s">
        <v>141</v>
      </c>
      <c r="B294" s="47"/>
      <c r="C294" s="50" t="s">
        <v>132</v>
      </c>
      <c r="D294" s="51" t="s">
        <v>75</v>
      </c>
      <c r="E294" s="53">
        <v>45757.0</v>
      </c>
      <c r="F294" s="56" t="str">
        <f t="shared" si="1"/>
        <v>4/2025</v>
      </c>
      <c r="G294" s="57">
        <v>129.9</v>
      </c>
      <c r="H294" s="79">
        <f t="shared" si="11"/>
        <v>129.9</v>
      </c>
      <c r="I294" s="60">
        <v>45757.0</v>
      </c>
    </row>
    <row r="295" ht="22.5" customHeight="1">
      <c r="A295" s="43" t="s">
        <v>141</v>
      </c>
      <c r="B295" s="47"/>
      <c r="C295" s="50" t="s">
        <v>132</v>
      </c>
      <c r="D295" s="51" t="s">
        <v>75</v>
      </c>
      <c r="E295" s="53">
        <v>45757.0</v>
      </c>
      <c r="F295" s="56" t="str">
        <f t="shared" si="1"/>
        <v>4/2025</v>
      </c>
      <c r="G295" s="57">
        <v>99.9</v>
      </c>
      <c r="H295" s="79">
        <f t="shared" si="11"/>
        <v>99.9</v>
      </c>
      <c r="I295" s="60">
        <v>45757.0</v>
      </c>
    </row>
    <row r="296" ht="22.5" customHeight="1">
      <c r="A296" s="127" t="s">
        <v>130</v>
      </c>
      <c r="B296" s="47" t="s">
        <v>83</v>
      </c>
      <c r="C296" s="128" t="s">
        <v>132</v>
      </c>
      <c r="D296" s="51" t="s">
        <v>68</v>
      </c>
      <c r="E296" s="53">
        <v>45757.0</v>
      </c>
      <c r="F296" s="56" t="str">
        <f t="shared" si="1"/>
        <v>4/2025</v>
      </c>
      <c r="G296" s="57">
        <v>183.39</v>
      </c>
      <c r="H296" s="59">
        <f t="shared" si="11"/>
        <v>183.39</v>
      </c>
      <c r="I296" s="60">
        <v>45748.0</v>
      </c>
    </row>
    <row r="297" ht="22.5" customHeight="1">
      <c r="A297" s="127" t="s">
        <v>136</v>
      </c>
      <c r="B297" s="47" t="s">
        <v>131</v>
      </c>
      <c r="C297" s="128" t="s">
        <v>132</v>
      </c>
      <c r="D297" s="51" t="s">
        <v>70</v>
      </c>
      <c r="E297" s="53">
        <v>45757.0</v>
      </c>
      <c r="F297" s="56" t="str">
        <f t="shared" si="1"/>
        <v>4/2025</v>
      </c>
      <c r="G297" s="57">
        <v>80.0</v>
      </c>
      <c r="H297" s="59">
        <f t="shared" si="11"/>
        <v>80</v>
      </c>
      <c r="I297" s="60">
        <v>45757.0</v>
      </c>
    </row>
    <row r="298" ht="22.5" customHeight="1">
      <c r="A298" s="43" t="s">
        <v>143</v>
      </c>
      <c r="B298" s="47"/>
      <c r="C298" s="50" t="s">
        <v>67</v>
      </c>
      <c r="D298" s="51" t="s">
        <v>71</v>
      </c>
      <c r="E298" s="53">
        <v>45758.0</v>
      </c>
      <c r="F298" s="56" t="str">
        <f t="shared" si="1"/>
        <v>4/2025</v>
      </c>
      <c r="G298" s="57">
        <v>978.43</v>
      </c>
      <c r="H298" s="79">
        <f t="shared" si="11"/>
        <v>978.43</v>
      </c>
      <c r="I298" s="60">
        <v>45758.0</v>
      </c>
    </row>
    <row r="299" ht="22.5" customHeight="1">
      <c r="A299" s="43" t="s">
        <v>239</v>
      </c>
      <c r="B299" s="47" t="s">
        <v>1669</v>
      </c>
      <c r="C299" s="50" t="s">
        <v>67</v>
      </c>
      <c r="D299" s="51" t="s">
        <v>67</v>
      </c>
      <c r="E299" s="53">
        <v>45761.0</v>
      </c>
      <c r="F299" s="56" t="str">
        <f t="shared" si="1"/>
        <v>4/2025</v>
      </c>
      <c r="G299" s="57">
        <v>822.13</v>
      </c>
      <c r="H299" s="79">
        <v>800.86</v>
      </c>
      <c r="I299" s="60">
        <v>45748.0</v>
      </c>
    </row>
    <row r="300" ht="22.5" customHeight="1">
      <c r="A300" s="43" t="s">
        <v>160</v>
      </c>
      <c r="B300" s="47"/>
      <c r="C300" s="50" t="s">
        <v>67</v>
      </c>
      <c r="D300" s="51" t="s">
        <v>67</v>
      </c>
      <c r="E300" s="53">
        <v>45762.0</v>
      </c>
      <c r="F300" s="56" t="str">
        <f t="shared" si="1"/>
        <v>4/2025</v>
      </c>
      <c r="G300" s="57">
        <v>1015.73</v>
      </c>
      <c r="H300" s="79">
        <f t="shared" ref="H300:H307" si="12">IF(I300,G300,0)</f>
        <v>1015.73</v>
      </c>
      <c r="I300" s="60">
        <v>45762.0</v>
      </c>
    </row>
    <row r="301" ht="22.5" customHeight="1">
      <c r="A301" s="127" t="s">
        <v>1140</v>
      </c>
      <c r="B301" s="47" t="s">
        <v>135</v>
      </c>
      <c r="C301" s="128" t="s">
        <v>67</v>
      </c>
      <c r="D301" s="51" t="s">
        <v>67</v>
      </c>
      <c r="E301" s="53">
        <v>45764.0</v>
      </c>
      <c r="F301" s="56" t="str">
        <f t="shared" si="1"/>
        <v>4/2025</v>
      </c>
      <c r="G301" s="57">
        <v>1142.51</v>
      </c>
      <c r="H301" s="59">
        <f t="shared" si="12"/>
        <v>1142.51</v>
      </c>
      <c r="I301" s="60">
        <v>45764.0</v>
      </c>
    </row>
    <row r="302" ht="22.5" customHeight="1">
      <c r="A302" s="43" t="s">
        <v>147</v>
      </c>
      <c r="B302" s="47" t="s">
        <v>148</v>
      </c>
      <c r="C302" s="50" t="s">
        <v>132</v>
      </c>
      <c r="D302" s="51" t="s">
        <v>76</v>
      </c>
      <c r="E302" s="53">
        <v>45767.0</v>
      </c>
      <c r="F302" s="56" t="str">
        <f t="shared" si="1"/>
        <v>4/2025</v>
      </c>
      <c r="G302" s="57">
        <v>76.9</v>
      </c>
      <c r="H302" s="79">
        <f t="shared" si="12"/>
        <v>76.9</v>
      </c>
      <c r="I302" s="60">
        <v>45769.0</v>
      </c>
    </row>
    <row r="303" ht="22.5" customHeight="1">
      <c r="A303" s="43" t="s">
        <v>147</v>
      </c>
      <c r="B303" s="47" t="s">
        <v>238</v>
      </c>
      <c r="C303" s="50" t="s">
        <v>132</v>
      </c>
      <c r="D303" s="51" t="s">
        <v>76</v>
      </c>
      <c r="E303" s="53">
        <v>45767.0</v>
      </c>
      <c r="F303" s="56" t="str">
        <f t="shared" si="1"/>
        <v>4/2025</v>
      </c>
      <c r="G303" s="57">
        <v>81.9</v>
      </c>
      <c r="H303" s="79">
        <f t="shared" si="12"/>
        <v>81.9</v>
      </c>
      <c r="I303" s="60">
        <v>45769.0</v>
      </c>
    </row>
    <row r="304" ht="22.5" customHeight="1">
      <c r="A304" s="43" t="s">
        <v>239</v>
      </c>
      <c r="B304" s="47" t="s">
        <v>240</v>
      </c>
      <c r="C304" s="50" t="s">
        <v>67</v>
      </c>
      <c r="D304" s="51" t="s">
        <v>67</v>
      </c>
      <c r="E304" s="53">
        <v>45768.0</v>
      </c>
      <c r="F304" s="56" t="str">
        <f t="shared" si="1"/>
        <v>4/2025</v>
      </c>
      <c r="G304" s="57">
        <v>539.04</v>
      </c>
      <c r="H304" s="59">
        <f t="shared" si="12"/>
        <v>539.04</v>
      </c>
      <c r="I304" s="60">
        <v>45769.0</v>
      </c>
    </row>
    <row r="305" ht="22.5" customHeight="1">
      <c r="A305" s="127" t="s">
        <v>15</v>
      </c>
      <c r="B305" s="131"/>
      <c r="C305" s="128" t="s">
        <v>50</v>
      </c>
      <c r="D305" s="51" t="s">
        <v>71</v>
      </c>
      <c r="E305" s="53">
        <v>45768.0</v>
      </c>
      <c r="F305" s="56" t="str">
        <f t="shared" si="1"/>
        <v>4/2025</v>
      </c>
      <c r="G305" s="57">
        <v>478.33</v>
      </c>
      <c r="H305" s="59">
        <f t="shared" si="12"/>
        <v>478.33</v>
      </c>
      <c r="I305" s="60">
        <v>45769.0</v>
      </c>
    </row>
    <row r="306" ht="22.5" customHeight="1">
      <c r="A306" s="127" t="s">
        <v>134</v>
      </c>
      <c r="B306" s="47" t="s">
        <v>168</v>
      </c>
      <c r="C306" s="128" t="s">
        <v>67</v>
      </c>
      <c r="D306" s="51" t="s">
        <v>67</v>
      </c>
      <c r="E306" s="53">
        <v>45771.0</v>
      </c>
      <c r="F306" s="56" t="str">
        <f t="shared" si="1"/>
        <v>4/2025</v>
      </c>
      <c r="G306" s="57">
        <v>220.33</v>
      </c>
      <c r="H306" s="59">
        <f t="shared" si="12"/>
        <v>220.33</v>
      </c>
      <c r="I306" s="60">
        <v>45771.0</v>
      </c>
    </row>
    <row r="307" ht="22.5" customHeight="1">
      <c r="A307" s="43" t="s">
        <v>138</v>
      </c>
      <c r="B307" s="47"/>
      <c r="C307" s="50" t="s">
        <v>67</v>
      </c>
      <c r="D307" s="51" t="s">
        <v>71</v>
      </c>
      <c r="E307" s="53">
        <v>45772.0</v>
      </c>
      <c r="F307" s="56" t="str">
        <f t="shared" si="1"/>
        <v>4/2025</v>
      </c>
      <c r="G307" s="57">
        <v>8362.29</v>
      </c>
      <c r="H307" s="79">
        <f t="shared" si="12"/>
        <v>8362.29</v>
      </c>
      <c r="I307" s="60">
        <v>45772.0</v>
      </c>
    </row>
    <row r="308" ht="22.5" customHeight="1">
      <c r="A308" s="127" t="s">
        <v>233</v>
      </c>
      <c r="B308" s="131"/>
      <c r="C308" s="128" t="s">
        <v>50</v>
      </c>
      <c r="D308" s="51" t="s">
        <v>71</v>
      </c>
      <c r="E308" s="53">
        <v>45772.0</v>
      </c>
      <c r="F308" s="56" t="str">
        <f t="shared" si="1"/>
        <v>4/2025</v>
      </c>
      <c r="G308" s="57">
        <v>560.75</v>
      </c>
      <c r="H308" s="79">
        <v>745.56</v>
      </c>
      <c r="I308" s="60">
        <v>45785.0</v>
      </c>
    </row>
    <row r="309" ht="22.5" customHeight="1">
      <c r="A309" s="127" t="s">
        <v>130</v>
      </c>
      <c r="B309" s="47" t="s">
        <v>131</v>
      </c>
      <c r="C309" s="128" t="s">
        <v>132</v>
      </c>
      <c r="D309" s="51" t="s">
        <v>68</v>
      </c>
      <c r="E309" s="53">
        <v>45779.0</v>
      </c>
      <c r="F309" s="56" t="str">
        <f t="shared" si="1"/>
        <v>5/2025</v>
      </c>
      <c r="G309" s="57">
        <v>89.87</v>
      </c>
      <c r="H309" s="59">
        <f>IF(I309,G309,0)</f>
        <v>89.87</v>
      </c>
      <c r="I309" s="60">
        <v>45779.0</v>
      </c>
    </row>
    <row r="310" ht="22.5" customHeight="1">
      <c r="A310" s="43" t="s">
        <v>176</v>
      </c>
      <c r="B310" s="47"/>
      <c r="C310" s="50" t="s">
        <v>67</v>
      </c>
      <c r="D310" s="51" t="s">
        <v>67</v>
      </c>
      <c r="E310" s="53">
        <v>45784.0</v>
      </c>
      <c r="F310" s="56" t="str">
        <f t="shared" si="1"/>
        <v>5/2025</v>
      </c>
      <c r="G310" s="57">
        <v>1231.13</v>
      </c>
      <c r="H310" s="79">
        <v>1227.42</v>
      </c>
      <c r="I310" s="60">
        <v>45779.0</v>
      </c>
    </row>
    <row r="311" ht="22.5" customHeight="1">
      <c r="A311" s="43" t="s">
        <v>134</v>
      </c>
      <c r="B311" s="47" t="s">
        <v>135</v>
      </c>
      <c r="C311" s="50" t="s">
        <v>67</v>
      </c>
      <c r="D311" s="51" t="s">
        <v>71</v>
      </c>
      <c r="E311" s="53">
        <v>45785.0</v>
      </c>
      <c r="F311" s="56" t="str">
        <f t="shared" si="1"/>
        <v>5/2025</v>
      </c>
      <c r="G311" s="57">
        <v>1729.59</v>
      </c>
      <c r="H311" s="59">
        <f t="shared" ref="H311:H319" si="13">IF(I311,G311,0)</f>
        <v>1729.59</v>
      </c>
      <c r="I311" s="60">
        <v>45779.0</v>
      </c>
    </row>
    <row r="312" ht="22.5" customHeight="1">
      <c r="A312" s="43" t="s">
        <v>82</v>
      </c>
      <c r="B312" s="47" t="s">
        <v>83</v>
      </c>
      <c r="C312" s="50" t="s">
        <v>67</v>
      </c>
      <c r="D312" s="51" t="s">
        <v>71</v>
      </c>
      <c r="E312" s="53">
        <v>45785.0</v>
      </c>
      <c r="F312" s="56" t="str">
        <f t="shared" si="1"/>
        <v>5/2025</v>
      </c>
      <c r="G312" s="57">
        <v>1619.32</v>
      </c>
      <c r="H312" s="59">
        <f t="shared" si="13"/>
        <v>1619.32</v>
      </c>
      <c r="I312" s="60">
        <v>45779.0</v>
      </c>
    </row>
    <row r="313" ht="22.5" customHeight="1">
      <c r="A313" s="127" t="s">
        <v>136</v>
      </c>
      <c r="B313" s="47" t="s">
        <v>83</v>
      </c>
      <c r="C313" s="128" t="s">
        <v>132</v>
      </c>
      <c r="D313" s="51" t="s">
        <v>70</v>
      </c>
      <c r="E313" s="53">
        <v>45785.0</v>
      </c>
      <c r="F313" s="56" t="str">
        <f t="shared" si="1"/>
        <v>5/2025</v>
      </c>
      <c r="G313" s="57">
        <v>53.54</v>
      </c>
      <c r="H313" s="59">
        <f t="shared" si="13"/>
        <v>53.54</v>
      </c>
      <c r="I313" s="60">
        <v>45779.0</v>
      </c>
    </row>
    <row r="314" ht="22.5" customHeight="1">
      <c r="A314" s="43" t="s">
        <v>137</v>
      </c>
      <c r="B314" s="47"/>
      <c r="C314" s="50" t="s">
        <v>132</v>
      </c>
      <c r="D314" s="51" t="s">
        <v>72</v>
      </c>
      <c r="E314" s="53">
        <v>45787.0</v>
      </c>
      <c r="F314" s="56" t="str">
        <f t="shared" si="1"/>
        <v>5/2025</v>
      </c>
      <c r="G314" s="57">
        <v>1200.0</v>
      </c>
      <c r="H314" s="79">
        <f t="shared" si="13"/>
        <v>1200</v>
      </c>
      <c r="I314" s="60">
        <v>45785.0</v>
      </c>
    </row>
    <row r="315" ht="22.5" customHeight="1">
      <c r="A315" s="43" t="s">
        <v>141</v>
      </c>
      <c r="B315" s="47"/>
      <c r="C315" s="50" t="s">
        <v>132</v>
      </c>
      <c r="D315" s="51" t="s">
        <v>75</v>
      </c>
      <c r="E315" s="53">
        <v>45787.0</v>
      </c>
      <c r="F315" s="56" t="str">
        <f t="shared" si="1"/>
        <v>5/2025</v>
      </c>
      <c r="G315" s="57">
        <v>129.9</v>
      </c>
      <c r="H315" s="79">
        <f t="shared" si="13"/>
        <v>129.9</v>
      </c>
      <c r="I315" s="60">
        <v>45779.0</v>
      </c>
    </row>
    <row r="316" ht="22.5" customHeight="1">
      <c r="A316" s="43" t="s">
        <v>141</v>
      </c>
      <c r="B316" s="47"/>
      <c r="C316" s="50" t="s">
        <v>132</v>
      </c>
      <c r="D316" s="51" t="s">
        <v>75</v>
      </c>
      <c r="E316" s="53">
        <v>45787.0</v>
      </c>
      <c r="F316" s="56" t="str">
        <f t="shared" si="1"/>
        <v>5/2025</v>
      </c>
      <c r="G316" s="57">
        <v>99.9</v>
      </c>
      <c r="H316" s="79">
        <f t="shared" si="13"/>
        <v>99.9</v>
      </c>
      <c r="I316" s="60">
        <v>45779.0</v>
      </c>
    </row>
    <row r="317" ht="22.5" customHeight="1">
      <c r="A317" s="127" t="s">
        <v>130</v>
      </c>
      <c r="B317" s="47" t="s">
        <v>83</v>
      </c>
      <c r="C317" s="128" t="s">
        <v>132</v>
      </c>
      <c r="D317" s="51" t="s">
        <v>68</v>
      </c>
      <c r="E317" s="53">
        <v>45787.0</v>
      </c>
      <c r="F317" s="56" t="str">
        <f t="shared" si="1"/>
        <v>5/2025</v>
      </c>
      <c r="G317" s="57">
        <v>178.35</v>
      </c>
      <c r="H317" s="59">
        <f t="shared" si="13"/>
        <v>178.35</v>
      </c>
      <c r="I317" s="60">
        <v>45779.0</v>
      </c>
    </row>
    <row r="318" ht="22.5" customHeight="1">
      <c r="A318" s="127" t="s">
        <v>136</v>
      </c>
      <c r="B318" s="47" t="s">
        <v>131</v>
      </c>
      <c r="C318" s="128" t="s">
        <v>132</v>
      </c>
      <c r="D318" s="51" t="s">
        <v>70</v>
      </c>
      <c r="E318" s="53">
        <v>45787.0</v>
      </c>
      <c r="F318" s="56" t="str">
        <f t="shared" si="1"/>
        <v>5/2025</v>
      </c>
      <c r="G318" s="57">
        <v>80.0</v>
      </c>
      <c r="H318" s="59">
        <f t="shared" si="13"/>
        <v>80</v>
      </c>
      <c r="I318" s="60">
        <v>45785.0</v>
      </c>
    </row>
    <row r="319" ht="22.5" customHeight="1">
      <c r="A319" s="43" t="s">
        <v>143</v>
      </c>
      <c r="B319" s="47"/>
      <c r="C319" s="50" t="s">
        <v>67</v>
      </c>
      <c r="D319" s="51" t="s">
        <v>71</v>
      </c>
      <c r="E319" s="53">
        <v>45788.0</v>
      </c>
      <c r="F319" s="56" t="str">
        <f t="shared" si="1"/>
        <v>5/2025</v>
      </c>
      <c r="G319" s="57">
        <v>173.31</v>
      </c>
      <c r="H319" s="79">
        <f t="shared" si="13"/>
        <v>173.31</v>
      </c>
      <c r="I319" s="60">
        <v>45790.0</v>
      </c>
    </row>
    <row r="320" ht="22.5" customHeight="1">
      <c r="A320" s="43" t="s">
        <v>239</v>
      </c>
      <c r="B320" s="47" t="s">
        <v>1669</v>
      </c>
      <c r="C320" s="50" t="s">
        <v>67</v>
      </c>
      <c r="D320" s="51" t="s">
        <v>67</v>
      </c>
      <c r="E320" s="53">
        <v>45791.0</v>
      </c>
      <c r="F320" s="56" t="str">
        <f t="shared" si="1"/>
        <v>5/2025</v>
      </c>
      <c r="G320" s="57">
        <v>822.13</v>
      </c>
      <c r="H320" s="79">
        <v>801.83</v>
      </c>
      <c r="I320" s="60">
        <v>45779.0</v>
      </c>
    </row>
    <row r="321" ht="22.5" customHeight="1">
      <c r="A321" s="43" t="s">
        <v>160</v>
      </c>
      <c r="B321" s="47"/>
      <c r="C321" s="50" t="s">
        <v>67</v>
      </c>
      <c r="D321" s="51" t="s">
        <v>67</v>
      </c>
      <c r="E321" s="53">
        <v>45792.0</v>
      </c>
      <c r="F321" s="56" t="str">
        <f t="shared" si="1"/>
        <v>5/2025</v>
      </c>
      <c r="G321" s="57">
        <v>1015.73</v>
      </c>
      <c r="H321" s="79">
        <f t="shared" ref="H321:H324" si="14">IF(I321,G321,0)</f>
        <v>1015.73</v>
      </c>
      <c r="I321" s="60">
        <v>45792.0</v>
      </c>
    </row>
    <row r="322" ht="22.5" customHeight="1">
      <c r="A322" s="127" t="s">
        <v>1140</v>
      </c>
      <c r="B322" s="47" t="s">
        <v>135</v>
      </c>
      <c r="C322" s="128" t="s">
        <v>67</v>
      </c>
      <c r="D322" s="51" t="s">
        <v>67</v>
      </c>
      <c r="E322" s="53">
        <v>45794.0</v>
      </c>
      <c r="F322" s="56" t="str">
        <f t="shared" si="1"/>
        <v>5/2025</v>
      </c>
      <c r="G322" s="57">
        <v>1486.1</v>
      </c>
      <c r="H322" s="59">
        <f t="shared" si="14"/>
        <v>1486.1</v>
      </c>
      <c r="I322" s="60">
        <v>45796.0</v>
      </c>
    </row>
    <row r="323" ht="22.5" customHeight="1">
      <c r="A323" s="43" t="s">
        <v>147</v>
      </c>
      <c r="B323" s="47" t="s">
        <v>148</v>
      </c>
      <c r="C323" s="50" t="s">
        <v>132</v>
      </c>
      <c r="D323" s="51" t="s">
        <v>76</v>
      </c>
      <c r="E323" s="53">
        <v>45797.0</v>
      </c>
      <c r="F323" s="56" t="str">
        <f t="shared" si="1"/>
        <v>5/2025</v>
      </c>
      <c r="G323" s="57">
        <v>76.9</v>
      </c>
      <c r="H323" s="79">
        <f t="shared" si="14"/>
        <v>76.9</v>
      </c>
      <c r="I323" s="60">
        <v>45797.0</v>
      </c>
    </row>
    <row r="324" ht="22.5" customHeight="1">
      <c r="A324" s="43" t="s">
        <v>147</v>
      </c>
      <c r="B324" s="47" t="s">
        <v>238</v>
      </c>
      <c r="C324" s="50" t="s">
        <v>132</v>
      </c>
      <c r="D324" s="51" t="s">
        <v>76</v>
      </c>
      <c r="E324" s="53">
        <v>45797.0</v>
      </c>
      <c r="F324" s="56" t="str">
        <f t="shared" si="1"/>
        <v>5/2025</v>
      </c>
      <c r="G324" s="57">
        <v>81.9</v>
      </c>
      <c r="H324" s="79">
        <f t="shared" si="14"/>
        <v>81.9</v>
      </c>
      <c r="I324" s="60">
        <v>45797.0</v>
      </c>
    </row>
    <row r="325" ht="22.5" customHeight="1">
      <c r="A325" s="43" t="s">
        <v>239</v>
      </c>
      <c r="B325" s="47" t="s">
        <v>240</v>
      </c>
      <c r="C325" s="50" t="s">
        <v>67</v>
      </c>
      <c r="D325" s="51" t="s">
        <v>67</v>
      </c>
      <c r="E325" s="53">
        <v>45798.0</v>
      </c>
      <c r="F325" s="56" t="str">
        <f t="shared" si="1"/>
        <v>5/2025</v>
      </c>
      <c r="G325" s="57">
        <v>539.04</v>
      </c>
      <c r="H325" s="79">
        <v>518.12</v>
      </c>
      <c r="I325" s="60">
        <v>45779.0</v>
      </c>
    </row>
    <row r="326" ht="22.5" customHeight="1">
      <c r="A326" s="127" t="s">
        <v>15</v>
      </c>
      <c r="B326" s="131"/>
      <c r="C326" s="128" t="s">
        <v>50</v>
      </c>
      <c r="D326" s="51" t="s">
        <v>71</v>
      </c>
      <c r="E326" s="53">
        <v>45798.0</v>
      </c>
      <c r="F326" s="56" t="str">
        <f t="shared" si="1"/>
        <v>5/2025</v>
      </c>
      <c r="G326" s="57">
        <v>478.33</v>
      </c>
      <c r="H326" s="59">
        <f t="shared" ref="H326:H329" si="15">IF(I326,G326,0)</f>
        <v>478.33</v>
      </c>
      <c r="I326" s="60">
        <v>45798.0</v>
      </c>
    </row>
    <row r="327" ht="22.5" customHeight="1">
      <c r="A327" s="127" t="s">
        <v>134</v>
      </c>
      <c r="B327" s="47" t="s">
        <v>168</v>
      </c>
      <c r="C327" s="128" t="s">
        <v>67</v>
      </c>
      <c r="D327" s="51" t="s">
        <v>67</v>
      </c>
      <c r="E327" s="53">
        <v>45801.0</v>
      </c>
      <c r="F327" s="56" t="str">
        <f t="shared" si="1"/>
        <v>5/2025</v>
      </c>
      <c r="G327" s="57">
        <v>517.22</v>
      </c>
      <c r="H327" s="59">
        <f t="shared" si="15"/>
        <v>517.22</v>
      </c>
      <c r="I327" s="60">
        <v>45803.0</v>
      </c>
    </row>
    <row r="328" ht="22.5" customHeight="1">
      <c r="A328" s="43" t="s">
        <v>138</v>
      </c>
      <c r="B328" s="47"/>
      <c r="C328" s="50" t="s">
        <v>67</v>
      </c>
      <c r="D328" s="51" t="s">
        <v>71</v>
      </c>
      <c r="E328" s="53">
        <v>45802.0</v>
      </c>
      <c r="F328" s="56" t="str">
        <f t="shared" si="1"/>
        <v>5/2025</v>
      </c>
      <c r="G328" s="57">
        <v>9173.42</v>
      </c>
      <c r="H328" s="59">
        <f t="shared" si="15"/>
        <v>9173.42</v>
      </c>
      <c r="I328" s="60">
        <v>45803.0</v>
      </c>
    </row>
    <row r="329" ht="22.5" customHeight="1">
      <c r="A329" s="127" t="s">
        <v>130</v>
      </c>
      <c r="B329" s="47" t="s">
        <v>131</v>
      </c>
      <c r="C329" s="128" t="s">
        <v>132</v>
      </c>
      <c r="D329" s="51" t="s">
        <v>68</v>
      </c>
      <c r="E329" s="53">
        <v>45810.0</v>
      </c>
      <c r="F329" s="56" t="str">
        <f t="shared" si="1"/>
        <v>6/2025</v>
      </c>
      <c r="G329" s="57">
        <v>101.62</v>
      </c>
      <c r="H329" s="59">
        <f t="shared" si="15"/>
        <v>101.62</v>
      </c>
      <c r="I329" s="60">
        <v>45810.0</v>
      </c>
    </row>
    <row r="330" ht="22.5" customHeight="1">
      <c r="A330" s="43" t="s">
        <v>176</v>
      </c>
      <c r="B330" s="47"/>
      <c r="C330" s="50" t="s">
        <v>67</v>
      </c>
      <c r="D330" s="51" t="s">
        <v>67</v>
      </c>
      <c r="E330" s="53">
        <v>45815.0</v>
      </c>
      <c r="F330" s="56" t="str">
        <f t="shared" si="1"/>
        <v>6/2025</v>
      </c>
      <c r="G330" s="57">
        <v>1231.13</v>
      </c>
      <c r="H330" s="79">
        <v>1227.42</v>
      </c>
      <c r="I330" s="60">
        <v>45810.0</v>
      </c>
    </row>
    <row r="331" ht="22.5" customHeight="1">
      <c r="A331" s="43" t="s">
        <v>82</v>
      </c>
      <c r="B331" s="47" t="s">
        <v>83</v>
      </c>
      <c r="C331" s="50" t="s">
        <v>67</v>
      </c>
      <c r="D331" s="51" t="s">
        <v>71</v>
      </c>
      <c r="E331" s="53">
        <v>45816.0</v>
      </c>
      <c r="F331" s="56" t="str">
        <f t="shared" si="1"/>
        <v>6/2025</v>
      </c>
      <c r="G331" s="57">
        <v>1619.32</v>
      </c>
      <c r="H331" s="59">
        <f t="shared" ref="H331:H339" si="16">IF(I331,G331,0)</f>
        <v>1619.32</v>
      </c>
      <c r="I331" s="60">
        <v>45810.0</v>
      </c>
    </row>
    <row r="332" ht="22.5" customHeight="1">
      <c r="A332" s="43" t="s">
        <v>134</v>
      </c>
      <c r="B332" s="47" t="s">
        <v>135</v>
      </c>
      <c r="C332" s="50" t="s">
        <v>67</v>
      </c>
      <c r="D332" s="51" t="s">
        <v>71</v>
      </c>
      <c r="E332" s="53">
        <v>45816.0</v>
      </c>
      <c r="F332" s="56" t="str">
        <f t="shared" si="1"/>
        <v>6/2025</v>
      </c>
      <c r="G332" s="57">
        <v>1674.64</v>
      </c>
      <c r="H332" s="59">
        <f t="shared" si="16"/>
        <v>1674.64</v>
      </c>
      <c r="I332" s="60">
        <v>45814.0</v>
      </c>
    </row>
    <row r="333" ht="22.5" customHeight="1">
      <c r="A333" s="127" t="s">
        <v>136</v>
      </c>
      <c r="B333" s="47" t="s">
        <v>83</v>
      </c>
      <c r="C333" s="128" t="s">
        <v>132</v>
      </c>
      <c r="D333" s="51" t="s">
        <v>70</v>
      </c>
      <c r="E333" s="53">
        <v>45816.0</v>
      </c>
      <c r="F333" s="56" t="str">
        <f t="shared" si="1"/>
        <v>6/2025</v>
      </c>
      <c r="G333" s="57">
        <v>53.81</v>
      </c>
      <c r="H333" s="59">
        <f t="shared" si="16"/>
        <v>53.81</v>
      </c>
      <c r="I333" s="60">
        <v>45810.0</v>
      </c>
    </row>
    <row r="334" ht="22.5" customHeight="1">
      <c r="A334" s="43" t="s">
        <v>137</v>
      </c>
      <c r="B334" s="47"/>
      <c r="C334" s="50" t="s">
        <v>132</v>
      </c>
      <c r="D334" s="51" t="s">
        <v>72</v>
      </c>
      <c r="E334" s="53">
        <v>45818.0</v>
      </c>
      <c r="F334" s="56" t="str">
        <f t="shared" si="1"/>
        <v>6/2025</v>
      </c>
      <c r="G334" s="57">
        <f>1200-167.24+80</f>
        <v>1112.76</v>
      </c>
      <c r="H334" s="79">
        <f t="shared" si="16"/>
        <v>1112.76</v>
      </c>
      <c r="I334" s="60">
        <v>45817.0</v>
      </c>
    </row>
    <row r="335" ht="22.5" customHeight="1">
      <c r="A335" s="43" t="s">
        <v>141</v>
      </c>
      <c r="B335" s="47"/>
      <c r="C335" s="50" t="s">
        <v>132</v>
      </c>
      <c r="D335" s="51" t="s">
        <v>75</v>
      </c>
      <c r="E335" s="53">
        <v>45818.0</v>
      </c>
      <c r="F335" s="56" t="str">
        <f t="shared" si="1"/>
        <v>6/2025</v>
      </c>
      <c r="G335" s="57">
        <v>129.9</v>
      </c>
      <c r="H335" s="79">
        <f t="shared" si="16"/>
        <v>129.9</v>
      </c>
      <c r="I335" s="60">
        <v>45810.0</v>
      </c>
    </row>
    <row r="336" ht="22.5" customHeight="1">
      <c r="A336" s="43" t="s">
        <v>141</v>
      </c>
      <c r="B336" s="47"/>
      <c r="C336" s="50" t="s">
        <v>132</v>
      </c>
      <c r="D336" s="51" t="s">
        <v>75</v>
      </c>
      <c r="E336" s="53">
        <v>45818.0</v>
      </c>
      <c r="F336" s="56" t="str">
        <f t="shared" si="1"/>
        <v>6/2025</v>
      </c>
      <c r="G336" s="57">
        <v>99.9</v>
      </c>
      <c r="H336" s="79">
        <f t="shared" si="16"/>
        <v>99.9</v>
      </c>
      <c r="I336" s="60">
        <v>45810.0</v>
      </c>
    </row>
    <row r="337" ht="22.5" customHeight="1">
      <c r="A337" s="127" t="s">
        <v>130</v>
      </c>
      <c r="B337" s="47" t="s">
        <v>83</v>
      </c>
      <c r="C337" s="128" t="s">
        <v>132</v>
      </c>
      <c r="D337" s="51" t="s">
        <v>68</v>
      </c>
      <c r="E337" s="53">
        <v>45818.0</v>
      </c>
      <c r="F337" s="56" t="str">
        <f t="shared" si="1"/>
        <v>6/2025</v>
      </c>
      <c r="G337" s="57">
        <v>220.18</v>
      </c>
      <c r="H337" s="59">
        <f t="shared" si="16"/>
        <v>220.18</v>
      </c>
      <c r="I337" s="60">
        <v>45810.0</v>
      </c>
    </row>
    <row r="338" ht="22.5" customHeight="1">
      <c r="A338" s="127" t="s">
        <v>136</v>
      </c>
      <c r="B338" s="47" t="s">
        <v>131</v>
      </c>
      <c r="C338" s="128" t="s">
        <v>132</v>
      </c>
      <c r="D338" s="51" t="s">
        <v>70</v>
      </c>
      <c r="E338" s="53">
        <v>45818.0</v>
      </c>
      <c r="F338" s="56" t="str">
        <f t="shared" si="1"/>
        <v>6/2025</v>
      </c>
      <c r="G338" s="57">
        <v>80.0</v>
      </c>
      <c r="H338" s="59">
        <f t="shared" si="16"/>
        <v>80</v>
      </c>
      <c r="I338" s="60">
        <v>45810.0</v>
      </c>
    </row>
    <row r="339" ht="22.5" customHeight="1">
      <c r="A339" s="43" t="s">
        <v>143</v>
      </c>
      <c r="B339" s="47"/>
      <c r="C339" s="50" t="s">
        <v>67</v>
      </c>
      <c r="D339" s="51" t="s">
        <v>71</v>
      </c>
      <c r="E339" s="53">
        <v>45819.0</v>
      </c>
      <c r="F339" s="56" t="str">
        <f t="shared" si="1"/>
        <v>6/2025</v>
      </c>
      <c r="G339" s="57">
        <v>148.63</v>
      </c>
      <c r="H339" s="79">
        <f t="shared" si="16"/>
        <v>148.63</v>
      </c>
      <c r="I339" s="60">
        <v>45819.0</v>
      </c>
    </row>
    <row r="340" ht="22.5" customHeight="1">
      <c r="A340" s="43" t="s">
        <v>239</v>
      </c>
      <c r="B340" s="47" t="s">
        <v>1669</v>
      </c>
      <c r="C340" s="50" t="s">
        <v>67</v>
      </c>
      <c r="D340" s="51" t="s">
        <v>67</v>
      </c>
      <c r="E340" s="53">
        <v>45822.0</v>
      </c>
      <c r="F340" s="56" t="str">
        <f t="shared" si="1"/>
        <v>6/2025</v>
      </c>
      <c r="G340" s="57">
        <v>822.13</v>
      </c>
      <c r="H340" s="79">
        <v>802.48</v>
      </c>
      <c r="I340" s="60">
        <v>45810.0</v>
      </c>
    </row>
    <row r="341" ht="22.5" customHeight="1">
      <c r="A341" s="43" t="s">
        <v>160</v>
      </c>
      <c r="B341" s="47"/>
      <c r="C341" s="50" t="s">
        <v>67</v>
      </c>
      <c r="D341" s="51" t="s">
        <v>67</v>
      </c>
      <c r="E341" s="53">
        <v>45823.0</v>
      </c>
      <c r="F341" s="56" t="str">
        <f t="shared" si="1"/>
        <v>6/2025</v>
      </c>
      <c r="G341" s="57">
        <v>1015.73</v>
      </c>
      <c r="H341" s="79">
        <f t="shared" ref="H341:H345" si="17">IF(I341,G341,0)</f>
        <v>1015.73</v>
      </c>
      <c r="I341" s="60">
        <v>45823.0</v>
      </c>
    </row>
    <row r="342" ht="22.5" customHeight="1">
      <c r="A342" s="127" t="s">
        <v>1140</v>
      </c>
      <c r="B342" s="47" t="s">
        <v>135</v>
      </c>
      <c r="C342" s="128" t="s">
        <v>67</v>
      </c>
      <c r="D342" s="51" t="s">
        <v>67</v>
      </c>
      <c r="E342" s="53">
        <v>45825.0</v>
      </c>
      <c r="F342" s="56" t="str">
        <f t="shared" si="1"/>
        <v>6/2025</v>
      </c>
      <c r="G342" s="57">
        <v>1456.91</v>
      </c>
      <c r="H342" s="59">
        <f t="shared" si="17"/>
        <v>1456.91</v>
      </c>
      <c r="I342" s="60">
        <v>45825.0</v>
      </c>
    </row>
    <row r="343" ht="22.5" customHeight="1">
      <c r="A343" s="43" t="s">
        <v>147</v>
      </c>
      <c r="B343" s="47" t="s">
        <v>148</v>
      </c>
      <c r="C343" s="50" t="s">
        <v>132</v>
      </c>
      <c r="D343" s="51" t="s">
        <v>76</v>
      </c>
      <c r="E343" s="53">
        <v>45828.0</v>
      </c>
      <c r="F343" s="56" t="str">
        <f t="shared" si="1"/>
        <v>6/2025</v>
      </c>
      <c r="G343" s="57">
        <v>79.9</v>
      </c>
      <c r="H343" s="79">
        <f t="shared" si="17"/>
        <v>79.9</v>
      </c>
      <c r="I343" s="60">
        <v>45828.0</v>
      </c>
    </row>
    <row r="344" ht="22.5" customHeight="1">
      <c r="A344" s="43" t="s">
        <v>147</v>
      </c>
      <c r="B344" s="47" t="s">
        <v>238</v>
      </c>
      <c r="C344" s="50" t="s">
        <v>132</v>
      </c>
      <c r="D344" s="51" t="s">
        <v>76</v>
      </c>
      <c r="E344" s="53">
        <v>45828.0</v>
      </c>
      <c r="F344" s="56" t="str">
        <f t="shared" si="1"/>
        <v>6/2025</v>
      </c>
      <c r="G344" s="57">
        <v>85.9</v>
      </c>
      <c r="H344" s="79">
        <f t="shared" si="17"/>
        <v>85.9</v>
      </c>
      <c r="I344" s="60">
        <v>45828.0</v>
      </c>
    </row>
    <row r="345" ht="22.5" customHeight="1">
      <c r="A345" s="127" t="s">
        <v>15</v>
      </c>
      <c r="B345" s="131"/>
      <c r="C345" s="128" t="s">
        <v>50</v>
      </c>
      <c r="D345" s="51" t="s">
        <v>71</v>
      </c>
      <c r="E345" s="53">
        <v>45828.0</v>
      </c>
      <c r="F345" s="56" t="str">
        <f t="shared" si="1"/>
        <v>6/2025</v>
      </c>
      <c r="G345" s="57">
        <v>478.33</v>
      </c>
      <c r="H345" s="59">
        <f t="shared" si="17"/>
        <v>478.33</v>
      </c>
      <c r="I345" s="60">
        <v>45828.0</v>
      </c>
    </row>
    <row r="346" ht="22.5" customHeight="1">
      <c r="A346" s="43" t="s">
        <v>239</v>
      </c>
      <c r="B346" s="47" t="s">
        <v>240</v>
      </c>
      <c r="C346" s="50" t="s">
        <v>67</v>
      </c>
      <c r="D346" s="51" t="s">
        <v>67</v>
      </c>
      <c r="E346" s="53">
        <v>45829.0</v>
      </c>
      <c r="F346" s="56" t="str">
        <f t="shared" si="1"/>
        <v>6/2025</v>
      </c>
      <c r="G346" s="57">
        <v>539.04</v>
      </c>
      <c r="H346" s="79">
        <v>518.78</v>
      </c>
      <c r="I346" s="60">
        <v>45810.0</v>
      </c>
    </row>
    <row r="347" ht="22.5" customHeight="1">
      <c r="A347" s="43" t="s">
        <v>134</v>
      </c>
      <c r="B347" s="47" t="s">
        <v>168</v>
      </c>
      <c r="C347" s="128" t="s">
        <v>67</v>
      </c>
      <c r="D347" s="51" t="s">
        <v>67</v>
      </c>
      <c r="E347" s="53">
        <v>45832.0</v>
      </c>
      <c r="F347" s="56" t="str">
        <f t="shared" si="1"/>
        <v>6/2025</v>
      </c>
      <c r="G347" s="57">
        <v>157.44</v>
      </c>
      <c r="H347" s="59">
        <f t="shared" ref="H347:H349" si="18">IF(I347,G347,0)</f>
        <v>157.44</v>
      </c>
      <c r="I347" s="60">
        <v>45831.0</v>
      </c>
    </row>
    <row r="348" ht="22.5" customHeight="1">
      <c r="A348" s="43" t="s">
        <v>138</v>
      </c>
      <c r="B348" s="47"/>
      <c r="C348" s="50" t="s">
        <v>67</v>
      </c>
      <c r="D348" s="51" t="s">
        <v>71</v>
      </c>
      <c r="E348" s="53">
        <v>45833.0</v>
      </c>
      <c r="F348" s="56" t="str">
        <f t="shared" si="1"/>
        <v>6/2025</v>
      </c>
      <c r="G348" s="57">
        <v>10422.0</v>
      </c>
      <c r="H348" s="59">
        <f t="shared" si="18"/>
        <v>10422</v>
      </c>
      <c r="I348" s="60">
        <v>45833.0</v>
      </c>
    </row>
    <row r="349" ht="22.5" customHeight="1">
      <c r="A349" s="127" t="s">
        <v>130</v>
      </c>
      <c r="B349" s="47" t="s">
        <v>131</v>
      </c>
      <c r="C349" s="128" t="s">
        <v>132</v>
      </c>
      <c r="D349" s="51" t="s">
        <v>68</v>
      </c>
      <c r="E349" s="53">
        <v>45840.0</v>
      </c>
      <c r="F349" s="56" t="str">
        <f t="shared" si="1"/>
        <v>7/2025</v>
      </c>
      <c r="G349" s="57">
        <v>102.77</v>
      </c>
      <c r="H349" s="59">
        <f t="shared" si="18"/>
        <v>102.77</v>
      </c>
      <c r="I349" s="60">
        <v>45839.0</v>
      </c>
    </row>
    <row r="350" ht="22.5" customHeight="1">
      <c r="A350" s="43" t="s">
        <v>176</v>
      </c>
      <c r="B350" s="47"/>
      <c r="C350" s="50" t="s">
        <v>67</v>
      </c>
      <c r="D350" s="51" t="s">
        <v>67</v>
      </c>
      <c r="E350" s="53">
        <v>45845.0</v>
      </c>
      <c r="F350" s="56" t="str">
        <f t="shared" si="1"/>
        <v>7/2025</v>
      </c>
      <c r="G350" s="57">
        <v>1231.13</v>
      </c>
      <c r="H350" s="79">
        <v>1226.49</v>
      </c>
      <c r="I350" s="60">
        <v>45839.0</v>
      </c>
    </row>
    <row r="351" ht="22.5" customHeight="1">
      <c r="A351" s="127" t="s">
        <v>144</v>
      </c>
      <c r="B351" s="131"/>
      <c r="C351" s="128" t="s">
        <v>71</v>
      </c>
      <c r="D351" s="51" t="s">
        <v>71</v>
      </c>
      <c r="E351" s="53">
        <v>45845.0</v>
      </c>
      <c r="F351" s="56" t="str">
        <f t="shared" si="1"/>
        <v>7/2025</v>
      </c>
      <c r="G351" s="57">
        <v>790.09</v>
      </c>
      <c r="H351" s="59">
        <f t="shared" ref="H351:H360" si="19">IF(I351,G351,0)</f>
        <v>790.09</v>
      </c>
      <c r="I351" s="60">
        <v>45845.0</v>
      </c>
    </row>
    <row r="352" ht="22.5" customHeight="1">
      <c r="A352" s="43" t="s">
        <v>82</v>
      </c>
      <c r="B352" s="47" t="s">
        <v>83</v>
      </c>
      <c r="C352" s="50" t="s">
        <v>67</v>
      </c>
      <c r="D352" s="51" t="s">
        <v>71</v>
      </c>
      <c r="E352" s="53">
        <v>45846.0</v>
      </c>
      <c r="F352" s="56" t="str">
        <f t="shared" si="1"/>
        <v>7/2025</v>
      </c>
      <c r="G352" s="57">
        <v>1619.32</v>
      </c>
      <c r="H352" s="59">
        <f t="shared" si="19"/>
        <v>1619.32</v>
      </c>
      <c r="I352" s="60">
        <v>45839.0</v>
      </c>
    </row>
    <row r="353" ht="22.5" customHeight="1">
      <c r="A353" s="43" t="s">
        <v>134</v>
      </c>
      <c r="B353" s="47" t="s">
        <v>135</v>
      </c>
      <c r="C353" s="50" t="s">
        <v>67</v>
      </c>
      <c r="D353" s="51" t="s">
        <v>71</v>
      </c>
      <c r="E353" s="53">
        <v>45846.0</v>
      </c>
      <c r="F353" s="56" t="str">
        <f t="shared" si="1"/>
        <v>7/2025</v>
      </c>
      <c r="G353" s="57">
        <v>1674.64</v>
      </c>
      <c r="H353" s="59">
        <f t="shared" si="19"/>
        <v>1674.64</v>
      </c>
      <c r="I353" s="60">
        <v>45845.0</v>
      </c>
    </row>
    <row r="354" ht="22.5" customHeight="1">
      <c r="A354" s="127" t="s">
        <v>136</v>
      </c>
      <c r="B354" s="47" t="s">
        <v>83</v>
      </c>
      <c r="C354" s="128" t="s">
        <v>132</v>
      </c>
      <c r="D354" s="51" t="s">
        <v>70</v>
      </c>
      <c r="E354" s="53">
        <v>45846.0</v>
      </c>
      <c r="F354" s="56" t="str">
        <f t="shared" si="1"/>
        <v>7/2025</v>
      </c>
      <c r="G354" s="57">
        <v>58.81</v>
      </c>
      <c r="H354" s="59">
        <f t="shared" si="19"/>
        <v>58.81</v>
      </c>
      <c r="I354" s="60">
        <v>45839.0</v>
      </c>
    </row>
    <row r="355" ht="22.5" customHeight="1">
      <c r="A355" s="43" t="s">
        <v>137</v>
      </c>
      <c r="B355" s="47"/>
      <c r="C355" s="50" t="s">
        <v>132</v>
      </c>
      <c r="D355" s="51" t="s">
        <v>72</v>
      </c>
      <c r="E355" s="53">
        <v>45848.0</v>
      </c>
      <c r="F355" s="56" t="str">
        <f t="shared" si="1"/>
        <v>7/2025</v>
      </c>
      <c r="G355" s="57">
        <f>1200+80-158.64</f>
        <v>1121.36</v>
      </c>
      <c r="H355" s="79">
        <f t="shared" si="19"/>
        <v>1121.36</v>
      </c>
      <c r="I355" s="60">
        <v>45848.0</v>
      </c>
    </row>
    <row r="356" ht="22.5" customHeight="1">
      <c r="A356" s="43" t="s">
        <v>141</v>
      </c>
      <c r="B356" s="47"/>
      <c r="C356" s="50" t="s">
        <v>132</v>
      </c>
      <c r="D356" s="51" t="s">
        <v>75</v>
      </c>
      <c r="E356" s="53">
        <v>45848.0</v>
      </c>
      <c r="F356" s="56" t="str">
        <f t="shared" si="1"/>
        <v>7/2025</v>
      </c>
      <c r="G356" s="57">
        <v>129.9</v>
      </c>
      <c r="H356" s="79">
        <f t="shared" si="19"/>
        <v>129.9</v>
      </c>
      <c r="I356" s="60">
        <v>45839.0</v>
      </c>
    </row>
    <row r="357" ht="22.5" customHeight="1">
      <c r="A357" s="43" t="s">
        <v>141</v>
      </c>
      <c r="B357" s="47"/>
      <c r="C357" s="50" t="s">
        <v>132</v>
      </c>
      <c r="D357" s="51" t="s">
        <v>75</v>
      </c>
      <c r="E357" s="53">
        <v>45848.0</v>
      </c>
      <c r="F357" s="56" t="str">
        <f t="shared" si="1"/>
        <v>7/2025</v>
      </c>
      <c r="G357" s="57">
        <v>99.9</v>
      </c>
      <c r="H357" s="79">
        <f t="shared" si="19"/>
        <v>99.9</v>
      </c>
      <c r="I357" s="60">
        <v>45839.0</v>
      </c>
    </row>
    <row r="358" ht="22.5" customHeight="1">
      <c r="A358" s="127" t="s">
        <v>130</v>
      </c>
      <c r="B358" s="47" t="s">
        <v>83</v>
      </c>
      <c r="C358" s="128" t="s">
        <v>132</v>
      </c>
      <c r="D358" s="51" t="s">
        <v>68</v>
      </c>
      <c r="E358" s="53">
        <v>45848.0</v>
      </c>
      <c r="F358" s="56" t="str">
        <f t="shared" si="1"/>
        <v>7/2025</v>
      </c>
      <c r="G358" s="57">
        <v>246.78</v>
      </c>
      <c r="H358" s="59">
        <f t="shared" si="19"/>
        <v>246.78</v>
      </c>
      <c r="I358" s="60">
        <v>45839.0</v>
      </c>
    </row>
    <row r="359" ht="22.5" customHeight="1">
      <c r="A359" s="127" t="s">
        <v>136</v>
      </c>
      <c r="B359" s="47" t="s">
        <v>131</v>
      </c>
      <c r="C359" s="128" t="s">
        <v>132</v>
      </c>
      <c r="D359" s="51" t="s">
        <v>70</v>
      </c>
      <c r="E359" s="53">
        <v>45848.0</v>
      </c>
      <c r="F359" s="56" t="str">
        <f t="shared" si="1"/>
        <v>7/2025</v>
      </c>
      <c r="G359" s="57">
        <v>158.64</v>
      </c>
      <c r="H359" s="59">
        <f t="shared" si="19"/>
        <v>158.64</v>
      </c>
      <c r="I359" s="60">
        <v>45839.0</v>
      </c>
    </row>
    <row r="360" ht="22.5" customHeight="1">
      <c r="A360" s="43" t="s">
        <v>143</v>
      </c>
      <c r="B360" s="47"/>
      <c r="C360" s="50" t="s">
        <v>67</v>
      </c>
      <c r="D360" s="51" t="s">
        <v>71</v>
      </c>
      <c r="E360" s="53">
        <v>45849.0</v>
      </c>
      <c r="F360" s="56" t="str">
        <f t="shared" si="1"/>
        <v>7/2025</v>
      </c>
      <c r="G360" s="57">
        <v>105.94</v>
      </c>
      <c r="H360" s="59">
        <f t="shared" si="19"/>
        <v>105.94</v>
      </c>
      <c r="I360" s="60">
        <v>45849.0</v>
      </c>
    </row>
    <row r="361" ht="22.5" customHeight="1">
      <c r="A361" s="43" t="s">
        <v>239</v>
      </c>
      <c r="B361" s="47" t="s">
        <v>1669</v>
      </c>
      <c r="C361" s="50" t="s">
        <v>67</v>
      </c>
      <c r="D361" s="51" t="s">
        <v>67</v>
      </c>
      <c r="E361" s="53">
        <v>45852.0</v>
      </c>
      <c r="F361" s="56" t="str">
        <f t="shared" si="1"/>
        <v>7/2025</v>
      </c>
      <c r="G361" s="57">
        <v>822.13</v>
      </c>
      <c r="H361" s="79">
        <v>800.16</v>
      </c>
      <c r="I361" s="60">
        <v>45839.0</v>
      </c>
    </row>
    <row r="362" ht="22.5" customHeight="1">
      <c r="A362" s="43" t="s">
        <v>160</v>
      </c>
      <c r="B362" s="47"/>
      <c r="C362" s="50" t="s">
        <v>67</v>
      </c>
      <c r="D362" s="51" t="s">
        <v>67</v>
      </c>
      <c r="E362" s="53">
        <v>45853.0</v>
      </c>
      <c r="F362" s="56" t="str">
        <f t="shared" si="1"/>
        <v>7/2025</v>
      </c>
      <c r="G362" s="57">
        <v>1015.73</v>
      </c>
      <c r="H362" s="79">
        <f t="shared" ref="H362:H366" si="20">IF(I362,G362,0)</f>
        <v>1015.73</v>
      </c>
      <c r="I362" s="60">
        <v>45853.0</v>
      </c>
    </row>
    <row r="363" ht="22.5" customHeight="1">
      <c r="A363" s="127" t="s">
        <v>1140</v>
      </c>
      <c r="B363" s="47" t="s">
        <v>135</v>
      </c>
      <c r="C363" s="128" t="s">
        <v>67</v>
      </c>
      <c r="D363" s="51" t="s">
        <v>67</v>
      </c>
      <c r="E363" s="53">
        <v>45855.0</v>
      </c>
      <c r="F363" s="56" t="str">
        <f t="shared" si="1"/>
        <v>7/2025</v>
      </c>
      <c r="G363" s="57">
        <v>1747.73</v>
      </c>
      <c r="H363" s="59">
        <f t="shared" si="20"/>
        <v>1747.73</v>
      </c>
      <c r="I363" s="60">
        <v>45855.0</v>
      </c>
    </row>
    <row r="364" ht="22.5" customHeight="1">
      <c r="A364" s="127" t="s">
        <v>15</v>
      </c>
      <c r="B364" s="131"/>
      <c r="C364" s="128" t="s">
        <v>50</v>
      </c>
      <c r="D364" s="51" t="s">
        <v>71</v>
      </c>
      <c r="E364" s="53">
        <v>45858.0</v>
      </c>
      <c r="F364" s="56" t="str">
        <f t="shared" si="1"/>
        <v>7/2025</v>
      </c>
      <c r="G364" s="57">
        <v>478.33</v>
      </c>
      <c r="H364" s="59">
        <f t="shared" si="20"/>
        <v>478.33</v>
      </c>
      <c r="I364" s="60">
        <v>45856.0</v>
      </c>
    </row>
    <row r="365" ht="22.5" customHeight="1">
      <c r="A365" s="43" t="s">
        <v>147</v>
      </c>
      <c r="B365" s="47" t="s">
        <v>148</v>
      </c>
      <c r="C365" s="50" t="s">
        <v>132</v>
      </c>
      <c r="D365" s="51" t="s">
        <v>76</v>
      </c>
      <c r="E365" s="53">
        <v>45859.0</v>
      </c>
      <c r="F365" s="56" t="str">
        <f t="shared" si="1"/>
        <v>7/2025</v>
      </c>
      <c r="G365" s="57">
        <v>79.9</v>
      </c>
      <c r="H365" s="79">
        <f t="shared" si="20"/>
        <v>79.9</v>
      </c>
      <c r="I365" s="60">
        <v>45859.0</v>
      </c>
    </row>
    <row r="366" ht="22.5" customHeight="1">
      <c r="A366" s="43" t="s">
        <v>147</v>
      </c>
      <c r="B366" s="47" t="s">
        <v>238</v>
      </c>
      <c r="C366" s="50" t="s">
        <v>132</v>
      </c>
      <c r="D366" s="51" t="s">
        <v>76</v>
      </c>
      <c r="E366" s="53">
        <v>45859.0</v>
      </c>
      <c r="F366" s="56" t="str">
        <f t="shared" si="1"/>
        <v>7/2025</v>
      </c>
      <c r="G366" s="57">
        <v>81.9</v>
      </c>
      <c r="H366" s="79">
        <f t="shared" si="20"/>
        <v>81.9</v>
      </c>
      <c r="I366" s="60">
        <v>45859.0</v>
      </c>
    </row>
    <row r="367" ht="22.5" customHeight="1">
      <c r="A367" s="43" t="s">
        <v>239</v>
      </c>
      <c r="B367" s="47" t="s">
        <v>240</v>
      </c>
      <c r="C367" s="50" t="s">
        <v>67</v>
      </c>
      <c r="D367" s="51" t="s">
        <v>67</v>
      </c>
      <c r="E367" s="53">
        <v>45859.0</v>
      </c>
      <c r="F367" s="56" t="str">
        <f t="shared" si="1"/>
        <v>7/2025</v>
      </c>
      <c r="G367" s="57">
        <v>539.04</v>
      </c>
      <c r="H367" s="79">
        <v>517.04</v>
      </c>
      <c r="I367" s="60">
        <v>45839.0</v>
      </c>
    </row>
    <row r="368" ht="22.5" customHeight="1">
      <c r="A368" s="43" t="s">
        <v>134</v>
      </c>
      <c r="B368" s="47" t="s">
        <v>168</v>
      </c>
      <c r="C368" s="128" t="s">
        <v>67</v>
      </c>
      <c r="D368" s="51" t="s">
        <v>67</v>
      </c>
      <c r="E368" s="53">
        <v>45862.0</v>
      </c>
      <c r="F368" s="56" t="str">
        <f t="shared" si="1"/>
        <v>7/2025</v>
      </c>
      <c r="G368" s="57">
        <v>293.59</v>
      </c>
      <c r="H368" s="59">
        <f t="shared" ref="H368:H407" si="21">IF(I368,G368,0)</f>
        <v>293.59</v>
      </c>
      <c r="I368" s="60">
        <v>45862.0</v>
      </c>
    </row>
    <row r="369" ht="22.5" customHeight="1">
      <c r="A369" s="43" t="s">
        <v>138</v>
      </c>
      <c r="B369" s="47"/>
      <c r="C369" s="50" t="s">
        <v>67</v>
      </c>
      <c r="D369" s="51" t="s">
        <v>71</v>
      </c>
      <c r="E369" s="53">
        <v>45863.0</v>
      </c>
      <c r="F369" s="56" t="str">
        <f t="shared" si="1"/>
        <v>7/2025</v>
      </c>
      <c r="G369" s="57">
        <v>9697.41</v>
      </c>
      <c r="H369" s="59">
        <f t="shared" si="21"/>
        <v>9697.41</v>
      </c>
      <c r="I369" s="60">
        <v>45862.0</v>
      </c>
    </row>
    <row r="370" ht="22.5" customHeight="1">
      <c r="A370" s="127" t="s">
        <v>130</v>
      </c>
      <c r="B370" s="47" t="s">
        <v>131</v>
      </c>
      <c r="C370" s="128" t="s">
        <v>132</v>
      </c>
      <c r="D370" s="51" t="s">
        <v>68</v>
      </c>
      <c r="E370" s="53">
        <v>45871.0</v>
      </c>
      <c r="F370" s="56" t="str">
        <f t="shared" si="1"/>
        <v>8/2025</v>
      </c>
      <c r="G370" s="57">
        <v>101.44</v>
      </c>
      <c r="H370" s="59">
        <f t="shared" si="21"/>
        <v>101.44</v>
      </c>
      <c r="I370" s="60">
        <v>45870.0</v>
      </c>
    </row>
    <row r="371" ht="22.5" customHeight="1">
      <c r="A371" s="127" t="s">
        <v>144</v>
      </c>
      <c r="B371" s="131"/>
      <c r="C371" s="128" t="s">
        <v>71</v>
      </c>
      <c r="D371" s="51" t="s">
        <v>71</v>
      </c>
      <c r="E371" s="53">
        <v>45874.0</v>
      </c>
      <c r="F371" s="56" t="str">
        <f t="shared" si="1"/>
        <v>8/2025</v>
      </c>
      <c r="G371" s="57">
        <v>790.09</v>
      </c>
      <c r="H371" s="59">
        <f t="shared" si="21"/>
        <v>790.09</v>
      </c>
      <c r="I371" s="60">
        <v>45870.0</v>
      </c>
    </row>
    <row r="372" ht="22.5" customHeight="1">
      <c r="A372" s="43" t="s">
        <v>176</v>
      </c>
      <c r="B372" s="47"/>
      <c r="C372" s="50" t="s">
        <v>67</v>
      </c>
      <c r="D372" s="51" t="s">
        <v>67</v>
      </c>
      <c r="E372" s="53">
        <v>45876.0</v>
      </c>
      <c r="F372" s="56" t="str">
        <f t="shared" si="1"/>
        <v>8/2025</v>
      </c>
      <c r="G372" s="57">
        <v>1226.49</v>
      </c>
      <c r="H372" s="59">
        <f t="shared" si="21"/>
        <v>1226.49</v>
      </c>
      <c r="I372" s="60">
        <v>45870.0</v>
      </c>
    </row>
    <row r="373" ht="22.5" customHeight="1">
      <c r="A373" s="43" t="s">
        <v>82</v>
      </c>
      <c r="B373" s="47" t="s">
        <v>83</v>
      </c>
      <c r="C373" s="50" t="s">
        <v>67</v>
      </c>
      <c r="D373" s="51" t="s">
        <v>71</v>
      </c>
      <c r="E373" s="53">
        <v>45877.0</v>
      </c>
      <c r="F373" s="56" t="str">
        <f t="shared" si="1"/>
        <v>8/2025</v>
      </c>
      <c r="G373" s="57">
        <v>1619.32</v>
      </c>
      <c r="H373" s="59">
        <f t="shared" si="21"/>
        <v>1619.32</v>
      </c>
      <c r="I373" s="60">
        <v>45875.0</v>
      </c>
    </row>
    <row r="374" ht="22.5" customHeight="1">
      <c r="A374" s="43" t="s">
        <v>134</v>
      </c>
      <c r="B374" s="47" t="s">
        <v>135</v>
      </c>
      <c r="C374" s="50" t="s">
        <v>67</v>
      </c>
      <c r="D374" s="51" t="s">
        <v>71</v>
      </c>
      <c r="E374" s="53">
        <v>45877.0</v>
      </c>
      <c r="F374" s="56" t="str">
        <f t="shared" si="1"/>
        <v>8/2025</v>
      </c>
      <c r="G374" s="57">
        <v>2174.64</v>
      </c>
      <c r="H374" s="59">
        <f t="shared" si="21"/>
        <v>2174.64</v>
      </c>
      <c r="I374" s="60">
        <v>45875.0</v>
      </c>
    </row>
    <row r="375" ht="22.5" customHeight="1">
      <c r="A375" s="127" t="s">
        <v>136</v>
      </c>
      <c r="B375" s="47" t="s">
        <v>83</v>
      </c>
      <c r="C375" s="128" t="s">
        <v>132</v>
      </c>
      <c r="D375" s="51" t="s">
        <v>70</v>
      </c>
      <c r="E375" s="53">
        <v>45877.0</v>
      </c>
      <c r="F375" s="56" t="str">
        <f t="shared" si="1"/>
        <v>8/2025</v>
      </c>
      <c r="G375" s="57">
        <v>57.19</v>
      </c>
      <c r="H375" s="59">
        <f t="shared" si="21"/>
        <v>57.19</v>
      </c>
      <c r="I375" s="60">
        <v>45870.0</v>
      </c>
    </row>
    <row r="376" ht="22.5" customHeight="1">
      <c r="A376" s="43" t="s">
        <v>137</v>
      </c>
      <c r="B376" s="47"/>
      <c r="C376" s="50" t="s">
        <v>132</v>
      </c>
      <c r="D376" s="51" t="s">
        <v>72</v>
      </c>
      <c r="E376" s="53">
        <v>45879.0</v>
      </c>
      <c r="F376" s="56" t="str">
        <f t="shared" si="1"/>
        <v>8/2025</v>
      </c>
      <c r="G376" s="57">
        <f>1200-165.1+80</f>
        <v>1114.9</v>
      </c>
      <c r="H376" s="79">
        <f t="shared" si="21"/>
        <v>1114.9</v>
      </c>
      <c r="I376" s="60">
        <v>45880.0</v>
      </c>
    </row>
    <row r="377" ht="22.5" customHeight="1">
      <c r="A377" s="43" t="s">
        <v>141</v>
      </c>
      <c r="B377" s="47"/>
      <c r="C377" s="50" t="s">
        <v>132</v>
      </c>
      <c r="D377" s="51" t="s">
        <v>75</v>
      </c>
      <c r="E377" s="53">
        <v>45879.0</v>
      </c>
      <c r="F377" s="56" t="str">
        <f t="shared" si="1"/>
        <v>8/2025</v>
      </c>
      <c r="G377" s="57">
        <v>129.9</v>
      </c>
      <c r="H377" s="79">
        <f t="shared" si="21"/>
        <v>129.9</v>
      </c>
      <c r="I377" s="60">
        <v>45870.0</v>
      </c>
    </row>
    <row r="378" ht="22.5" customHeight="1">
      <c r="A378" s="43" t="s">
        <v>141</v>
      </c>
      <c r="B378" s="47"/>
      <c r="C378" s="50" t="s">
        <v>132</v>
      </c>
      <c r="D378" s="51" t="s">
        <v>75</v>
      </c>
      <c r="E378" s="53">
        <v>45879.0</v>
      </c>
      <c r="F378" s="56" t="str">
        <f t="shared" si="1"/>
        <v>8/2025</v>
      </c>
      <c r="G378" s="57">
        <v>99.9</v>
      </c>
      <c r="H378" s="79">
        <f t="shared" si="21"/>
        <v>99.9</v>
      </c>
      <c r="I378" s="60">
        <v>45870.0</v>
      </c>
    </row>
    <row r="379" ht="22.5" customHeight="1">
      <c r="A379" s="127" t="s">
        <v>130</v>
      </c>
      <c r="B379" s="47" t="s">
        <v>83</v>
      </c>
      <c r="C379" s="128" t="s">
        <v>132</v>
      </c>
      <c r="D379" s="51" t="s">
        <v>68</v>
      </c>
      <c r="E379" s="53">
        <v>45879.0</v>
      </c>
      <c r="F379" s="56" t="str">
        <f t="shared" si="1"/>
        <v>8/2025</v>
      </c>
      <c r="G379" s="57">
        <v>264.92</v>
      </c>
      <c r="H379" s="59">
        <f t="shared" si="21"/>
        <v>264.92</v>
      </c>
      <c r="I379" s="60">
        <v>45870.0</v>
      </c>
    </row>
    <row r="380" ht="22.5" customHeight="1">
      <c r="A380" s="127" t="s">
        <v>136</v>
      </c>
      <c r="B380" s="47" t="s">
        <v>131</v>
      </c>
      <c r="C380" s="128" t="s">
        <v>132</v>
      </c>
      <c r="D380" s="51" t="s">
        <v>70</v>
      </c>
      <c r="E380" s="53">
        <v>45879.0</v>
      </c>
      <c r="F380" s="56" t="str">
        <f t="shared" si="1"/>
        <v>8/2025</v>
      </c>
      <c r="G380" s="57">
        <v>165.1</v>
      </c>
      <c r="H380" s="59">
        <f t="shared" si="21"/>
        <v>165.1</v>
      </c>
      <c r="I380" s="60">
        <v>45870.0</v>
      </c>
    </row>
    <row r="381" ht="22.5" customHeight="1">
      <c r="A381" s="138" t="s">
        <v>143</v>
      </c>
      <c r="B381" s="139"/>
      <c r="C381" s="140" t="s">
        <v>67</v>
      </c>
      <c r="D381" s="141" t="s">
        <v>71</v>
      </c>
      <c r="E381" s="53">
        <v>45880.0</v>
      </c>
      <c r="F381" s="56" t="str">
        <f t="shared" si="1"/>
        <v>8/2025</v>
      </c>
      <c r="G381" s="57">
        <v>105.94</v>
      </c>
      <c r="H381" s="59">
        <f t="shared" si="21"/>
        <v>105.94</v>
      </c>
      <c r="I381" s="60">
        <v>45880.0</v>
      </c>
    </row>
    <row r="382" ht="22.5" customHeight="1">
      <c r="A382" s="43" t="s">
        <v>239</v>
      </c>
      <c r="B382" s="47" t="s">
        <v>1669</v>
      </c>
      <c r="C382" s="50" t="s">
        <v>67</v>
      </c>
      <c r="D382" s="51" t="s">
        <v>67</v>
      </c>
      <c r="E382" s="53">
        <v>45883.0</v>
      </c>
      <c r="F382" s="56" t="str">
        <f t="shared" si="1"/>
        <v>8/2025</v>
      </c>
      <c r="G382" s="57">
        <v>800.86</v>
      </c>
      <c r="H382" s="59">
        <f t="shared" si="21"/>
        <v>800.86</v>
      </c>
      <c r="I382" s="60">
        <v>45870.0</v>
      </c>
    </row>
    <row r="383" ht="22.5" customHeight="1">
      <c r="A383" s="43" t="s">
        <v>160</v>
      </c>
      <c r="B383" s="47"/>
      <c r="C383" s="50" t="s">
        <v>67</v>
      </c>
      <c r="D383" s="51" t="s">
        <v>67</v>
      </c>
      <c r="E383" s="53">
        <v>45884.0</v>
      </c>
      <c r="F383" s="56" t="str">
        <f t="shared" si="1"/>
        <v>8/2025</v>
      </c>
      <c r="G383" s="57">
        <v>1015.63</v>
      </c>
      <c r="H383" s="79">
        <f t="shared" si="21"/>
        <v>1015.63</v>
      </c>
      <c r="I383" s="60">
        <v>45884.0</v>
      </c>
    </row>
    <row r="384" ht="22.5" customHeight="1">
      <c r="A384" s="127" t="s">
        <v>1140</v>
      </c>
      <c r="B384" s="47" t="s">
        <v>135</v>
      </c>
      <c r="C384" s="128" t="s">
        <v>67</v>
      </c>
      <c r="D384" s="51" t="s">
        <v>67</v>
      </c>
      <c r="E384" s="53">
        <v>45887.0</v>
      </c>
      <c r="F384" s="56" t="str">
        <f t="shared" si="1"/>
        <v>8/2025</v>
      </c>
      <c r="G384" s="57">
        <v>1756.51</v>
      </c>
      <c r="H384" s="59">
        <f t="shared" si="21"/>
        <v>1756.51</v>
      </c>
      <c r="I384" s="60">
        <v>45887.0</v>
      </c>
    </row>
    <row r="385" ht="22.5" customHeight="1">
      <c r="A385" s="127" t="s">
        <v>15</v>
      </c>
      <c r="B385" s="131"/>
      <c r="C385" s="128" t="s">
        <v>50</v>
      </c>
      <c r="D385" s="51" t="s">
        <v>71</v>
      </c>
      <c r="E385" s="53">
        <v>45888.0</v>
      </c>
      <c r="F385" s="56" t="str">
        <f t="shared" si="1"/>
        <v>8/2025</v>
      </c>
      <c r="G385" s="57">
        <v>478.32</v>
      </c>
      <c r="H385" s="59">
        <f t="shared" si="21"/>
        <v>478.32</v>
      </c>
      <c r="I385" s="60">
        <v>45888.0</v>
      </c>
    </row>
    <row r="386" ht="22.5" customHeight="1">
      <c r="A386" s="43" t="s">
        <v>147</v>
      </c>
      <c r="B386" s="47" t="s">
        <v>148</v>
      </c>
      <c r="C386" s="50" t="s">
        <v>132</v>
      </c>
      <c r="D386" s="51" t="s">
        <v>76</v>
      </c>
      <c r="E386" s="53">
        <v>45889.0</v>
      </c>
      <c r="F386" s="56" t="str">
        <f t="shared" si="1"/>
        <v>8/2025</v>
      </c>
      <c r="G386" s="57">
        <v>76.9</v>
      </c>
      <c r="H386" s="79">
        <f t="shared" si="21"/>
        <v>76.9</v>
      </c>
      <c r="I386" s="60">
        <v>45889.0</v>
      </c>
    </row>
    <row r="387" ht="22.5" customHeight="1">
      <c r="A387" s="43" t="s">
        <v>147</v>
      </c>
      <c r="B387" s="47" t="s">
        <v>238</v>
      </c>
      <c r="C387" s="50" t="s">
        <v>132</v>
      </c>
      <c r="D387" s="51" t="s">
        <v>76</v>
      </c>
      <c r="E387" s="53">
        <v>45889.0</v>
      </c>
      <c r="F387" s="56" t="str">
        <f t="shared" si="1"/>
        <v>8/2025</v>
      </c>
      <c r="G387" s="57">
        <v>81.9</v>
      </c>
      <c r="H387" s="79">
        <f t="shared" si="21"/>
        <v>81.9</v>
      </c>
      <c r="I387" s="60">
        <v>45889.0</v>
      </c>
    </row>
    <row r="388" ht="22.5" customHeight="1">
      <c r="A388" s="43" t="s">
        <v>239</v>
      </c>
      <c r="B388" s="47" t="s">
        <v>240</v>
      </c>
      <c r="C388" s="50" t="s">
        <v>67</v>
      </c>
      <c r="D388" s="51" t="s">
        <v>67</v>
      </c>
      <c r="E388" s="53">
        <v>45890.0</v>
      </c>
      <c r="F388" s="56" t="str">
        <f t="shared" si="1"/>
        <v>8/2025</v>
      </c>
      <c r="G388" s="57">
        <v>517.74</v>
      </c>
      <c r="H388" s="59">
        <f t="shared" si="21"/>
        <v>517.74</v>
      </c>
      <c r="I388" s="60">
        <v>45870.0</v>
      </c>
    </row>
    <row r="389" ht="22.5" customHeight="1">
      <c r="A389" s="43" t="s">
        <v>134</v>
      </c>
      <c r="B389" s="47" t="s">
        <v>168</v>
      </c>
      <c r="C389" s="128" t="s">
        <v>67</v>
      </c>
      <c r="D389" s="51" t="s">
        <v>67</v>
      </c>
      <c r="E389" s="53">
        <v>45893.0</v>
      </c>
      <c r="F389" s="56" t="str">
        <f t="shared" si="1"/>
        <v>8/2025</v>
      </c>
      <c r="G389" s="57">
        <v>135.78</v>
      </c>
      <c r="H389" s="59">
        <f t="shared" si="21"/>
        <v>135.78</v>
      </c>
      <c r="I389" s="60">
        <v>45894.0</v>
      </c>
    </row>
    <row r="390" ht="22.5" customHeight="1">
      <c r="A390" s="43" t="s">
        <v>138</v>
      </c>
      <c r="B390" s="47"/>
      <c r="C390" s="50" t="s">
        <v>67</v>
      </c>
      <c r="D390" s="51" t="s">
        <v>71</v>
      </c>
      <c r="E390" s="53">
        <v>45894.0</v>
      </c>
      <c r="F390" s="56" t="str">
        <f t="shared" si="1"/>
        <v>8/2025</v>
      </c>
      <c r="G390" s="57">
        <v>10543.05</v>
      </c>
      <c r="H390" s="59">
        <f t="shared" si="21"/>
        <v>10543.05</v>
      </c>
      <c r="I390" s="60">
        <v>45894.0</v>
      </c>
    </row>
    <row r="391" ht="22.5" customHeight="1">
      <c r="A391" s="127" t="s">
        <v>130</v>
      </c>
      <c r="B391" s="47" t="s">
        <v>131</v>
      </c>
      <c r="C391" s="128" t="s">
        <v>132</v>
      </c>
      <c r="D391" s="51" t="s">
        <v>68</v>
      </c>
      <c r="E391" s="53">
        <v>45902.0</v>
      </c>
      <c r="F391" s="56" t="str">
        <f t="shared" si="1"/>
        <v>9/2025</v>
      </c>
      <c r="G391" s="57">
        <v>111.2</v>
      </c>
      <c r="H391" s="59">
        <f t="shared" si="21"/>
        <v>111.2</v>
      </c>
      <c r="I391" s="60">
        <v>45902.0</v>
      </c>
    </row>
    <row r="392" ht="22.5" customHeight="1">
      <c r="A392" s="43" t="s">
        <v>176</v>
      </c>
      <c r="B392" s="47"/>
      <c r="C392" s="50" t="s">
        <v>67</v>
      </c>
      <c r="D392" s="51" t="s">
        <v>67</v>
      </c>
      <c r="E392" s="53">
        <v>45907.0</v>
      </c>
      <c r="F392" s="56" t="str">
        <f t="shared" si="1"/>
        <v>9/2025</v>
      </c>
      <c r="G392" s="57">
        <v>1231.13</v>
      </c>
      <c r="H392" s="59">
        <f t="shared" si="21"/>
        <v>1231.13</v>
      </c>
      <c r="I392" s="60">
        <v>45908.0</v>
      </c>
    </row>
    <row r="393" ht="22.5" customHeight="1">
      <c r="A393" s="43" t="s">
        <v>82</v>
      </c>
      <c r="B393" s="47" t="s">
        <v>83</v>
      </c>
      <c r="C393" s="50" t="s">
        <v>67</v>
      </c>
      <c r="D393" s="51" t="s">
        <v>71</v>
      </c>
      <c r="E393" s="53">
        <v>45908.0</v>
      </c>
      <c r="F393" s="56" t="str">
        <f t="shared" si="1"/>
        <v>9/2025</v>
      </c>
      <c r="G393" s="57">
        <v>1619.32</v>
      </c>
      <c r="H393" s="59">
        <f t="shared" si="21"/>
        <v>1619.32</v>
      </c>
      <c r="I393" s="60">
        <v>45908.0</v>
      </c>
    </row>
    <row r="394" ht="22.5" customHeight="1">
      <c r="A394" s="43" t="s">
        <v>134</v>
      </c>
      <c r="B394" s="47" t="s">
        <v>135</v>
      </c>
      <c r="C394" s="50" t="s">
        <v>67</v>
      </c>
      <c r="D394" s="51" t="s">
        <v>71</v>
      </c>
      <c r="E394" s="53">
        <v>45908.0</v>
      </c>
      <c r="F394" s="56" t="str">
        <f t="shared" si="1"/>
        <v>9/2025</v>
      </c>
      <c r="G394" s="57">
        <v>2303.73</v>
      </c>
      <c r="H394" s="59">
        <f t="shared" si="21"/>
        <v>2303.73</v>
      </c>
      <c r="I394" s="60">
        <v>45908.0</v>
      </c>
    </row>
    <row r="395" ht="22.5" customHeight="1">
      <c r="A395" s="127" t="s">
        <v>136</v>
      </c>
      <c r="B395" s="47" t="s">
        <v>83</v>
      </c>
      <c r="C395" s="128" t="s">
        <v>132</v>
      </c>
      <c r="D395" s="51" t="s">
        <v>70</v>
      </c>
      <c r="E395" s="53">
        <v>45908.0</v>
      </c>
      <c r="F395" s="56" t="str">
        <f t="shared" si="1"/>
        <v>9/2025</v>
      </c>
      <c r="G395" s="57">
        <v>58.81</v>
      </c>
      <c r="H395" s="59">
        <f t="shared" si="21"/>
        <v>58.81</v>
      </c>
      <c r="I395" s="60">
        <v>45902.0</v>
      </c>
    </row>
    <row r="396" ht="22.5" customHeight="1">
      <c r="A396" s="43" t="s">
        <v>137</v>
      </c>
      <c r="B396" s="47"/>
      <c r="C396" s="50" t="s">
        <v>132</v>
      </c>
      <c r="D396" s="51" t="s">
        <v>72</v>
      </c>
      <c r="E396" s="53">
        <v>45910.0</v>
      </c>
      <c r="F396" s="56" t="str">
        <f t="shared" si="1"/>
        <v>9/2025</v>
      </c>
      <c r="G396" s="57">
        <f>1200-G380+80</f>
        <v>1114.9</v>
      </c>
      <c r="H396" s="79">
        <f t="shared" si="21"/>
        <v>1114.9</v>
      </c>
      <c r="I396" s="60">
        <v>45910.0</v>
      </c>
    </row>
    <row r="397" ht="22.5" customHeight="1">
      <c r="A397" s="43" t="s">
        <v>141</v>
      </c>
      <c r="B397" s="47"/>
      <c r="C397" s="50" t="s">
        <v>132</v>
      </c>
      <c r="D397" s="51" t="s">
        <v>75</v>
      </c>
      <c r="E397" s="53">
        <v>45910.0</v>
      </c>
      <c r="F397" s="56" t="str">
        <f t="shared" si="1"/>
        <v>9/2025</v>
      </c>
      <c r="G397" s="57">
        <v>129.9</v>
      </c>
      <c r="H397" s="79">
        <f t="shared" si="21"/>
        <v>129.9</v>
      </c>
      <c r="I397" s="60">
        <v>45908.0</v>
      </c>
    </row>
    <row r="398" ht="22.5" customHeight="1">
      <c r="A398" s="43" t="s">
        <v>141</v>
      </c>
      <c r="B398" s="47"/>
      <c r="C398" s="50" t="s">
        <v>132</v>
      </c>
      <c r="D398" s="51" t="s">
        <v>75</v>
      </c>
      <c r="E398" s="53">
        <v>45910.0</v>
      </c>
      <c r="F398" s="56" t="str">
        <f t="shared" si="1"/>
        <v>9/2025</v>
      </c>
      <c r="G398" s="57">
        <v>99.9</v>
      </c>
      <c r="H398" s="79">
        <f t="shared" si="21"/>
        <v>99.9</v>
      </c>
      <c r="I398" s="60">
        <v>45908.0</v>
      </c>
    </row>
    <row r="399" ht="22.5" customHeight="1">
      <c r="A399" s="127" t="s">
        <v>130</v>
      </c>
      <c r="B399" s="47" t="s">
        <v>83</v>
      </c>
      <c r="C399" s="128" t="s">
        <v>132</v>
      </c>
      <c r="D399" s="51" t="s">
        <v>68</v>
      </c>
      <c r="E399" s="53">
        <v>45910.0</v>
      </c>
      <c r="F399" s="56" t="str">
        <f t="shared" si="1"/>
        <v>9/2025</v>
      </c>
      <c r="G399" s="57">
        <v>245.38</v>
      </c>
      <c r="H399" s="59">
        <f t="shared" si="21"/>
        <v>245.38</v>
      </c>
      <c r="I399" s="60">
        <v>45902.0</v>
      </c>
    </row>
    <row r="400" ht="22.5" customHeight="1">
      <c r="A400" s="127" t="s">
        <v>136</v>
      </c>
      <c r="B400" s="47" t="s">
        <v>131</v>
      </c>
      <c r="C400" s="128" t="s">
        <v>132</v>
      </c>
      <c r="D400" s="51" t="s">
        <v>70</v>
      </c>
      <c r="E400" s="53">
        <v>45910.0</v>
      </c>
      <c r="F400" s="56" t="str">
        <f t="shared" si="1"/>
        <v>9/2025</v>
      </c>
      <c r="G400" s="57">
        <v>166.72</v>
      </c>
      <c r="H400" s="59">
        <f t="shared" si="21"/>
        <v>166.72</v>
      </c>
      <c r="I400" s="60">
        <v>45902.0</v>
      </c>
    </row>
    <row r="401" ht="22.5" customHeight="1">
      <c r="A401" s="127" t="s">
        <v>15</v>
      </c>
      <c r="B401" s="131"/>
      <c r="C401" s="128" t="s">
        <v>50</v>
      </c>
      <c r="D401" s="51" t="s">
        <v>71</v>
      </c>
      <c r="E401" s="53">
        <v>45910.0</v>
      </c>
      <c r="F401" s="56" t="str">
        <f t="shared" si="1"/>
        <v>9/2025</v>
      </c>
      <c r="G401" s="57">
        <v>502.67</v>
      </c>
      <c r="H401" s="59">
        <f t="shared" si="21"/>
        <v>502.67</v>
      </c>
      <c r="I401" s="60">
        <v>45910.0</v>
      </c>
    </row>
    <row r="402" ht="22.5" customHeight="1">
      <c r="A402" s="138" t="s">
        <v>143</v>
      </c>
      <c r="B402" s="139"/>
      <c r="C402" s="140" t="s">
        <v>67</v>
      </c>
      <c r="D402" s="141" t="s">
        <v>71</v>
      </c>
      <c r="E402" s="53">
        <v>45911.0</v>
      </c>
      <c r="F402" s="56" t="str">
        <f t="shared" si="1"/>
        <v>9/2025</v>
      </c>
      <c r="G402" s="57">
        <v>654.94</v>
      </c>
      <c r="H402" s="59">
        <f t="shared" si="21"/>
        <v>654.94</v>
      </c>
      <c r="I402" s="60">
        <v>45911.0</v>
      </c>
    </row>
    <row r="403" ht="22.5" customHeight="1">
      <c r="A403" s="43" t="s">
        <v>239</v>
      </c>
      <c r="B403" s="47" t="s">
        <v>1669</v>
      </c>
      <c r="C403" s="50" t="s">
        <v>67</v>
      </c>
      <c r="D403" s="51" t="s">
        <v>67</v>
      </c>
      <c r="E403" s="53">
        <v>45915.0</v>
      </c>
      <c r="F403" s="56" t="str">
        <f t="shared" si="1"/>
        <v>9/2025</v>
      </c>
      <c r="G403" s="57">
        <v>822.13</v>
      </c>
      <c r="H403" s="59">
        <f t="shared" si="21"/>
        <v>822.13</v>
      </c>
      <c r="I403" s="60">
        <v>45915.0</v>
      </c>
    </row>
    <row r="404" ht="22.5" customHeight="1">
      <c r="A404" s="43" t="s">
        <v>160</v>
      </c>
      <c r="B404" s="47"/>
      <c r="C404" s="50" t="s">
        <v>67</v>
      </c>
      <c r="D404" s="51" t="s">
        <v>67</v>
      </c>
      <c r="E404" s="53">
        <v>45915.0</v>
      </c>
      <c r="F404" s="56" t="str">
        <f t="shared" si="1"/>
        <v>9/2025</v>
      </c>
      <c r="G404" s="57">
        <v>1015.73</v>
      </c>
      <c r="H404" s="79">
        <f t="shared" si="21"/>
        <v>1015.73</v>
      </c>
      <c r="I404" s="60">
        <v>45915.0</v>
      </c>
    </row>
    <row r="405" ht="22.5" customHeight="1">
      <c r="A405" s="127" t="s">
        <v>1140</v>
      </c>
      <c r="B405" s="47" t="s">
        <v>135</v>
      </c>
      <c r="C405" s="128" t="s">
        <v>67</v>
      </c>
      <c r="D405" s="51" t="s">
        <v>67</v>
      </c>
      <c r="E405" s="53">
        <v>45917.0</v>
      </c>
      <c r="F405" s="56" t="str">
        <f t="shared" si="1"/>
        <v>9/2025</v>
      </c>
      <c r="G405" s="57">
        <v>2667.59</v>
      </c>
      <c r="H405" s="59">
        <f t="shared" si="21"/>
        <v>2667.59</v>
      </c>
      <c r="I405" s="60">
        <v>45910.0</v>
      </c>
    </row>
    <row r="406" ht="22.5" customHeight="1">
      <c r="A406" s="43" t="s">
        <v>147</v>
      </c>
      <c r="B406" s="47" t="s">
        <v>148</v>
      </c>
      <c r="C406" s="50" t="s">
        <v>132</v>
      </c>
      <c r="D406" s="51" t="s">
        <v>76</v>
      </c>
      <c r="E406" s="53">
        <v>45920.0</v>
      </c>
      <c r="F406" s="56" t="str">
        <f t="shared" si="1"/>
        <v>9/2025</v>
      </c>
      <c r="G406" s="57">
        <v>77.15</v>
      </c>
      <c r="H406" s="79">
        <f t="shared" si="21"/>
        <v>77.15</v>
      </c>
      <c r="I406" s="60">
        <v>45923.0</v>
      </c>
    </row>
    <row r="407" ht="22.5" customHeight="1">
      <c r="A407" s="43" t="s">
        <v>147</v>
      </c>
      <c r="B407" s="47" t="s">
        <v>238</v>
      </c>
      <c r="C407" s="50" t="s">
        <v>132</v>
      </c>
      <c r="D407" s="51" t="s">
        <v>76</v>
      </c>
      <c r="E407" s="53">
        <v>45920.0</v>
      </c>
      <c r="F407" s="56" t="str">
        <f t="shared" si="1"/>
        <v>9/2025</v>
      </c>
      <c r="G407" s="57">
        <v>82.17</v>
      </c>
      <c r="H407" s="79">
        <f t="shared" si="21"/>
        <v>82.17</v>
      </c>
      <c r="I407" s="60">
        <v>45923.0</v>
      </c>
    </row>
    <row r="408" ht="22.5" customHeight="1">
      <c r="A408" s="43" t="s">
        <v>239</v>
      </c>
      <c r="B408" s="47" t="s">
        <v>240</v>
      </c>
      <c r="C408" s="50" t="s">
        <v>67</v>
      </c>
      <c r="D408" s="51" t="s">
        <v>67</v>
      </c>
      <c r="E408" s="53">
        <v>45921.0</v>
      </c>
      <c r="F408" s="56" t="str">
        <f t="shared" si="1"/>
        <v>9/2025</v>
      </c>
      <c r="G408" s="57">
        <v>539.04</v>
      </c>
      <c r="H408" s="79">
        <v>535.79</v>
      </c>
      <c r="I408" s="60">
        <v>45918.0</v>
      </c>
    </row>
    <row r="409" ht="22.5" customHeight="1">
      <c r="A409" s="43" t="s">
        <v>134</v>
      </c>
      <c r="B409" s="47" t="s">
        <v>168</v>
      </c>
      <c r="C409" s="128" t="s">
        <v>67</v>
      </c>
      <c r="D409" s="51" t="s">
        <v>67</v>
      </c>
      <c r="E409" s="53">
        <v>45924.0</v>
      </c>
      <c r="F409" s="56" t="str">
        <f t="shared" si="1"/>
        <v>9/2025</v>
      </c>
      <c r="G409" s="57">
        <v>115.74</v>
      </c>
      <c r="H409" s="59">
        <f t="shared" ref="H409:H422" si="22">IF(I409,G409,0)</f>
        <v>115.74</v>
      </c>
      <c r="I409" s="60">
        <v>45924.0</v>
      </c>
    </row>
    <row r="410" ht="22.5" customHeight="1">
      <c r="A410" s="43" t="s">
        <v>138</v>
      </c>
      <c r="B410" s="47"/>
      <c r="C410" s="50" t="s">
        <v>67</v>
      </c>
      <c r="D410" s="51" t="s">
        <v>71</v>
      </c>
      <c r="E410" s="53">
        <v>45925.0</v>
      </c>
      <c r="F410" s="56" t="str">
        <f t="shared" si="1"/>
        <v>9/2025</v>
      </c>
      <c r="G410" s="57">
        <v>10091.03</v>
      </c>
      <c r="H410" s="59">
        <f t="shared" si="22"/>
        <v>10091.03</v>
      </c>
      <c r="I410" s="60">
        <v>45924.0</v>
      </c>
    </row>
    <row r="411" ht="22.5" customHeight="1">
      <c r="A411" s="127" t="s">
        <v>130</v>
      </c>
      <c r="B411" s="47" t="s">
        <v>131</v>
      </c>
      <c r="C411" s="128" t="s">
        <v>132</v>
      </c>
      <c r="D411" s="51" t="s">
        <v>68</v>
      </c>
      <c r="E411" s="53">
        <v>45932.0</v>
      </c>
      <c r="F411" s="56" t="str">
        <f t="shared" si="1"/>
        <v>10/2025</v>
      </c>
      <c r="G411" s="57">
        <v>105.28</v>
      </c>
      <c r="H411" s="59">
        <f t="shared" si="22"/>
        <v>105.28</v>
      </c>
      <c r="I411" s="60">
        <v>45931.0</v>
      </c>
    </row>
    <row r="412" ht="22.5" customHeight="1">
      <c r="A412" s="43" t="s">
        <v>176</v>
      </c>
      <c r="B412" s="47"/>
      <c r="C412" s="50" t="s">
        <v>67</v>
      </c>
      <c r="D412" s="51" t="s">
        <v>67</v>
      </c>
      <c r="E412" s="53">
        <v>45937.0</v>
      </c>
      <c r="F412" s="56" t="str">
        <f t="shared" si="1"/>
        <v>10/2025</v>
      </c>
      <c r="G412" s="57">
        <v>1231.13</v>
      </c>
      <c r="H412" s="59">
        <f t="shared" si="22"/>
        <v>1231.13</v>
      </c>
      <c r="I412" s="60">
        <v>45936.0</v>
      </c>
    </row>
    <row r="413" ht="22.5" customHeight="1">
      <c r="A413" s="43" t="s">
        <v>82</v>
      </c>
      <c r="B413" s="47" t="s">
        <v>83</v>
      </c>
      <c r="C413" s="50" t="s">
        <v>67</v>
      </c>
      <c r="D413" s="51" t="s">
        <v>71</v>
      </c>
      <c r="E413" s="53">
        <v>45938.0</v>
      </c>
      <c r="F413" s="56" t="str">
        <f t="shared" si="1"/>
        <v>10/2025</v>
      </c>
      <c r="G413" s="57">
        <v>1619.32</v>
      </c>
      <c r="H413" s="59">
        <f t="shared" si="22"/>
        <v>1619.32</v>
      </c>
      <c r="I413" s="60">
        <v>45936.0</v>
      </c>
    </row>
    <row r="414" ht="22.5" customHeight="1">
      <c r="A414" s="43" t="s">
        <v>134</v>
      </c>
      <c r="B414" s="47" t="s">
        <v>135</v>
      </c>
      <c r="C414" s="50" t="s">
        <v>67</v>
      </c>
      <c r="D414" s="51" t="s">
        <v>71</v>
      </c>
      <c r="E414" s="53">
        <v>45938.0</v>
      </c>
      <c r="F414" s="56" t="str">
        <f t="shared" si="1"/>
        <v>10/2025</v>
      </c>
      <c r="G414" s="57">
        <v>1524.05</v>
      </c>
      <c r="H414" s="59">
        <f t="shared" si="22"/>
        <v>1524.05</v>
      </c>
      <c r="I414" s="60">
        <v>45937.0</v>
      </c>
    </row>
    <row r="415" ht="22.5" customHeight="1">
      <c r="A415" s="127" t="s">
        <v>136</v>
      </c>
      <c r="B415" s="47" t="s">
        <v>83</v>
      </c>
      <c r="C415" s="128" t="s">
        <v>132</v>
      </c>
      <c r="D415" s="51" t="s">
        <v>70</v>
      </c>
      <c r="E415" s="53">
        <v>45938.0</v>
      </c>
      <c r="F415" s="56" t="str">
        <f t="shared" si="1"/>
        <v>10/2025</v>
      </c>
      <c r="G415" s="57">
        <v>58.81</v>
      </c>
      <c r="H415" s="59">
        <f t="shared" si="22"/>
        <v>58.81</v>
      </c>
      <c r="I415" s="60">
        <v>45938.0</v>
      </c>
    </row>
    <row r="416" ht="22.5" customHeight="1">
      <c r="A416" s="43" t="s">
        <v>137</v>
      </c>
      <c r="B416" s="47"/>
      <c r="C416" s="50" t="s">
        <v>132</v>
      </c>
      <c r="D416" s="51" t="s">
        <v>72</v>
      </c>
      <c r="E416" s="53">
        <v>45940.0</v>
      </c>
      <c r="F416" s="56" t="str">
        <f t="shared" si="1"/>
        <v>10/2025</v>
      </c>
      <c r="G416" s="57">
        <f>1200-158.64</f>
        <v>1041.36</v>
      </c>
      <c r="H416" s="79">
        <f t="shared" si="22"/>
        <v>1041.36</v>
      </c>
      <c r="I416" s="60">
        <v>45940.0</v>
      </c>
    </row>
    <row r="417" ht="22.5" customHeight="1">
      <c r="A417" s="43" t="s">
        <v>141</v>
      </c>
      <c r="B417" s="47"/>
      <c r="C417" s="50" t="s">
        <v>132</v>
      </c>
      <c r="D417" s="51" t="s">
        <v>75</v>
      </c>
      <c r="E417" s="53">
        <v>45940.0</v>
      </c>
      <c r="F417" s="56" t="str">
        <f t="shared" si="1"/>
        <v>10/2025</v>
      </c>
      <c r="G417" s="57">
        <v>129.9</v>
      </c>
      <c r="H417" s="79">
        <f t="shared" si="22"/>
        <v>129.9</v>
      </c>
      <c r="I417" s="60">
        <v>45940.0</v>
      </c>
    </row>
    <row r="418" ht="22.5" customHeight="1">
      <c r="A418" s="43" t="s">
        <v>141</v>
      </c>
      <c r="B418" s="47"/>
      <c r="C418" s="50" t="s">
        <v>132</v>
      </c>
      <c r="D418" s="51" t="s">
        <v>75</v>
      </c>
      <c r="E418" s="53">
        <v>45940.0</v>
      </c>
      <c r="F418" s="56" t="str">
        <f t="shared" si="1"/>
        <v>10/2025</v>
      </c>
      <c r="G418" s="57">
        <v>99.9</v>
      </c>
      <c r="H418" s="79">
        <f t="shared" si="22"/>
        <v>99.9</v>
      </c>
      <c r="I418" s="60">
        <v>45940.0</v>
      </c>
    </row>
    <row r="419" ht="22.5" customHeight="1">
      <c r="A419" s="127" t="s">
        <v>130</v>
      </c>
      <c r="B419" s="47" t="s">
        <v>83</v>
      </c>
      <c r="C419" s="128" t="s">
        <v>132</v>
      </c>
      <c r="D419" s="51" t="s">
        <v>68</v>
      </c>
      <c r="E419" s="53">
        <v>45940.0</v>
      </c>
      <c r="F419" s="56" t="str">
        <f t="shared" si="1"/>
        <v>10/2025</v>
      </c>
      <c r="G419" s="57">
        <v>269.31</v>
      </c>
      <c r="H419" s="59">
        <f t="shared" si="22"/>
        <v>269.31</v>
      </c>
      <c r="I419" s="60">
        <v>45931.0</v>
      </c>
    </row>
    <row r="420" ht="22.5" customHeight="1">
      <c r="A420" s="127" t="s">
        <v>136</v>
      </c>
      <c r="B420" s="47" t="s">
        <v>131</v>
      </c>
      <c r="C420" s="128" t="s">
        <v>132</v>
      </c>
      <c r="D420" s="51" t="s">
        <v>70</v>
      </c>
      <c r="E420" s="53">
        <v>45940.0</v>
      </c>
      <c r="F420" s="56" t="str">
        <f t="shared" si="1"/>
        <v>10/2025</v>
      </c>
      <c r="G420" s="57">
        <v>80.0</v>
      </c>
      <c r="H420" s="59">
        <f t="shared" si="22"/>
        <v>80</v>
      </c>
      <c r="I420" s="60">
        <v>45940.0</v>
      </c>
    </row>
    <row r="421" ht="22.5" customHeight="1">
      <c r="A421" s="127" t="s">
        <v>15</v>
      </c>
      <c r="B421" s="131"/>
      <c r="C421" s="128" t="s">
        <v>50</v>
      </c>
      <c r="D421" s="51" t="s">
        <v>71</v>
      </c>
      <c r="E421" s="53">
        <v>45940.0</v>
      </c>
      <c r="F421" s="56" t="str">
        <f t="shared" si="1"/>
        <v>10/2025</v>
      </c>
      <c r="G421" s="57">
        <v>502.67</v>
      </c>
      <c r="H421" s="59">
        <f t="shared" si="22"/>
        <v>502.67</v>
      </c>
      <c r="I421" s="60">
        <v>45940.0</v>
      </c>
    </row>
    <row r="422" ht="22.5" customHeight="1">
      <c r="A422" s="43" t="s">
        <v>143</v>
      </c>
      <c r="B422" s="47"/>
      <c r="C422" s="50" t="s">
        <v>67</v>
      </c>
      <c r="D422" s="51" t="s">
        <v>71</v>
      </c>
      <c r="E422" s="53">
        <v>45941.0</v>
      </c>
      <c r="F422" s="56" t="str">
        <f t="shared" si="1"/>
        <v>10/2025</v>
      </c>
      <c r="G422" s="57">
        <v>70.94</v>
      </c>
      <c r="H422" s="59">
        <f t="shared" si="22"/>
        <v>70.94</v>
      </c>
      <c r="I422" s="60">
        <v>45943.0</v>
      </c>
    </row>
    <row r="423" ht="22.5" customHeight="1">
      <c r="A423" s="43" t="s">
        <v>239</v>
      </c>
      <c r="B423" s="47" t="s">
        <v>1669</v>
      </c>
      <c r="C423" s="50" t="s">
        <v>67</v>
      </c>
      <c r="D423" s="51" t="s">
        <v>67</v>
      </c>
      <c r="E423" s="53">
        <v>45944.0</v>
      </c>
      <c r="F423" s="56" t="str">
        <f t="shared" si="1"/>
        <v>10/2025</v>
      </c>
      <c r="G423" s="57">
        <v>822.13</v>
      </c>
      <c r="H423" s="79">
        <v>820.42</v>
      </c>
      <c r="I423" s="60">
        <v>45943.0</v>
      </c>
    </row>
    <row r="424" ht="22.5" customHeight="1">
      <c r="A424" s="43" t="s">
        <v>160</v>
      </c>
      <c r="B424" s="47"/>
      <c r="C424" s="50" t="s">
        <v>67</v>
      </c>
      <c r="D424" s="51" t="s">
        <v>67</v>
      </c>
      <c r="E424" s="53">
        <v>45945.0</v>
      </c>
      <c r="F424" s="56" t="str">
        <f t="shared" si="1"/>
        <v>10/2025</v>
      </c>
      <c r="G424" s="57">
        <v>1015.73</v>
      </c>
      <c r="H424" s="79">
        <f t="shared" ref="H424:H432" si="23">IF(I424,G424,0)</f>
        <v>1015.73</v>
      </c>
      <c r="I424" s="60">
        <v>45945.0</v>
      </c>
    </row>
    <row r="425" ht="22.5" customHeight="1">
      <c r="A425" s="127" t="s">
        <v>1140</v>
      </c>
      <c r="B425" s="47" t="s">
        <v>135</v>
      </c>
      <c r="C425" s="128" t="s">
        <v>67</v>
      </c>
      <c r="D425" s="51" t="s">
        <v>67</v>
      </c>
      <c r="E425" s="53">
        <v>45947.0</v>
      </c>
      <c r="F425" s="56" t="str">
        <f t="shared" si="1"/>
        <v>10/2025</v>
      </c>
      <c r="G425" s="57">
        <v>1982.32</v>
      </c>
      <c r="H425" s="59">
        <f t="shared" si="23"/>
        <v>1982.32</v>
      </c>
      <c r="I425" s="60">
        <v>45947.0</v>
      </c>
    </row>
    <row r="426" ht="22.5" customHeight="1">
      <c r="A426" s="43" t="s">
        <v>147</v>
      </c>
      <c r="B426" s="47" t="s">
        <v>148</v>
      </c>
      <c r="C426" s="50" t="s">
        <v>132</v>
      </c>
      <c r="D426" s="51" t="s">
        <v>76</v>
      </c>
      <c r="E426" s="53">
        <v>45950.0</v>
      </c>
      <c r="F426" s="56" t="str">
        <f t="shared" si="1"/>
        <v>10/2025</v>
      </c>
      <c r="G426" s="57">
        <v>76.9</v>
      </c>
      <c r="H426" s="79">
        <f t="shared" si="23"/>
        <v>76.9</v>
      </c>
      <c r="I426" s="60">
        <v>45950.0</v>
      </c>
    </row>
    <row r="427" ht="22.5" customHeight="1">
      <c r="A427" s="43" t="s">
        <v>147</v>
      </c>
      <c r="B427" s="47" t="s">
        <v>238</v>
      </c>
      <c r="C427" s="50" t="s">
        <v>132</v>
      </c>
      <c r="D427" s="51" t="s">
        <v>76</v>
      </c>
      <c r="E427" s="53">
        <v>45950.0</v>
      </c>
      <c r="F427" s="56" t="str">
        <f t="shared" si="1"/>
        <v>10/2025</v>
      </c>
      <c r="G427" s="57">
        <v>81.9</v>
      </c>
      <c r="H427" s="79">
        <f t="shared" si="23"/>
        <v>81.9</v>
      </c>
      <c r="I427" s="60">
        <v>45950.0</v>
      </c>
    </row>
    <row r="428" ht="22.5" customHeight="1">
      <c r="A428" s="43" t="s">
        <v>239</v>
      </c>
      <c r="B428" s="47" t="s">
        <v>240</v>
      </c>
      <c r="C428" s="50" t="s">
        <v>67</v>
      </c>
      <c r="D428" s="51" t="s">
        <v>67</v>
      </c>
      <c r="E428" s="53">
        <v>45951.0</v>
      </c>
      <c r="F428" s="56" t="str">
        <f t="shared" si="1"/>
        <v>10/2025</v>
      </c>
      <c r="G428" s="57">
        <v>539.04</v>
      </c>
      <c r="H428" s="59">
        <f t="shared" si="23"/>
        <v>539.04</v>
      </c>
      <c r="I428" s="60">
        <v>45951.0</v>
      </c>
    </row>
    <row r="429" ht="22.5" customHeight="1">
      <c r="A429" s="43" t="s">
        <v>134</v>
      </c>
      <c r="B429" s="47" t="s">
        <v>168</v>
      </c>
      <c r="C429" s="128" t="s">
        <v>67</v>
      </c>
      <c r="D429" s="51" t="s">
        <v>67</v>
      </c>
      <c r="E429" s="53">
        <v>45954.0</v>
      </c>
      <c r="F429" s="56" t="str">
        <f t="shared" si="1"/>
        <v>10/2025</v>
      </c>
      <c r="G429" s="57">
        <v>145.54</v>
      </c>
      <c r="H429" s="59">
        <f t="shared" si="23"/>
        <v>145.54</v>
      </c>
      <c r="I429" s="53">
        <v>45954.0</v>
      </c>
    </row>
    <row r="430" ht="22.5" customHeight="1">
      <c r="A430" s="127" t="s">
        <v>28</v>
      </c>
      <c r="B430" s="131"/>
      <c r="C430" s="128" t="s">
        <v>50</v>
      </c>
      <c r="D430" s="51" t="s">
        <v>71</v>
      </c>
      <c r="E430" s="53">
        <v>45954.0</v>
      </c>
      <c r="F430" s="56" t="str">
        <f t="shared" si="1"/>
        <v>10/2025</v>
      </c>
      <c r="G430" s="57">
        <v>541.2</v>
      </c>
      <c r="H430" s="59">
        <f t="shared" si="23"/>
        <v>541.2</v>
      </c>
      <c r="I430" s="53">
        <v>45954.0</v>
      </c>
    </row>
    <row r="431" ht="22.5" customHeight="1">
      <c r="A431" s="43" t="s">
        <v>138</v>
      </c>
      <c r="B431" s="47"/>
      <c r="C431" s="50" t="s">
        <v>67</v>
      </c>
      <c r="D431" s="51" t="s">
        <v>71</v>
      </c>
      <c r="E431" s="53">
        <v>45955.0</v>
      </c>
      <c r="F431" s="56" t="str">
        <f t="shared" si="1"/>
        <v>10/2025</v>
      </c>
      <c r="G431" s="57">
        <v>8712.7</v>
      </c>
      <c r="H431" s="59">
        <f t="shared" si="23"/>
        <v>8712.7</v>
      </c>
      <c r="I431" s="53">
        <v>45954.0</v>
      </c>
    </row>
    <row r="432" ht="22.5" customHeight="1">
      <c r="A432" s="127" t="s">
        <v>130</v>
      </c>
      <c r="B432" s="47" t="s">
        <v>131</v>
      </c>
      <c r="C432" s="128" t="s">
        <v>132</v>
      </c>
      <c r="D432" s="51" t="s">
        <v>68</v>
      </c>
      <c r="E432" s="53">
        <v>45963.0</v>
      </c>
      <c r="F432" s="56" t="str">
        <f t="shared" si="1"/>
        <v>11/2025</v>
      </c>
      <c r="G432" s="57">
        <v>114.45</v>
      </c>
      <c r="H432" s="59">
        <f t="shared" si="23"/>
        <v>114.45</v>
      </c>
      <c r="I432" s="53">
        <v>45961.0</v>
      </c>
    </row>
    <row r="433" ht="22.5" customHeight="1">
      <c r="A433" s="43" t="s">
        <v>176</v>
      </c>
      <c r="B433" s="47"/>
      <c r="C433" s="50" t="s">
        <v>67</v>
      </c>
      <c r="D433" s="51" t="s">
        <v>67</v>
      </c>
      <c r="E433" s="53">
        <v>45968.0</v>
      </c>
      <c r="F433" s="56" t="str">
        <f t="shared" si="1"/>
        <v>11/2025</v>
      </c>
      <c r="G433" s="57">
        <v>1231.13</v>
      </c>
      <c r="H433" s="79">
        <v>1228.35</v>
      </c>
      <c r="I433" s="53">
        <v>45964.0</v>
      </c>
    </row>
    <row r="434" ht="22.5" customHeight="1">
      <c r="A434" s="43" t="s">
        <v>82</v>
      </c>
      <c r="B434" s="47" t="s">
        <v>83</v>
      </c>
      <c r="C434" s="50" t="s">
        <v>67</v>
      </c>
      <c r="D434" s="51" t="s">
        <v>71</v>
      </c>
      <c r="E434" s="53">
        <v>45969.0</v>
      </c>
      <c r="F434" s="56" t="str">
        <f t="shared" si="1"/>
        <v>11/2025</v>
      </c>
      <c r="G434" s="57">
        <v>1619.32</v>
      </c>
      <c r="H434" s="59">
        <f t="shared" ref="H434:H443" si="24">IF(I434,G434,0)</f>
        <v>1619.32</v>
      </c>
      <c r="I434" s="53">
        <v>45964.0</v>
      </c>
    </row>
    <row r="435" ht="22.5" customHeight="1">
      <c r="A435" s="127" t="s">
        <v>136</v>
      </c>
      <c r="B435" s="47" t="s">
        <v>83</v>
      </c>
      <c r="C435" s="128" t="s">
        <v>132</v>
      </c>
      <c r="D435" s="51" t="s">
        <v>70</v>
      </c>
      <c r="E435" s="53">
        <v>45969.0</v>
      </c>
      <c r="F435" s="56" t="str">
        <f t="shared" si="1"/>
        <v>11/2025</v>
      </c>
      <c r="G435" s="57">
        <v>58.81</v>
      </c>
      <c r="H435" s="59">
        <f t="shared" si="24"/>
        <v>58.81</v>
      </c>
      <c r="I435" s="53">
        <v>45968.0</v>
      </c>
    </row>
    <row r="436" ht="22.5" customHeight="1">
      <c r="A436" s="43" t="s">
        <v>134</v>
      </c>
      <c r="B436" s="47" t="s">
        <v>135</v>
      </c>
      <c r="C436" s="50" t="s">
        <v>67</v>
      </c>
      <c r="D436" s="51" t="s">
        <v>71</v>
      </c>
      <c r="E436" s="53">
        <v>45969.0</v>
      </c>
      <c r="F436" s="56" t="str">
        <f t="shared" si="1"/>
        <v>11/2025</v>
      </c>
      <c r="G436" s="57">
        <v>1624.38</v>
      </c>
      <c r="H436" s="59">
        <f t="shared" si="24"/>
        <v>1624.38</v>
      </c>
      <c r="I436" s="53">
        <v>45964.0</v>
      </c>
    </row>
    <row r="437" ht="22.5" customHeight="1">
      <c r="A437" s="127" t="s">
        <v>15</v>
      </c>
      <c r="B437" s="131"/>
      <c r="C437" s="128" t="s">
        <v>50</v>
      </c>
      <c r="D437" s="51" t="s">
        <v>71</v>
      </c>
      <c r="E437" s="53">
        <v>45970.0</v>
      </c>
      <c r="F437" s="56" t="str">
        <f t="shared" si="1"/>
        <v>11/2025</v>
      </c>
      <c r="G437" s="57">
        <v>502.67</v>
      </c>
      <c r="H437" s="59">
        <f t="shared" si="24"/>
        <v>502.67</v>
      </c>
      <c r="I437" s="53">
        <v>45971.0</v>
      </c>
    </row>
    <row r="438" ht="22.5" customHeight="1">
      <c r="A438" s="43" t="s">
        <v>137</v>
      </c>
      <c r="B438" s="47"/>
      <c r="C438" s="50" t="s">
        <v>132</v>
      </c>
      <c r="D438" s="51" t="s">
        <v>72</v>
      </c>
      <c r="E438" s="53">
        <v>45971.0</v>
      </c>
      <c r="F438" s="56" t="str">
        <f t="shared" si="1"/>
        <v>11/2025</v>
      </c>
      <c r="G438" s="57">
        <f>1200-162.68+80</f>
        <v>1117.32</v>
      </c>
      <c r="H438" s="79">
        <f t="shared" si="24"/>
        <v>1117.32</v>
      </c>
      <c r="I438" s="53">
        <v>45971.0</v>
      </c>
    </row>
    <row r="439" ht="22.5" customHeight="1">
      <c r="A439" s="43" t="s">
        <v>141</v>
      </c>
      <c r="B439" s="47"/>
      <c r="C439" s="50" t="s">
        <v>132</v>
      </c>
      <c r="D439" s="51" t="s">
        <v>75</v>
      </c>
      <c r="E439" s="53">
        <v>45971.0</v>
      </c>
      <c r="F439" s="56" t="str">
        <f t="shared" si="1"/>
        <v>11/2025</v>
      </c>
      <c r="G439" s="57">
        <v>129.9</v>
      </c>
      <c r="H439" s="79">
        <f t="shared" si="24"/>
        <v>129.9</v>
      </c>
      <c r="I439" s="53">
        <v>45968.0</v>
      </c>
    </row>
    <row r="440" ht="22.5" customHeight="1">
      <c r="A440" s="43" t="s">
        <v>141</v>
      </c>
      <c r="B440" s="47"/>
      <c r="C440" s="50" t="s">
        <v>132</v>
      </c>
      <c r="D440" s="51" t="s">
        <v>75</v>
      </c>
      <c r="E440" s="53">
        <v>45971.0</v>
      </c>
      <c r="F440" s="56" t="str">
        <f t="shared" si="1"/>
        <v>11/2025</v>
      </c>
      <c r="G440" s="57">
        <v>99.9</v>
      </c>
      <c r="H440" s="79">
        <f t="shared" si="24"/>
        <v>99.9</v>
      </c>
      <c r="I440" s="53">
        <v>45971.0</v>
      </c>
    </row>
    <row r="441" ht="22.5" customHeight="1">
      <c r="A441" s="127" t="s">
        <v>130</v>
      </c>
      <c r="B441" s="47" t="s">
        <v>83</v>
      </c>
      <c r="C441" s="128" t="s">
        <v>132</v>
      </c>
      <c r="D441" s="51" t="s">
        <v>68</v>
      </c>
      <c r="E441" s="53">
        <v>45971.0</v>
      </c>
      <c r="F441" s="56" t="str">
        <f t="shared" si="1"/>
        <v>11/2025</v>
      </c>
      <c r="G441" s="57">
        <v>270.7</v>
      </c>
      <c r="H441" s="59">
        <f t="shared" si="24"/>
        <v>270.7</v>
      </c>
      <c r="I441" s="53">
        <v>45968.0</v>
      </c>
    </row>
    <row r="442" ht="22.5" customHeight="1">
      <c r="A442" s="127" t="s">
        <v>136</v>
      </c>
      <c r="B442" s="47" t="s">
        <v>131</v>
      </c>
      <c r="C442" s="128" t="s">
        <v>132</v>
      </c>
      <c r="D442" s="51" t="s">
        <v>70</v>
      </c>
      <c r="E442" s="53">
        <v>45971.0</v>
      </c>
      <c r="F442" s="56" t="str">
        <f t="shared" si="1"/>
        <v>11/2025</v>
      </c>
      <c r="G442" s="57">
        <v>162.68</v>
      </c>
      <c r="H442" s="59">
        <f t="shared" si="24"/>
        <v>162.68</v>
      </c>
      <c r="I442" s="60">
        <v>45961.0</v>
      </c>
    </row>
    <row r="443" ht="22.5" customHeight="1">
      <c r="A443" s="138" t="s">
        <v>143</v>
      </c>
      <c r="B443" s="139"/>
      <c r="C443" s="140" t="s">
        <v>67</v>
      </c>
      <c r="D443" s="141" t="s">
        <v>71</v>
      </c>
      <c r="E443" s="53">
        <v>45972.0</v>
      </c>
      <c r="F443" s="56" t="str">
        <f t="shared" si="1"/>
        <v>11/2025</v>
      </c>
      <c r="G443" s="57">
        <v>70.94</v>
      </c>
      <c r="H443" s="59">
        <f t="shared" si="24"/>
        <v>70.94</v>
      </c>
      <c r="I443" s="60">
        <v>45972.0</v>
      </c>
    </row>
    <row r="444" ht="22.5" customHeight="1">
      <c r="A444" s="43" t="s">
        <v>239</v>
      </c>
      <c r="B444" s="47" t="s">
        <v>1669</v>
      </c>
      <c r="C444" s="50" t="s">
        <v>67</v>
      </c>
      <c r="D444" s="51" t="s">
        <v>67</v>
      </c>
      <c r="E444" s="53">
        <v>45975.0</v>
      </c>
      <c r="F444" s="56" t="str">
        <f t="shared" si="1"/>
        <v>11/2025</v>
      </c>
      <c r="G444" s="57">
        <v>822.13</v>
      </c>
      <c r="H444" s="79">
        <v>804.09</v>
      </c>
      <c r="I444" s="60">
        <v>45964.0</v>
      </c>
    </row>
    <row r="445" ht="22.5" customHeight="1">
      <c r="A445" s="43" t="s">
        <v>160</v>
      </c>
      <c r="B445" s="47"/>
      <c r="C445" s="50" t="s">
        <v>67</v>
      </c>
      <c r="D445" s="51" t="s">
        <v>67</v>
      </c>
      <c r="E445" s="53">
        <v>45976.0</v>
      </c>
      <c r="F445" s="56" t="str">
        <f t="shared" si="1"/>
        <v>11/2025</v>
      </c>
      <c r="G445" s="57">
        <v>1015.73</v>
      </c>
      <c r="H445" s="79">
        <f t="shared" ref="H445:H448" si="25">IF(I445,G445,0)</f>
        <v>1015.73</v>
      </c>
      <c r="I445" s="60">
        <v>45978.0</v>
      </c>
    </row>
    <row r="446" ht="22.5" customHeight="1">
      <c r="A446" s="127" t="s">
        <v>1140</v>
      </c>
      <c r="B446" s="47" t="s">
        <v>135</v>
      </c>
      <c r="C446" s="128" t="s">
        <v>67</v>
      </c>
      <c r="D446" s="51" t="s">
        <v>67</v>
      </c>
      <c r="E446" s="53">
        <v>45978.0</v>
      </c>
      <c r="F446" s="56" t="str">
        <f t="shared" si="1"/>
        <v>11/2025</v>
      </c>
      <c r="G446" s="57">
        <v>2352.76</v>
      </c>
      <c r="H446" s="59">
        <f t="shared" si="25"/>
        <v>2352.76</v>
      </c>
      <c r="I446" s="60">
        <v>45972.0</v>
      </c>
    </row>
    <row r="447" ht="22.5" customHeight="1">
      <c r="A447" s="43" t="s">
        <v>147</v>
      </c>
      <c r="B447" s="47" t="s">
        <v>148</v>
      </c>
      <c r="C447" s="50" t="s">
        <v>132</v>
      </c>
      <c r="D447" s="51" t="s">
        <v>76</v>
      </c>
      <c r="E447" s="53">
        <v>45981.0</v>
      </c>
      <c r="F447" s="56" t="str">
        <f t="shared" si="1"/>
        <v>11/2025</v>
      </c>
      <c r="G447" s="57">
        <v>76.9</v>
      </c>
      <c r="H447" s="79">
        <f t="shared" si="25"/>
        <v>76.9</v>
      </c>
      <c r="I447" s="60">
        <v>45981.0</v>
      </c>
    </row>
    <row r="448" ht="22.5" customHeight="1">
      <c r="A448" s="43" t="s">
        <v>147</v>
      </c>
      <c r="B448" s="47" t="s">
        <v>238</v>
      </c>
      <c r="C448" s="50" t="s">
        <v>132</v>
      </c>
      <c r="D448" s="51" t="s">
        <v>76</v>
      </c>
      <c r="E448" s="53">
        <v>45981.0</v>
      </c>
      <c r="F448" s="56" t="str">
        <f t="shared" si="1"/>
        <v>11/2025</v>
      </c>
      <c r="G448" s="57">
        <v>81.9</v>
      </c>
      <c r="H448" s="79">
        <f t="shared" si="25"/>
        <v>81.9</v>
      </c>
      <c r="I448" s="60">
        <v>45981.0</v>
      </c>
    </row>
    <row r="449" ht="22.5" customHeight="1">
      <c r="A449" s="43" t="s">
        <v>239</v>
      </c>
      <c r="B449" s="47" t="s">
        <v>240</v>
      </c>
      <c r="C449" s="50" t="s">
        <v>67</v>
      </c>
      <c r="D449" s="51" t="s">
        <v>67</v>
      </c>
      <c r="E449" s="53">
        <v>45982.0</v>
      </c>
      <c r="F449" s="56" t="str">
        <f t="shared" si="1"/>
        <v>11/2025</v>
      </c>
      <c r="G449" s="57">
        <v>539.04</v>
      </c>
      <c r="H449" s="79">
        <v>519.83</v>
      </c>
      <c r="I449" s="60">
        <v>45964.0</v>
      </c>
    </row>
    <row r="450" ht="22.5" customHeight="1">
      <c r="A450" s="43" t="s">
        <v>134</v>
      </c>
      <c r="B450" s="47" t="s">
        <v>168</v>
      </c>
      <c r="C450" s="128" t="s">
        <v>67</v>
      </c>
      <c r="D450" s="51" t="s">
        <v>67</v>
      </c>
      <c r="E450" s="53">
        <v>45985.0</v>
      </c>
      <c r="F450" s="56" t="str">
        <f t="shared" si="1"/>
        <v>11/2025</v>
      </c>
      <c r="G450" s="57">
        <v>145.51</v>
      </c>
      <c r="H450" s="59">
        <f t="shared" ref="H450:H452" si="26">IF(I450,G450,0)</f>
        <v>145.51</v>
      </c>
      <c r="I450" s="60">
        <v>45981.0</v>
      </c>
    </row>
    <row r="451" ht="22.5" customHeight="1">
      <c r="A451" s="43" t="s">
        <v>138</v>
      </c>
      <c r="B451" s="47"/>
      <c r="C451" s="50" t="s">
        <v>67</v>
      </c>
      <c r="D451" s="51" t="s">
        <v>71</v>
      </c>
      <c r="E451" s="53">
        <v>45986.0</v>
      </c>
      <c r="F451" s="56" t="str">
        <f t="shared" si="1"/>
        <v>11/2025</v>
      </c>
      <c r="G451" s="57">
        <v>8469.7</v>
      </c>
      <c r="H451" s="59">
        <f t="shared" si="26"/>
        <v>8469.7</v>
      </c>
      <c r="I451" s="60">
        <v>45981.0</v>
      </c>
    </row>
    <row r="452" ht="22.5" customHeight="1">
      <c r="A452" s="127" t="s">
        <v>130</v>
      </c>
      <c r="B452" s="47" t="s">
        <v>131</v>
      </c>
      <c r="C452" s="128" t="s">
        <v>132</v>
      </c>
      <c r="D452" s="51" t="s">
        <v>68</v>
      </c>
      <c r="E452" s="53">
        <v>45993.0</v>
      </c>
      <c r="F452" s="56" t="str">
        <f t="shared" si="1"/>
        <v>12/2025</v>
      </c>
      <c r="G452" s="57">
        <v>97.24</v>
      </c>
      <c r="H452" s="59">
        <f t="shared" si="26"/>
        <v>97.24</v>
      </c>
      <c r="I452" s="60">
        <v>45995.0</v>
      </c>
    </row>
    <row r="453" ht="22.5" customHeight="1">
      <c r="A453" s="43" t="s">
        <v>176</v>
      </c>
      <c r="B453" s="47"/>
      <c r="C453" s="50" t="s">
        <v>67</v>
      </c>
      <c r="D453" s="51" t="s">
        <v>67</v>
      </c>
      <c r="E453" s="53">
        <v>45998.0</v>
      </c>
      <c r="F453" s="56" t="str">
        <f t="shared" si="1"/>
        <v>12/2025</v>
      </c>
      <c r="G453" s="57">
        <v>1231.13</v>
      </c>
      <c r="H453" s="79">
        <v>1229.27</v>
      </c>
      <c r="I453" s="60">
        <v>45995.0</v>
      </c>
    </row>
    <row r="454" ht="22.5" customHeight="1">
      <c r="A454" s="43" t="s">
        <v>82</v>
      </c>
      <c r="B454" s="47" t="s">
        <v>83</v>
      </c>
      <c r="C454" s="50" t="s">
        <v>67</v>
      </c>
      <c r="D454" s="51" t="s">
        <v>71</v>
      </c>
      <c r="E454" s="53">
        <v>45999.0</v>
      </c>
      <c r="F454" s="56" t="str">
        <f t="shared" si="1"/>
        <v>12/2025</v>
      </c>
      <c r="G454" s="57">
        <v>1619.32</v>
      </c>
      <c r="H454" s="59">
        <f t="shared" ref="H454:H463" si="27">IF(I454,G454,0)</f>
        <v>1619.32</v>
      </c>
      <c r="I454" s="60">
        <v>45995.0</v>
      </c>
    </row>
    <row r="455" ht="22.5" customHeight="1">
      <c r="A455" s="127" t="s">
        <v>136</v>
      </c>
      <c r="B455" s="47" t="s">
        <v>83</v>
      </c>
      <c r="C455" s="128" t="s">
        <v>132</v>
      </c>
      <c r="D455" s="51" t="s">
        <v>70</v>
      </c>
      <c r="E455" s="53">
        <v>45999.0</v>
      </c>
      <c r="F455" s="56" t="str">
        <f t="shared" si="1"/>
        <v>12/2025</v>
      </c>
      <c r="G455" s="57">
        <v>57.19</v>
      </c>
      <c r="H455" s="59">
        <f t="shared" si="27"/>
        <v>57.19</v>
      </c>
      <c r="I455" s="60">
        <v>45994.0</v>
      </c>
    </row>
    <row r="456" ht="22.5" customHeight="1">
      <c r="A456" s="43" t="s">
        <v>134</v>
      </c>
      <c r="B456" s="47" t="s">
        <v>135</v>
      </c>
      <c r="C456" s="50" t="s">
        <v>67</v>
      </c>
      <c r="D456" s="51" t="s">
        <v>71</v>
      </c>
      <c r="E456" s="53">
        <v>45999.0</v>
      </c>
      <c r="F456" s="56" t="str">
        <f t="shared" si="1"/>
        <v>12/2025</v>
      </c>
      <c r="G456" s="57">
        <v>1624.38</v>
      </c>
      <c r="H456" s="59">
        <f t="shared" si="27"/>
        <v>1624.38</v>
      </c>
      <c r="I456" s="60">
        <v>45995.0</v>
      </c>
    </row>
    <row r="457" ht="22.5" customHeight="1">
      <c r="A457" s="127" t="s">
        <v>15</v>
      </c>
      <c r="B457" s="131"/>
      <c r="C457" s="128" t="s">
        <v>50</v>
      </c>
      <c r="D457" s="51" t="s">
        <v>71</v>
      </c>
      <c r="E457" s="53">
        <v>46000.0</v>
      </c>
      <c r="F457" s="56" t="str">
        <f t="shared" si="1"/>
        <v>12/2025</v>
      </c>
      <c r="G457" s="57">
        <v>502.67</v>
      </c>
      <c r="H457" s="59">
        <f t="shared" si="27"/>
        <v>502.67</v>
      </c>
      <c r="I457" s="60">
        <v>45999.0</v>
      </c>
    </row>
    <row r="458" ht="22.5" customHeight="1">
      <c r="A458" s="43" t="s">
        <v>137</v>
      </c>
      <c r="B458" s="47"/>
      <c r="C458" s="50" t="s">
        <v>132</v>
      </c>
      <c r="D458" s="51" t="s">
        <v>72</v>
      </c>
      <c r="E458" s="53">
        <v>46001.0</v>
      </c>
      <c r="F458" s="56" t="str">
        <f t="shared" si="1"/>
        <v>12/2025</v>
      </c>
      <c r="G458" s="57">
        <v>1200.0</v>
      </c>
      <c r="H458" s="79">
        <f t="shared" si="27"/>
        <v>1200</v>
      </c>
      <c r="I458" s="60">
        <v>46001.0</v>
      </c>
    </row>
    <row r="459" ht="22.5" customHeight="1">
      <c r="A459" s="43" t="s">
        <v>141</v>
      </c>
      <c r="B459" s="47"/>
      <c r="C459" s="50" t="s">
        <v>132</v>
      </c>
      <c r="D459" s="51" t="s">
        <v>75</v>
      </c>
      <c r="E459" s="53">
        <v>46001.0</v>
      </c>
      <c r="F459" s="56" t="str">
        <f t="shared" si="1"/>
        <v>12/2025</v>
      </c>
      <c r="G459" s="57">
        <v>129.9</v>
      </c>
      <c r="H459" s="79">
        <f t="shared" si="27"/>
        <v>129.9</v>
      </c>
      <c r="I459" s="60">
        <v>46001.0</v>
      </c>
    </row>
    <row r="460" ht="22.5" customHeight="1">
      <c r="A460" s="43" t="s">
        <v>141</v>
      </c>
      <c r="B460" s="47"/>
      <c r="C460" s="50" t="s">
        <v>132</v>
      </c>
      <c r="D460" s="51" t="s">
        <v>75</v>
      </c>
      <c r="E460" s="53">
        <v>46001.0</v>
      </c>
      <c r="F460" s="56" t="str">
        <f t="shared" si="1"/>
        <v>12/2025</v>
      </c>
      <c r="G460" s="57">
        <v>99.9</v>
      </c>
      <c r="H460" s="79">
        <f t="shared" si="27"/>
        <v>99.9</v>
      </c>
      <c r="I460" s="60">
        <v>46001.0</v>
      </c>
    </row>
    <row r="461" ht="22.5" customHeight="1">
      <c r="A461" s="127" t="s">
        <v>130</v>
      </c>
      <c r="B461" s="47" t="s">
        <v>83</v>
      </c>
      <c r="C461" s="128" t="s">
        <v>132</v>
      </c>
      <c r="D461" s="51" t="s">
        <v>68</v>
      </c>
      <c r="E461" s="53">
        <v>46001.0</v>
      </c>
      <c r="F461" s="56" t="str">
        <f t="shared" si="1"/>
        <v>12/2025</v>
      </c>
      <c r="G461" s="57">
        <v>254.9</v>
      </c>
      <c r="H461" s="59">
        <f t="shared" si="27"/>
        <v>254.9</v>
      </c>
      <c r="I461" s="60">
        <v>45994.0</v>
      </c>
    </row>
    <row r="462" ht="22.5" customHeight="1">
      <c r="A462" s="127" t="s">
        <v>136</v>
      </c>
      <c r="B462" s="47" t="s">
        <v>131</v>
      </c>
      <c r="C462" s="128" t="s">
        <v>132</v>
      </c>
      <c r="D462" s="51" t="s">
        <v>70</v>
      </c>
      <c r="E462" s="53">
        <v>46001.0</v>
      </c>
      <c r="F462" s="56" t="str">
        <f t="shared" si="1"/>
        <v>12/2025</v>
      </c>
      <c r="G462" s="57">
        <v>80.0</v>
      </c>
      <c r="H462" s="59">
        <f t="shared" si="27"/>
        <v>80</v>
      </c>
      <c r="I462" s="60">
        <v>46001.0</v>
      </c>
    </row>
    <row r="463" ht="22.5" customHeight="1">
      <c r="A463" s="142" t="s">
        <v>143</v>
      </c>
      <c r="B463" s="139"/>
      <c r="C463" s="143" t="s">
        <v>67</v>
      </c>
      <c r="D463" s="144" t="s">
        <v>67</v>
      </c>
      <c r="E463" s="53">
        <v>46002.0</v>
      </c>
      <c r="F463" s="56" t="str">
        <f t="shared" si="1"/>
        <v>12/2025</v>
      </c>
      <c r="G463" s="57">
        <v>70.94</v>
      </c>
      <c r="H463" s="59">
        <f t="shared" si="27"/>
        <v>70.94</v>
      </c>
      <c r="I463" s="60">
        <v>46002.0</v>
      </c>
    </row>
    <row r="464" ht="22.5" customHeight="1">
      <c r="A464" s="43" t="s">
        <v>239</v>
      </c>
      <c r="B464" s="47" t="s">
        <v>1669</v>
      </c>
      <c r="C464" s="50" t="s">
        <v>67</v>
      </c>
      <c r="D464" s="51" t="s">
        <v>67</v>
      </c>
      <c r="E464" s="53">
        <v>46005.0</v>
      </c>
      <c r="F464" s="56" t="str">
        <f t="shared" si="1"/>
        <v>12/2025</v>
      </c>
      <c r="G464" s="57">
        <v>822.13</v>
      </c>
      <c r="H464" s="79">
        <v>790.22</v>
      </c>
      <c r="I464" s="60">
        <v>45986.0</v>
      </c>
    </row>
    <row r="465" ht="22.5" customHeight="1">
      <c r="A465" s="43" t="s">
        <v>160</v>
      </c>
      <c r="B465" s="47"/>
      <c r="C465" s="50" t="s">
        <v>67</v>
      </c>
      <c r="D465" s="51" t="s">
        <v>67</v>
      </c>
      <c r="E465" s="53">
        <v>46006.0</v>
      </c>
      <c r="F465" s="56" t="str">
        <f t="shared" si="1"/>
        <v>12/2025</v>
      </c>
      <c r="G465" s="57">
        <v>1015.73</v>
      </c>
      <c r="H465" s="79">
        <f t="shared" ref="H465:H468" si="28">IF(I465,G465,0)</f>
        <v>1015.73</v>
      </c>
      <c r="I465" s="60">
        <v>46006.0</v>
      </c>
    </row>
    <row r="466" ht="22.5" customHeight="1">
      <c r="A466" s="127" t="s">
        <v>1140</v>
      </c>
      <c r="B466" s="47" t="s">
        <v>135</v>
      </c>
      <c r="C466" s="128" t="s">
        <v>67</v>
      </c>
      <c r="D466" s="51" t="s">
        <v>67</v>
      </c>
      <c r="E466" s="53">
        <v>46008.0</v>
      </c>
      <c r="F466" s="56" t="str">
        <f t="shared" si="1"/>
        <v>12/2025</v>
      </c>
      <c r="G466" s="57">
        <v>1279.81</v>
      </c>
      <c r="H466" s="59">
        <f t="shared" si="28"/>
        <v>1279.81</v>
      </c>
      <c r="I466" s="60">
        <v>46002.0</v>
      </c>
    </row>
    <row r="467" ht="22.5" customHeight="1">
      <c r="A467" s="43" t="s">
        <v>147</v>
      </c>
      <c r="B467" s="47" t="s">
        <v>148</v>
      </c>
      <c r="C467" s="50" t="s">
        <v>132</v>
      </c>
      <c r="D467" s="51" t="s">
        <v>76</v>
      </c>
      <c r="E467" s="53">
        <v>46011.0</v>
      </c>
      <c r="F467" s="56" t="str">
        <f t="shared" si="1"/>
        <v>12/2025</v>
      </c>
      <c r="G467" s="57">
        <v>76.9</v>
      </c>
      <c r="H467" s="79">
        <f t="shared" si="28"/>
        <v>76.9</v>
      </c>
      <c r="I467" s="60">
        <v>46010.0</v>
      </c>
    </row>
    <row r="468" ht="22.5" customHeight="1">
      <c r="A468" s="43" t="s">
        <v>147</v>
      </c>
      <c r="B468" s="47" t="s">
        <v>238</v>
      </c>
      <c r="C468" s="50" t="s">
        <v>132</v>
      </c>
      <c r="D468" s="51" t="s">
        <v>76</v>
      </c>
      <c r="E468" s="53">
        <v>46011.0</v>
      </c>
      <c r="F468" s="56" t="str">
        <f t="shared" si="1"/>
        <v>12/2025</v>
      </c>
      <c r="G468" s="57">
        <v>81.9</v>
      </c>
      <c r="H468" s="79">
        <f t="shared" si="28"/>
        <v>81.9</v>
      </c>
      <c r="I468" s="60">
        <v>46010.0</v>
      </c>
    </row>
    <row r="469" ht="22.5" customHeight="1">
      <c r="A469" s="43" t="s">
        <v>239</v>
      </c>
      <c r="B469" s="47" t="s">
        <v>240</v>
      </c>
      <c r="C469" s="50" t="s">
        <v>67</v>
      </c>
      <c r="D469" s="51" t="s">
        <v>67</v>
      </c>
      <c r="E469" s="53">
        <v>46012.0</v>
      </c>
      <c r="F469" s="56" t="str">
        <f t="shared" si="1"/>
        <v>12/2025</v>
      </c>
      <c r="G469" s="57">
        <v>539.04</v>
      </c>
      <c r="H469" s="79">
        <v>510.62</v>
      </c>
      <c r="I469" s="60">
        <v>45986.0</v>
      </c>
    </row>
    <row r="470" ht="22.5" customHeight="1">
      <c r="A470" s="43" t="s">
        <v>134</v>
      </c>
      <c r="B470" s="47" t="s">
        <v>168</v>
      </c>
      <c r="C470" s="128" t="s">
        <v>67</v>
      </c>
      <c r="D470" s="51" t="s">
        <v>67</v>
      </c>
      <c r="E470" s="53">
        <v>46015.0</v>
      </c>
      <c r="F470" s="56" t="str">
        <f t="shared" si="1"/>
        <v>12/2025</v>
      </c>
      <c r="G470" s="57">
        <v>177.81</v>
      </c>
      <c r="H470" s="59">
        <f t="shared" ref="H470:H471" si="29">IF(I470,G470,0)</f>
        <v>177.81</v>
      </c>
      <c r="I470" s="60">
        <v>46013.0</v>
      </c>
    </row>
    <row r="471" ht="22.5" customHeight="1">
      <c r="A471" s="43" t="s">
        <v>138</v>
      </c>
      <c r="B471" s="47"/>
      <c r="C471" s="50" t="s">
        <v>67</v>
      </c>
      <c r="D471" s="51" t="s">
        <v>71</v>
      </c>
      <c r="E471" s="53">
        <v>46016.0</v>
      </c>
      <c r="F471" s="56" t="str">
        <f t="shared" si="1"/>
        <v>12/2025</v>
      </c>
      <c r="G471" s="57">
        <v>7840.93</v>
      </c>
      <c r="H471" s="59">
        <f t="shared" si="29"/>
        <v>7840.93</v>
      </c>
      <c r="I471" s="60">
        <v>46009.0</v>
      </c>
    </row>
    <row r="472" ht="22.5" customHeight="1">
      <c r="A472" s="43" t="s">
        <v>176</v>
      </c>
      <c r="B472" s="47"/>
      <c r="C472" s="50" t="s">
        <v>67</v>
      </c>
      <c r="D472" s="51" t="s">
        <v>67</v>
      </c>
      <c r="E472" s="53">
        <v>46029.0</v>
      </c>
      <c r="F472" s="56" t="str">
        <f t="shared" si="1"/>
        <v>1/2026</v>
      </c>
      <c r="G472" s="57">
        <v>1231.13</v>
      </c>
      <c r="H472" s="79">
        <v>1226.49</v>
      </c>
      <c r="I472" s="60">
        <v>46023.0</v>
      </c>
    </row>
    <row r="473" ht="22.5" customHeight="1">
      <c r="A473" s="43" t="s">
        <v>82</v>
      </c>
      <c r="B473" s="47" t="s">
        <v>83</v>
      </c>
      <c r="C473" s="50" t="s">
        <v>67</v>
      </c>
      <c r="D473" s="51" t="s">
        <v>71</v>
      </c>
      <c r="E473" s="53">
        <v>46030.0</v>
      </c>
      <c r="F473" s="56" t="str">
        <f t="shared" si="1"/>
        <v>1/2026</v>
      </c>
      <c r="G473" s="57">
        <v>1687.0</v>
      </c>
      <c r="H473" s="59">
        <f t="shared" ref="H473:H478" si="30">IF(I473,G473,0)</f>
        <v>1687</v>
      </c>
      <c r="I473" s="60">
        <v>46028.0</v>
      </c>
    </row>
    <row r="474" ht="22.5" customHeight="1">
      <c r="A474" s="127" t="s">
        <v>136</v>
      </c>
      <c r="B474" s="47" t="s">
        <v>83</v>
      </c>
      <c r="C474" s="128" t="s">
        <v>132</v>
      </c>
      <c r="D474" s="51" t="s">
        <v>70</v>
      </c>
      <c r="E474" s="53">
        <v>46030.0</v>
      </c>
      <c r="F474" s="56" t="str">
        <f t="shared" si="1"/>
        <v>1/2026</v>
      </c>
      <c r="G474" s="57">
        <v>58.72</v>
      </c>
      <c r="H474" s="59">
        <f t="shared" si="30"/>
        <v>58.72</v>
      </c>
      <c r="I474" s="60">
        <v>46024.0</v>
      </c>
    </row>
    <row r="475" ht="22.5" customHeight="1">
      <c r="A475" s="43" t="s">
        <v>134</v>
      </c>
      <c r="B475" s="47" t="s">
        <v>135</v>
      </c>
      <c r="C475" s="50" t="s">
        <v>67</v>
      </c>
      <c r="D475" s="51" t="s">
        <v>71</v>
      </c>
      <c r="E475" s="53">
        <v>46030.0</v>
      </c>
      <c r="F475" s="56" t="str">
        <f t="shared" si="1"/>
        <v>1/2026</v>
      </c>
      <c r="G475" s="57">
        <v>1223.05</v>
      </c>
      <c r="H475" s="59">
        <f t="shared" si="30"/>
        <v>1223.05</v>
      </c>
      <c r="I475" s="60">
        <v>46023.0</v>
      </c>
    </row>
    <row r="476" ht="22.5" customHeight="1">
      <c r="A476" s="127" t="s">
        <v>15</v>
      </c>
      <c r="B476" s="131"/>
      <c r="C476" s="128" t="s">
        <v>50</v>
      </c>
      <c r="D476" s="51" t="s">
        <v>71</v>
      </c>
      <c r="E476" s="53">
        <v>46030.0</v>
      </c>
      <c r="F476" s="56" t="str">
        <f t="shared" si="1"/>
        <v>1/2026</v>
      </c>
      <c r="G476" s="57">
        <v>502.67</v>
      </c>
      <c r="H476" s="59">
        <f t="shared" si="30"/>
        <v>502.67</v>
      </c>
      <c r="I476" s="60">
        <v>46028.0</v>
      </c>
    </row>
    <row r="477" ht="22.5" customHeight="1">
      <c r="A477" s="127" t="s">
        <v>130</v>
      </c>
      <c r="B477" s="47" t="s">
        <v>83</v>
      </c>
      <c r="C477" s="128" t="s">
        <v>132</v>
      </c>
      <c r="D477" s="51" t="s">
        <v>68</v>
      </c>
      <c r="E477" s="53">
        <v>46032.0</v>
      </c>
      <c r="F477" s="56" t="str">
        <f t="shared" si="1"/>
        <v>1/2026</v>
      </c>
      <c r="G477" s="57">
        <v>226.66</v>
      </c>
      <c r="H477" s="59">
        <f t="shared" si="30"/>
        <v>226.66</v>
      </c>
      <c r="I477" s="60">
        <v>46024.0</v>
      </c>
    </row>
    <row r="478" ht="22.5" customHeight="1">
      <c r="A478" s="127" t="s">
        <v>141</v>
      </c>
      <c r="B478" s="131"/>
      <c r="C478" s="128" t="s">
        <v>132</v>
      </c>
      <c r="D478" s="51" t="s">
        <v>75</v>
      </c>
      <c r="E478" s="53">
        <v>46032.0</v>
      </c>
      <c r="F478" s="56" t="str">
        <f t="shared" si="1"/>
        <v>1/2026</v>
      </c>
      <c r="G478" s="57">
        <v>129.9</v>
      </c>
      <c r="H478" s="59">
        <f t="shared" si="30"/>
        <v>129.9</v>
      </c>
      <c r="I478" s="60">
        <v>46024.0</v>
      </c>
    </row>
    <row r="479" ht="22.5" customHeight="1">
      <c r="A479" s="43" t="s">
        <v>239</v>
      </c>
      <c r="B479" s="47" t="s">
        <v>1669</v>
      </c>
      <c r="C479" s="50" t="s">
        <v>67</v>
      </c>
      <c r="D479" s="51" t="s">
        <v>67</v>
      </c>
      <c r="E479" s="53">
        <v>46036.0</v>
      </c>
      <c r="F479" s="56" t="str">
        <f t="shared" si="1"/>
        <v>1/2026</v>
      </c>
      <c r="G479" s="57">
        <v>822.13</v>
      </c>
      <c r="H479" s="79">
        <v>800.86</v>
      </c>
      <c r="I479" s="60">
        <v>46023.0</v>
      </c>
    </row>
    <row r="480" ht="22.5" customHeight="1">
      <c r="A480" s="43" t="s">
        <v>160</v>
      </c>
      <c r="B480" s="47"/>
      <c r="C480" s="50" t="s">
        <v>67</v>
      </c>
      <c r="D480" s="51" t="s">
        <v>67</v>
      </c>
      <c r="E480" s="53">
        <v>46037.0</v>
      </c>
      <c r="F480" s="56" t="str">
        <f t="shared" si="1"/>
        <v>1/2026</v>
      </c>
      <c r="G480" s="57">
        <v>1015.63</v>
      </c>
      <c r="H480" s="79">
        <f t="shared" ref="H480:H483" si="31">IF(I480,G480,0)</f>
        <v>1015.63</v>
      </c>
      <c r="I480" s="60">
        <v>45672.0</v>
      </c>
    </row>
    <row r="481" ht="22.5" customHeight="1">
      <c r="A481" s="127" t="s">
        <v>1140</v>
      </c>
      <c r="B481" s="47" t="s">
        <v>135</v>
      </c>
      <c r="C481" s="128" t="s">
        <v>67</v>
      </c>
      <c r="D481" s="51" t="s">
        <v>67</v>
      </c>
      <c r="E481" s="53">
        <v>46039.0</v>
      </c>
      <c r="F481" s="56" t="str">
        <f t="shared" si="1"/>
        <v>1/2026</v>
      </c>
      <c r="G481" s="57">
        <f>1224.55+575.6</f>
        <v>1800.15</v>
      </c>
      <c r="H481" s="59">
        <f t="shared" si="31"/>
        <v>1800.15</v>
      </c>
      <c r="I481" s="60">
        <v>45667.0</v>
      </c>
    </row>
    <row r="482" ht="22.5" customHeight="1">
      <c r="A482" s="43" t="s">
        <v>147</v>
      </c>
      <c r="B482" s="47" t="s">
        <v>148</v>
      </c>
      <c r="C482" s="50" t="s">
        <v>132</v>
      </c>
      <c r="D482" s="51" t="s">
        <v>76</v>
      </c>
      <c r="E482" s="53">
        <v>46042.0</v>
      </c>
      <c r="F482" s="56" t="str">
        <f t="shared" si="1"/>
        <v>1/2026</v>
      </c>
      <c r="G482" s="57">
        <v>78.93</v>
      </c>
      <c r="H482" s="59">
        <f t="shared" si="31"/>
        <v>78.93</v>
      </c>
      <c r="I482" s="60">
        <v>46050.0</v>
      </c>
    </row>
    <row r="483" ht="22.5" customHeight="1">
      <c r="A483" s="43" t="s">
        <v>147</v>
      </c>
      <c r="B483" s="47" t="s">
        <v>238</v>
      </c>
      <c r="C483" s="50" t="s">
        <v>132</v>
      </c>
      <c r="D483" s="51" t="s">
        <v>76</v>
      </c>
      <c r="E483" s="53">
        <v>46042.0</v>
      </c>
      <c r="F483" s="56" t="str">
        <f t="shared" si="1"/>
        <v>1/2026</v>
      </c>
      <c r="G483" s="57">
        <v>84.06</v>
      </c>
      <c r="H483" s="59">
        <f t="shared" si="31"/>
        <v>84.06</v>
      </c>
      <c r="I483" s="60">
        <v>46050.0</v>
      </c>
    </row>
    <row r="484" ht="22.5" customHeight="1">
      <c r="A484" s="43" t="s">
        <v>239</v>
      </c>
      <c r="B484" s="47" t="s">
        <v>240</v>
      </c>
      <c r="C484" s="50" t="s">
        <v>67</v>
      </c>
      <c r="D484" s="51" t="s">
        <v>67</v>
      </c>
      <c r="E484" s="53">
        <v>46043.0</v>
      </c>
      <c r="F484" s="56" t="str">
        <f t="shared" si="1"/>
        <v>1/2026</v>
      </c>
      <c r="G484" s="57">
        <v>539.04</v>
      </c>
      <c r="H484" s="79">
        <v>522.98</v>
      </c>
      <c r="I484" s="60">
        <v>46028.0</v>
      </c>
    </row>
    <row r="485" ht="22.5" customHeight="1">
      <c r="A485" s="43" t="s">
        <v>134</v>
      </c>
      <c r="B485" s="47" t="s">
        <v>168</v>
      </c>
      <c r="C485" s="128" t="s">
        <v>67</v>
      </c>
      <c r="D485" s="51" t="s">
        <v>67</v>
      </c>
      <c r="E485" s="53">
        <v>46046.0</v>
      </c>
      <c r="F485" s="56" t="str">
        <f t="shared" si="1"/>
        <v>1/2026</v>
      </c>
      <c r="G485" s="57">
        <v>177.81</v>
      </c>
      <c r="H485" s="59">
        <f t="shared" ref="H485:H486" si="32">IF(I485,G485,0)</f>
        <v>177.81</v>
      </c>
      <c r="I485" s="60">
        <v>45674.0</v>
      </c>
    </row>
    <row r="486" ht="22.5" customHeight="1">
      <c r="A486" s="43" t="s">
        <v>138</v>
      </c>
      <c r="B486" s="47"/>
      <c r="C486" s="50" t="s">
        <v>67</v>
      </c>
      <c r="D486" s="51" t="s">
        <v>71</v>
      </c>
      <c r="E486" s="53">
        <v>46047.0</v>
      </c>
      <c r="F486" s="56" t="str">
        <f t="shared" si="1"/>
        <v>1/2026</v>
      </c>
      <c r="G486" s="57">
        <f>8003.98+5869.69</f>
        <v>13873.67</v>
      </c>
      <c r="H486" s="59">
        <f t="shared" si="32"/>
        <v>13873.67</v>
      </c>
      <c r="I486" s="60">
        <v>45677.0</v>
      </c>
    </row>
    <row r="487" ht="22.5" customHeight="1">
      <c r="A487" s="43" t="s">
        <v>176</v>
      </c>
      <c r="B487" s="47"/>
      <c r="C487" s="50" t="s">
        <v>67</v>
      </c>
      <c r="D487" s="51" t="s">
        <v>67</v>
      </c>
      <c r="E487" s="53">
        <v>46060.0</v>
      </c>
      <c r="F487" s="56" t="str">
        <f t="shared" si="1"/>
        <v>2/2026</v>
      </c>
      <c r="G487" s="57">
        <v>1231.13</v>
      </c>
      <c r="H487" s="79">
        <v>901.25</v>
      </c>
      <c r="I487" s="60">
        <v>46042.0</v>
      </c>
    </row>
    <row r="488" ht="22.5" customHeight="1">
      <c r="A488" s="127" t="s">
        <v>15</v>
      </c>
      <c r="B488" s="131"/>
      <c r="C488" s="128" t="s">
        <v>50</v>
      </c>
      <c r="D488" s="51" t="s">
        <v>71</v>
      </c>
      <c r="E488" s="53">
        <v>46060.0</v>
      </c>
      <c r="F488" s="56" t="str">
        <f t="shared" si="1"/>
        <v>2/2026</v>
      </c>
      <c r="G488" s="57">
        <v>502.65</v>
      </c>
      <c r="H488" s="59">
        <f t="shared" ref="H488:H493" si="33">IF(I488,G488,0)</f>
        <v>502.65</v>
      </c>
      <c r="I488" s="60">
        <v>46055.0</v>
      </c>
    </row>
    <row r="489" ht="22.5" customHeight="1">
      <c r="A489" s="43" t="s">
        <v>82</v>
      </c>
      <c r="B489" s="47" t="s">
        <v>83</v>
      </c>
      <c r="C489" s="50" t="s">
        <v>67</v>
      </c>
      <c r="D489" s="51" t="s">
        <v>71</v>
      </c>
      <c r="E489" s="53">
        <v>46061.0</v>
      </c>
      <c r="F489" s="56" t="str">
        <f t="shared" si="1"/>
        <v>2/2026</v>
      </c>
      <c r="G489" s="57">
        <v>1687.0</v>
      </c>
      <c r="H489" s="59">
        <f t="shared" si="33"/>
        <v>1687</v>
      </c>
      <c r="I489" s="60">
        <v>46053.0</v>
      </c>
    </row>
    <row r="490" ht="22.5" customHeight="1">
      <c r="A490" s="127" t="s">
        <v>136</v>
      </c>
      <c r="B490" s="47" t="s">
        <v>83</v>
      </c>
      <c r="C490" s="128" t="s">
        <v>132</v>
      </c>
      <c r="D490" s="51" t="s">
        <v>70</v>
      </c>
      <c r="E490" s="53">
        <v>46061.0</v>
      </c>
      <c r="F490" s="56" t="str">
        <f t="shared" si="1"/>
        <v>2/2026</v>
      </c>
      <c r="G490" s="57">
        <v>62.04</v>
      </c>
      <c r="H490" s="59">
        <f t="shared" si="33"/>
        <v>62.04</v>
      </c>
      <c r="I490" s="60">
        <v>46055.0</v>
      </c>
    </row>
    <row r="491" ht="22.5" customHeight="1">
      <c r="A491" s="43" t="s">
        <v>134</v>
      </c>
      <c r="B491" s="47" t="s">
        <v>135</v>
      </c>
      <c r="C491" s="50" t="s">
        <v>67</v>
      </c>
      <c r="D491" s="51" t="s">
        <v>71</v>
      </c>
      <c r="E491" s="53">
        <v>46061.0</v>
      </c>
      <c r="F491" s="56" t="str">
        <f t="shared" si="1"/>
        <v>2/2026</v>
      </c>
      <c r="G491" s="57">
        <v>0.0</v>
      </c>
      <c r="H491" s="59">
        <f t="shared" si="33"/>
        <v>0</v>
      </c>
      <c r="I491" s="60">
        <v>46055.0</v>
      </c>
    </row>
    <row r="492" ht="22.5" customHeight="1">
      <c r="A492" s="127" t="s">
        <v>130</v>
      </c>
      <c r="B492" s="47" t="s">
        <v>83</v>
      </c>
      <c r="C492" s="128" t="s">
        <v>132</v>
      </c>
      <c r="D492" s="51" t="s">
        <v>68</v>
      </c>
      <c r="E492" s="53">
        <v>46063.0</v>
      </c>
      <c r="F492" s="56" t="str">
        <f t="shared" si="1"/>
        <v>2/2026</v>
      </c>
      <c r="G492" s="57">
        <v>242.41</v>
      </c>
      <c r="H492" s="59">
        <f t="shared" si="33"/>
        <v>242.41</v>
      </c>
      <c r="I492" s="60">
        <v>46055.0</v>
      </c>
    </row>
    <row r="493" ht="22.5" customHeight="1">
      <c r="A493" s="127" t="s">
        <v>141</v>
      </c>
      <c r="B493" s="131"/>
      <c r="C493" s="128" t="s">
        <v>132</v>
      </c>
      <c r="D493" s="51" t="s">
        <v>75</v>
      </c>
      <c r="E493" s="53">
        <v>46063.0</v>
      </c>
      <c r="F493" s="56" t="str">
        <f t="shared" si="1"/>
        <v>2/2026</v>
      </c>
      <c r="G493" s="57">
        <v>129.9</v>
      </c>
      <c r="H493" s="59">
        <f t="shared" si="33"/>
        <v>129.9</v>
      </c>
      <c r="I493" s="60">
        <v>46055.0</v>
      </c>
    </row>
    <row r="494" ht="22.5" customHeight="1">
      <c r="A494" s="43" t="s">
        <v>239</v>
      </c>
      <c r="B494" s="47" t="s">
        <v>1669</v>
      </c>
      <c r="C494" s="50" t="s">
        <v>67</v>
      </c>
      <c r="D494" s="51" t="s">
        <v>67</v>
      </c>
      <c r="E494" s="53">
        <v>46067.0</v>
      </c>
      <c r="F494" s="56" t="str">
        <f t="shared" si="1"/>
        <v>2/2026</v>
      </c>
      <c r="G494" s="57">
        <v>822.13</v>
      </c>
      <c r="H494" s="79">
        <v>781.72</v>
      </c>
      <c r="I494" s="60">
        <v>45677.0</v>
      </c>
    </row>
    <row r="495" ht="22.5" customHeight="1">
      <c r="A495" s="43" t="s">
        <v>160</v>
      </c>
      <c r="B495" s="47"/>
      <c r="C495" s="50" t="s">
        <v>67</v>
      </c>
      <c r="D495" s="51" t="s">
        <v>67</v>
      </c>
      <c r="E495" s="53">
        <v>46068.0</v>
      </c>
      <c r="F495" s="56" t="str">
        <f t="shared" si="1"/>
        <v>2/2026</v>
      </c>
      <c r="G495" s="57">
        <v>1015.63</v>
      </c>
      <c r="H495" s="79">
        <f>IF(I495,G495,0)</f>
        <v>1015.63</v>
      </c>
      <c r="I495" s="60">
        <v>46048.0</v>
      </c>
    </row>
    <row r="496" ht="22.5" customHeight="1">
      <c r="A496" s="127" t="s">
        <v>1140</v>
      </c>
      <c r="B496" s="47" t="s">
        <v>135</v>
      </c>
      <c r="C496" s="128" t="s">
        <v>67</v>
      </c>
      <c r="D496" s="51" t="s">
        <v>67</v>
      </c>
      <c r="E496" s="53">
        <v>46070.0</v>
      </c>
      <c r="F496" s="56" t="str">
        <f t="shared" si="1"/>
        <v>2/2026</v>
      </c>
      <c r="G496" s="57">
        <v>15.6</v>
      </c>
      <c r="H496" s="59">
        <f>810.05</f>
        <v>810.05</v>
      </c>
      <c r="I496" s="60">
        <v>46063.0</v>
      </c>
    </row>
    <row r="497" ht="22.5" customHeight="1">
      <c r="A497" s="43" t="s">
        <v>147</v>
      </c>
      <c r="B497" s="47" t="s">
        <v>148</v>
      </c>
      <c r="C497" s="50" t="s">
        <v>132</v>
      </c>
      <c r="D497" s="51" t="s">
        <v>76</v>
      </c>
      <c r="E497" s="53">
        <v>46073.0</v>
      </c>
      <c r="F497" s="56" t="str">
        <f t="shared" si="1"/>
        <v>2/2026</v>
      </c>
      <c r="G497" s="57">
        <v>76.9</v>
      </c>
      <c r="H497" s="79">
        <v>82.32</v>
      </c>
      <c r="I497" s="60">
        <v>46075.0</v>
      </c>
    </row>
    <row r="498" ht="22.5" customHeight="1">
      <c r="A498" s="43" t="s">
        <v>147</v>
      </c>
      <c r="B498" s="47" t="s">
        <v>238</v>
      </c>
      <c r="C498" s="50" t="s">
        <v>132</v>
      </c>
      <c r="D498" s="51" t="s">
        <v>76</v>
      </c>
      <c r="E498" s="53">
        <v>46073.0</v>
      </c>
      <c r="F498" s="56" t="str">
        <f t="shared" si="1"/>
        <v>2/2026</v>
      </c>
      <c r="G498" s="57">
        <v>81.9</v>
      </c>
      <c r="H498" s="79">
        <v>87.34</v>
      </c>
      <c r="I498" s="60">
        <v>46075.0</v>
      </c>
    </row>
    <row r="499" ht="22.5" customHeight="1">
      <c r="A499" s="43" t="s">
        <v>239</v>
      </c>
      <c r="B499" s="47" t="s">
        <v>240</v>
      </c>
      <c r="C499" s="50" t="s">
        <v>67</v>
      </c>
      <c r="D499" s="51" t="s">
        <v>67</v>
      </c>
      <c r="E499" s="53">
        <v>46074.0</v>
      </c>
      <c r="F499" s="56" t="str">
        <f t="shared" si="1"/>
        <v>2/2026</v>
      </c>
      <c r="G499" s="57">
        <v>539.04</v>
      </c>
      <c r="H499" s="79">
        <v>475.37</v>
      </c>
      <c r="I499" s="60">
        <v>46042.0</v>
      </c>
    </row>
    <row r="500" ht="22.5" customHeight="1">
      <c r="A500" s="43" t="s">
        <v>138</v>
      </c>
      <c r="B500" s="47"/>
      <c r="C500" s="50" t="s">
        <v>67</v>
      </c>
      <c r="D500" s="51" t="s">
        <v>71</v>
      </c>
      <c r="E500" s="53">
        <v>46078.0</v>
      </c>
      <c r="F500" s="56" t="str">
        <f t="shared" si="1"/>
        <v>2/2026</v>
      </c>
      <c r="G500" s="57">
        <v>5186.78</v>
      </c>
      <c r="H500" s="59">
        <f>IF(I500,G500,0)</f>
        <v>5186.78</v>
      </c>
      <c r="I500" s="60">
        <v>46074.0</v>
      </c>
    </row>
    <row r="501" ht="22.5" customHeight="1">
      <c r="A501" s="43" t="s">
        <v>176</v>
      </c>
      <c r="B501" s="47"/>
      <c r="C501" s="50" t="s">
        <v>67</v>
      </c>
      <c r="D501" s="51" t="s">
        <v>67</v>
      </c>
      <c r="E501" s="53">
        <v>46088.0</v>
      </c>
      <c r="F501" s="56" t="str">
        <f t="shared" si="1"/>
        <v>3/2026</v>
      </c>
      <c r="G501" s="57">
        <v>1231.13</v>
      </c>
      <c r="H501" s="79">
        <v>901.22</v>
      </c>
      <c r="I501" s="60">
        <v>46042.0</v>
      </c>
    </row>
    <row r="502" ht="22.5" customHeight="1">
      <c r="A502" s="43" t="s">
        <v>82</v>
      </c>
      <c r="B502" s="47" t="s">
        <v>83</v>
      </c>
      <c r="C502" s="50" t="s">
        <v>67</v>
      </c>
      <c r="D502" s="51" t="s">
        <v>71</v>
      </c>
      <c r="E502" s="53">
        <v>46089.0</v>
      </c>
      <c r="F502" s="56" t="str">
        <f t="shared" si="1"/>
        <v>3/2026</v>
      </c>
      <c r="G502" s="57">
        <v>1687.0</v>
      </c>
      <c r="H502" s="59">
        <f t="shared" ref="H502:H510" si="34">IF(I502,G502,0)</f>
        <v>1687</v>
      </c>
      <c r="I502" s="60">
        <v>46081.0</v>
      </c>
    </row>
    <row r="503" ht="22.5" customHeight="1">
      <c r="A503" s="127" t="s">
        <v>136</v>
      </c>
      <c r="B503" s="47" t="s">
        <v>83</v>
      </c>
      <c r="C503" s="128" t="s">
        <v>132</v>
      </c>
      <c r="D503" s="51" t="s">
        <v>70</v>
      </c>
      <c r="E503" s="53">
        <v>46089.0</v>
      </c>
      <c r="F503" s="56" t="str">
        <f t="shared" si="1"/>
        <v>3/2026</v>
      </c>
      <c r="G503" s="57">
        <v>126.96</v>
      </c>
      <c r="H503" s="59">
        <f t="shared" si="34"/>
        <v>126.96</v>
      </c>
      <c r="I503" s="60">
        <v>46090.0</v>
      </c>
    </row>
    <row r="504" ht="22.5" customHeight="1">
      <c r="A504" s="43" t="s">
        <v>134</v>
      </c>
      <c r="B504" s="47" t="s">
        <v>135</v>
      </c>
      <c r="C504" s="50" t="s">
        <v>67</v>
      </c>
      <c r="D504" s="51" t="s">
        <v>71</v>
      </c>
      <c r="E504" s="53">
        <v>46089.0</v>
      </c>
      <c r="F504" s="56" t="str">
        <f t="shared" si="1"/>
        <v>3/2026</v>
      </c>
      <c r="G504" s="57">
        <v>1082.37</v>
      </c>
      <c r="H504" s="59">
        <f t="shared" si="34"/>
        <v>1082.37</v>
      </c>
      <c r="I504" s="60">
        <v>46081.0</v>
      </c>
    </row>
    <row r="505" ht="22.5" customHeight="1">
      <c r="A505" s="127" t="s">
        <v>130</v>
      </c>
      <c r="B505" s="47" t="s">
        <v>83</v>
      </c>
      <c r="C505" s="128" t="s">
        <v>132</v>
      </c>
      <c r="D505" s="51" t="s">
        <v>68</v>
      </c>
      <c r="E505" s="53">
        <v>46091.0</v>
      </c>
      <c r="F505" s="56" t="str">
        <f t="shared" si="1"/>
        <v>3/2026</v>
      </c>
      <c r="G505" s="57">
        <v>238.16</v>
      </c>
      <c r="H505" s="59">
        <f t="shared" si="34"/>
        <v>238.16</v>
      </c>
      <c r="I505" s="60">
        <v>46090.0</v>
      </c>
    </row>
    <row r="506" ht="22.5" customHeight="1">
      <c r="A506" s="127" t="s">
        <v>141</v>
      </c>
      <c r="B506" s="131"/>
      <c r="C506" s="128" t="s">
        <v>132</v>
      </c>
      <c r="D506" s="51" t="s">
        <v>75</v>
      </c>
      <c r="E506" s="53">
        <v>46091.0</v>
      </c>
      <c r="F506" s="56" t="str">
        <f t="shared" si="1"/>
        <v>3/2026</v>
      </c>
      <c r="G506" s="57">
        <v>129.9</v>
      </c>
      <c r="H506" s="59">
        <f t="shared" si="34"/>
        <v>129.9</v>
      </c>
      <c r="I506" s="60">
        <v>46090.0</v>
      </c>
    </row>
    <row r="507" ht="22.5" customHeight="1">
      <c r="A507" s="43" t="s">
        <v>160</v>
      </c>
      <c r="B507" s="47"/>
      <c r="C507" s="50" t="s">
        <v>67</v>
      </c>
      <c r="D507" s="51" t="s">
        <v>67</v>
      </c>
      <c r="E507" s="53">
        <v>46096.0</v>
      </c>
      <c r="F507" s="56" t="str">
        <f t="shared" si="1"/>
        <v>3/2026</v>
      </c>
      <c r="G507" s="57">
        <v>1015.63</v>
      </c>
      <c r="H507" s="79">
        <f t="shared" si="34"/>
        <v>1015.63</v>
      </c>
      <c r="I507" s="60">
        <v>46048.0</v>
      </c>
    </row>
    <row r="508" ht="22.5" customHeight="1">
      <c r="A508" s="127" t="s">
        <v>1140</v>
      </c>
      <c r="B508" s="47" t="s">
        <v>135</v>
      </c>
      <c r="C508" s="128" t="s">
        <v>67</v>
      </c>
      <c r="D508" s="51" t="s">
        <v>67</v>
      </c>
      <c r="E508" s="53">
        <v>46098.0</v>
      </c>
      <c r="F508" s="56" t="str">
        <f t="shared" si="1"/>
        <v>3/2026</v>
      </c>
      <c r="G508" s="57">
        <v>2898.61</v>
      </c>
      <c r="H508" s="59">
        <f t="shared" si="34"/>
        <v>2898.61</v>
      </c>
      <c r="I508" s="60">
        <v>46081.0</v>
      </c>
    </row>
    <row r="509" ht="22.5" customHeight="1">
      <c r="A509" s="43" t="s">
        <v>147</v>
      </c>
      <c r="B509" s="47" t="s">
        <v>148</v>
      </c>
      <c r="C509" s="50" t="s">
        <v>132</v>
      </c>
      <c r="D509" s="51" t="s">
        <v>76</v>
      </c>
      <c r="E509" s="53">
        <v>46101.0</v>
      </c>
      <c r="F509" s="56" t="str">
        <f t="shared" si="1"/>
        <v>3/2026</v>
      </c>
      <c r="G509" s="57">
        <v>82.05</v>
      </c>
      <c r="H509" s="59">
        <f t="shared" si="34"/>
        <v>82.05</v>
      </c>
      <c r="I509" s="60">
        <v>46101.0</v>
      </c>
    </row>
    <row r="510" ht="22.5" customHeight="1">
      <c r="A510" s="43" t="s">
        <v>147</v>
      </c>
      <c r="B510" s="47" t="s">
        <v>238</v>
      </c>
      <c r="C510" s="50" t="s">
        <v>132</v>
      </c>
      <c r="D510" s="51" t="s">
        <v>76</v>
      </c>
      <c r="E510" s="53">
        <v>46101.0</v>
      </c>
      <c r="F510" s="56" t="str">
        <f t="shared" si="1"/>
        <v>3/2026</v>
      </c>
      <c r="G510" s="57">
        <v>87.05</v>
      </c>
      <c r="H510" s="59">
        <f t="shared" si="34"/>
        <v>87.05</v>
      </c>
      <c r="I510" s="60">
        <v>46101.0</v>
      </c>
    </row>
    <row r="511" ht="22.5" customHeight="1">
      <c r="A511" s="43" t="s">
        <v>239</v>
      </c>
      <c r="B511" s="47" t="s">
        <v>240</v>
      </c>
      <c r="C511" s="50" t="s">
        <v>67</v>
      </c>
      <c r="D511" s="51" t="s">
        <v>67</v>
      </c>
      <c r="E511" s="53">
        <v>46102.0</v>
      </c>
      <c r="F511" s="56" t="str">
        <f t="shared" si="1"/>
        <v>3/2026</v>
      </c>
      <c r="G511" s="57">
        <v>539.04</v>
      </c>
      <c r="H511" s="79">
        <v>475.35</v>
      </c>
      <c r="I511" s="60">
        <v>46042.0</v>
      </c>
    </row>
    <row r="512" ht="22.5" customHeight="1">
      <c r="A512" s="43" t="s">
        <v>134</v>
      </c>
      <c r="B512" s="47" t="s">
        <v>168</v>
      </c>
      <c r="C512" s="128" t="s">
        <v>67</v>
      </c>
      <c r="D512" s="51" t="s">
        <v>67</v>
      </c>
      <c r="E512" s="53">
        <v>46105.0</v>
      </c>
      <c r="F512" s="56" t="str">
        <f t="shared" si="1"/>
        <v>3/2026</v>
      </c>
      <c r="G512" s="57">
        <f>203.46+302.87</f>
        <v>506.33</v>
      </c>
      <c r="H512" s="59">
        <f t="shared" ref="H512:H514" si="35">IF(I512,G512,0)</f>
        <v>506.33</v>
      </c>
      <c r="I512" s="60">
        <v>46081.0</v>
      </c>
    </row>
    <row r="513" ht="22.5" customHeight="1">
      <c r="A513" s="127" t="s">
        <v>138</v>
      </c>
      <c r="B513" s="131"/>
      <c r="C513" s="128" t="s">
        <v>67</v>
      </c>
      <c r="D513" s="51" t="s">
        <v>71</v>
      </c>
      <c r="E513" s="53">
        <v>46106.0</v>
      </c>
      <c r="F513" s="56" t="str">
        <f t="shared" si="1"/>
        <v>3/2026</v>
      </c>
      <c r="G513" s="57">
        <v>4479.85</v>
      </c>
      <c r="H513" s="59">
        <f t="shared" si="35"/>
        <v>4479.85</v>
      </c>
      <c r="I513" s="60">
        <v>46100.0</v>
      </c>
    </row>
    <row r="514" ht="22.5" customHeight="1">
      <c r="A514" s="127" t="s">
        <v>2558</v>
      </c>
      <c r="B514" s="47" t="s">
        <v>152</v>
      </c>
      <c r="C514" s="128" t="s">
        <v>67</v>
      </c>
      <c r="D514" s="51" t="s">
        <v>67</v>
      </c>
      <c r="E514" s="53">
        <v>46107.0</v>
      </c>
      <c r="F514" s="56" t="str">
        <f t="shared" si="1"/>
        <v>3/2026</v>
      </c>
      <c r="G514" s="57">
        <f>2420.1+80.3</f>
        <v>2500.4</v>
      </c>
      <c r="H514" s="59">
        <f t="shared" si="35"/>
        <v>2500.4</v>
      </c>
      <c r="I514" s="60">
        <v>46083.0</v>
      </c>
    </row>
    <row r="515" ht="22.5" customHeight="1">
      <c r="A515" s="43" t="s">
        <v>176</v>
      </c>
      <c r="B515" s="47"/>
      <c r="C515" s="50" t="s">
        <v>67</v>
      </c>
      <c r="D515" s="51" t="s">
        <v>67</v>
      </c>
      <c r="E515" s="53">
        <v>46119.0</v>
      </c>
      <c r="F515" s="56" t="str">
        <f t="shared" si="1"/>
        <v>4/2026</v>
      </c>
      <c r="G515" s="57">
        <v>1231.13</v>
      </c>
      <c r="H515" s="79">
        <v>901.22</v>
      </c>
      <c r="I515" s="60">
        <v>46042.0</v>
      </c>
    </row>
    <row r="516" ht="22.5" customHeight="1">
      <c r="A516" s="43" t="s">
        <v>82</v>
      </c>
      <c r="B516" s="47" t="s">
        <v>83</v>
      </c>
      <c r="C516" s="50" t="s">
        <v>67</v>
      </c>
      <c r="D516" s="51" t="s">
        <v>71</v>
      </c>
      <c r="E516" s="53">
        <v>46120.0</v>
      </c>
      <c r="F516" s="56" t="str">
        <f t="shared" si="1"/>
        <v>4/2026</v>
      </c>
      <c r="G516" s="57">
        <v>1687.0</v>
      </c>
      <c r="H516" s="59">
        <f t="shared" ref="H516:H524" si="36">IF(I516,G516,0)</f>
        <v>1687</v>
      </c>
      <c r="I516" s="60">
        <v>46113.0</v>
      </c>
    </row>
    <row r="517" ht="22.5" customHeight="1">
      <c r="A517" s="127" t="s">
        <v>136</v>
      </c>
      <c r="B517" s="47" t="s">
        <v>83</v>
      </c>
      <c r="C517" s="128" t="s">
        <v>132</v>
      </c>
      <c r="D517" s="51" t="s">
        <v>70</v>
      </c>
      <c r="E517" s="53">
        <v>46120.0</v>
      </c>
      <c r="F517" s="56" t="str">
        <f t="shared" si="1"/>
        <v>4/2026</v>
      </c>
      <c r="G517" s="57">
        <v>60.38</v>
      </c>
      <c r="H517" s="59">
        <f t="shared" si="36"/>
        <v>60.38</v>
      </c>
      <c r="I517" s="60">
        <v>46112.0</v>
      </c>
    </row>
    <row r="518" ht="22.5" customHeight="1">
      <c r="A518" s="43" t="s">
        <v>134</v>
      </c>
      <c r="B518" s="47" t="s">
        <v>135</v>
      </c>
      <c r="C518" s="50" t="s">
        <v>67</v>
      </c>
      <c r="D518" s="51" t="s">
        <v>71</v>
      </c>
      <c r="E518" s="53">
        <v>46120.0</v>
      </c>
      <c r="F518" s="56" t="str">
        <f t="shared" si="1"/>
        <v>4/2026</v>
      </c>
      <c r="G518" s="57">
        <v>183.43</v>
      </c>
      <c r="H518" s="59">
        <f t="shared" si="36"/>
        <v>183.43</v>
      </c>
      <c r="I518" s="60">
        <v>46113.0</v>
      </c>
    </row>
    <row r="519" ht="22.5" customHeight="1">
      <c r="A519" s="127" t="s">
        <v>130</v>
      </c>
      <c r="B519" s="47" t="s">
        <v>83</v>
      </c>
      <c r="C519" s="128" t="s">
        <v>132</v>
      </c>
      <c r="D519" s="51" t="s">
        <v>68</v>
      </c>
      <c r="E519" s="53">
        <v>46122.0</v>
      </c>
      <c r="F519" s="56" t="str">
        <f t="shared" si="1"/>
        <v>4/2026</v>
      </c>
      <c r="G519" s="57">
        <v>240.94</v>
      </c>
      <c r="H519" s="59">
        <f t="shared" si="36"/>
        <v>240.94</v>
      </c>
      <c r="I519" s="60">
        <v>46112.0</v>
      </c>
    </row>
    <row r="520" ht="22.5" customHeight="1">
      <c r="A520" s="127" t="s">
        <v>141</v>
      </c>
      <c r="B520" s="131"/>
      <c r="C520" s="128" t="s">
        <v>132</v>
      </c>
      <c r="D520" s="51" t="s">
        <v>75</v>
      </c>
      <c r="E520" s="53">
        <v>46122.0</v>
      </c>
      <c r="F520" s="56" t="str">
        <f t="shared" si="1"/>
        <v>4/2026</v>
      </c>
      <c r="G520" s="57">
        <v>129.9</v>
      </c>
      <c r="H520" s="59">
        <f t="shared" si="36"/>
        <v>129.9</v>
      </c>
      <c r="I520" s="60">
        <v>46112.0</v>
      </c>
    </row>
    <row r="521" ht="22.5" customHeight="1">
      <c r="A521" s="43" t="s">
        <v>160</v>
      </c>
      <c r="B521" s="47"/>
      <c r="C521" s="50" t="s">
        <v>67</v>
      </c>
      <c r="D521" s="51" t="s">
        <v>67</v>
      </c>
      <c r="E521" s="53">
        <v>46127.0</v>
      </c>
      <c r="F521" s="56" t="str">
        <f t="shared" si="1"/>
        <v>4/2026</v>
      </c>
      <c r="G521" s="57">
        <v>1015.63</v>
      </c>
      <c r="H521" s="79">
        <f t="shared" si="36"/>
        <v>1015.63</v>
      </c>
      <c r="I521" s="60">
        <v>46048.0</v>
      </c>
    </row>
    <row r="522" ht="22.5" customHeight="1">
      <c r="A522" s="127" t="s">
        <v>1140</v>
      </c>
      <c r="B522" s="47" t="s">
        <v>135</v>
      </c>
      <c r="C522" s="128" t="s">
        <v>67</v>
      </c>
      <c r="D522" s="51" t="s">
        <v>67</v>
      </c>
      <c r="E522" s="53">
        <v>46129.0</v>
      </c>
      <c r="F522" s="56" t="str">
        <f t="shared" si="1"/>
        <v>4/2026</v>
      </c>
      <c r="G522" s="57">
        <v>499.18</v>
      </c>
      <c r="H522" s="59">
        <f t="shared" si="36"/>
        <v>499.18</v>
      </c>
      <c r="I522" s="60">
        <v>46122.0</v>
      </c>
    </row>
    <row r="523" ht="22.5" customHeight="1">
      <c r="A523" s="43" t="s">
        <v>147</v>
      </c>
      <c r="B523" s="47" t="s">
        <v>148</v>
      </c>
      <c r="C523" s="50" t="s">
        <v>132</v>
      </c>
      <c r="D523" s="51" t="s">
        <v>76</v>
      </c>
      <c r="E523" s="53">
        <v>46132.0</v>
      </c>
      <c r="F523" s="56" t="str">
        <f t="shared" si="1"/>
        <v>4/2026</v>
      </c>
      <c r="G523" s="57">
        <v>82.05</v>
      </c>
      <c r="H523" s="59">
        <f t="shared" si="36"/>
        <v>82.05</v>
      </c>
      <c r="I523" s="60">
        <v>46132.0</v>
      </c>
    </row>
    <row r="524" ht="22.5" customHeight="1">
      <c r="A524" s="43" t="s">
        <v>147</v>
      </c>
      <c r="B524" s="47" t="s">
        <v>238</v>
      </c>
      <c r="C524" s="50" t="s">
        <v>132</v>
      </c>
      <c r="D524" s="51" t="s">
        <v>76</v>
      </c>
      <c r="E524" s="53">
        <v>46132.0</v>
      </c>
      <c r="F524" s="56" t="str">
        <f t="shared" si="1"/>
        <v>4/2026</v>
      </c>
      <c r="G524" s="57">
        <v>87.05</v>
      </c>
      <c r="H524" s="59">
        <f t="shared" si="36"/>
        <v>87.05</v>
      </c>
      <c r="I524" s="60">
        <v>46132.0</v>
      </c>
    </row>
    <row r="525" ht="22.5" customHeight="1">
      <c r="A525" s="43" t="s">
        <v>239</v>
      </c>
      <c r="B525" s="47" t="s">
        <v>240</v>
      </c>
      <c r="C525" s="50" t="s">
        <v>67</v>
      </c>
      <c r="D525" s="51" t="s">
        <v>67</v>
      </c>
      <c r="E525" s="53">
        <v>46133.0</v>
      </c>
      <c r="F525" s="56" t="str">
        <f t="shared" si="1"/>
        <v>4/2026</v>
      </c>
      <c r="G525" s="57">
        <v>539.04</v>
      </c>
      <c r="H525" s="79">
        <v>475.35</v>
      </c>
      <c r="I525" s="60">
        <v>45677.0</v>
      </c>
    </row>
    <row r="526" ht="22.5" customHeight="1">
      <c r="A526" s="43" t="s">
        <v>138</v>
      </c>
      <c r="B526" s="47"/>
      <c r="C526" s="50" t="s">
        <v>67</v>
      </c>
      <c r="D526" s="51" t="s">
        <v>71</v>
      </c>
      <c r="E526" s="53">
        <v>46137.0</v>
      </c>
      <c r="F526" s="56" t="str">
        <f t="shared" si="1"/>
        <v>4/2026</v>
      </c>
      <c r="G526" s="57">
        <v>722.2</v>
      </c>
      <c r="H526" s="59">
        <f t="shared" ref="H526:H527" si="37">IF(I526,G526,0)</f>
        <v>722.2</v>
      </c>
      <c r="I526" s="60">
        <v>46130.0</v>
      </c>
    </row>
    <row r="527" ht="22.5" customHeight="1">
      <c r="A527" s="127" t="s">
        <v>2558</v>
      </c>
      <c r="B527" s="47" t="s">
        <v>152</v>
      </c>
      <c r="C527" s="128" t="s">
        <v>67</v>
      </c>
      <c r="D527" s="51" t="s">
        <v>67</v>
      </c>
      <c r="E527" s="53">
        <v>46138.0</v>
      </c>
      <c r="F527" s="56" t="str">
        <f t="shared" si="1"/>
        <v>4/2026</v>
      </c>
      <c r="G527" s="57">
        <f>2420.1+80.3</f>
        <v>2500.4</v>
      </c>
      <c r="H527" s="59">
        <f t="shared" si="37"/>
        <v>2500.4</v>
      </c>
      <c r="I527" s="60">
        <v>46113.0</v>
      </c>
    </row>
    <row r="528" ht="22.5" customHeight="1">
      <c r="A528" s="43" t="s">
        <v>176</v>
      </c>
      <c r="B528" s="47"/>
      <c r="C528" s="50" t="s">
        <v>67</v>
      </c>
      <c r="D528" s="51" t="s">
        <v>67</v>
      </c>
      <c r="E528" s="53">
        <v>46149.0</v>
      </c>
      <c r="F528" s="56" t="str">
        <f t="shared" si="1"/>
        <v>5/2026</v>
      </c>
      <c r="G528" s="57">
        <v>1231.13</v>
      </c>
      <c r="H528" s="79">
        <v>901.22</v>
      </c>
      <c r="I528" s="60">
        <v>46042.0</v>
      </c>
    </row>
    <row r="529" ht="22.5" customHeight="1">
      <c r="A529" s="43" t="s">
        <v>82</v>
      </c>
      <c r="B529" s="47" t="s">
        <v>83</v>
      </c>
      <c r="C529" s="50" t="s">
        <v>67</v>
      </c>
      <c r="D529" s="51" t="s">
        <v>71</v>
      </c>
      <c r="E529" s="53">
        <v>46150.0</v>
      </c>
      <c r="F529" s="56" t="str">
        <f t="shared" si="1"/>
        <v>5/2026</v>
      </c>
      <c r="G529" s="57">
        <v>1687.0</v>
      </c>
      <c r="H529" s="59">
        <f t="shared" ref="H529:H539" si="38">IF(I529,G529,0)</f>
        <v>1687</v>
      </c>
      <c r="I529" s="60">
        <v>46143.0</v>
      </c>
    </row>
    <row r="530" ht="22.5" customHeight="1">
      <c r="A530" s="127" t="s">
        <v>136</v>
      </c>
      <c r="B530" s="47" t="s">
        <v>83</v>
      </c>
      <c r="C530" s="128" t="s">
        <v>132</v>
      </c>
      <c r="D530" s="51" t="s">
        <v>70</v>
      </c>
      <c r="E530" s="53">
        <v>46150.0</v>
      </c>
      <c r="F530" s="56" t="str">
        <f t="shared" si="1"/>
        <v>5/2026</v>
      </c>
      <c r="G530" s="57">
        <v>57.06</v>
      </c>
      <c r="H530" s="59">
        <f t="shared" si="38"/>
        <v>57.06</v>
      </c>
      <c r="I530" s="60">
        <v>46146.0</v>
      </c>
    </row>
    <row r="531" ht="22.5" customHeight="1">
      <c r="A531" s="43" t="s">
        <v>134</v>
      </c>
      <c r="B531" s="47" t="s">
        <v>135</v>
      </c>
      <c r="C531" s="50" t="s">
        <v>67</v>
      </c>
      <c r="D531" s="51" t="s">
        <v>71</v>
      </c>
      <c r="E531" s="53">
        <v>46150.0</v>
      </c>
      <c r="F531" s="56" t="str">
        <f t="shared" si="1"/>
        <v>5/2026</v>
      </c>
      <c r="G531" s="57">
        <v>784.98</v>
      </c>
      <c r="H531" s="59">
        <f t="shared" si="38"/>
        <v>784.98</v>
      </c>
      <c r="I531" s="60">
        <v>46143.0</v>
      </c>
    </row>
    <row r="532" ht="22.5" customHeight="1">
      <c r="A532" s="127" t="s">
        <v>130</v>
      </c>
      <c r="B532" s="47" t="s">
        <v>83</v>
      </c>
      <c r="C532" s="128" t="s">
        <v>132</v>
      </c>
      <c r="D532" s="51" t="s">
        <v>68</v>
      </c>
      <c r="E532" s="53">
        <v>46152.0</v>
      </c>
      <c r="F532" s="56" t="str">
        <f t="shared" si="1"/>
        <v>5/2026</v>
      </c>
      <c r="G532" s="57">
        <v>233.42</v>
      </c>
      <c r="H532" s="59">
        <f t="shared" si="38"/>
        <v>233.42</v>
      </c>
      <c r="I532" s="60">
        <v>46146.0</v>
      </c>
    </row>
    <row r="533" ht="22.5" customHeight="1">
      <c r="A533" s="127" t="s">
        <v>141</v>
      </c>
      <c r="B533" s="131"/>
      <c r="C533" s="128" t="s">
        <v>132</v>
      </c>
      <c r="D533" s="51" t="s">
        <v>75</v>
      </c>
      <c r="E533" s="53">
        <v>46152.0</v>
      </c>
      <c r="F533" s="56" t="str">
        <f t="shared" si="1"/>
        <v>5/2026</v>
      </c>
      <c r="G533" s="57">
        <v>129.9</v>
      </c>
      <c r="H533" s="59">
        <f t="shared" si="38"/>
        <v>129.9</v>
      </c>
      <c r="I533" s="60">
        <v>46146.0</v>
      </c>
    </row>
    <row r="534" ht="22.5" customHeight="1">
      <c r="A534" s="43" t="s">
        <v>160</v>
      </c>
      <c r="B534" s="47"/>
      <c r="C534" s="50" t="s">
        <v>67</v>
      </c>
      <c r="D534" s="51" t="s">
        <v>67</v>
      </c>
      <c r="E534" s="53">
        <v>46157.0</v>
      </c>
      <c r="F534" s="56" t="str">
        <f t="shared" si="1"/>
        <v>5/2026</v>
      </c>
      <c r="G534" s="57">
        <v>1015.63</v>
      </c>
      <c r="H534" s="79">
        <f t="shared" si="38"/>
        <v>1015.63</v>
      </c>
      <c r="I534" s="60">
        <v>46048.0</v>
      </c>
    </row>
    <row r="535" ht="22.5" customHeight="1">
      <c r="A535" s="127" t="s">
        <v>1140</v>
      </c>
      <c r="B535" s="47" t="s">
        <v>135</v>
      </c>
      <c r="C535" s="128" t="s">
        <v>67</v>
      </c>
      <c r="D535" s="51" t="s">
        <v>67</v>
      </c>
      <c r="E535" s="53">
        <v>46159.0</v>
      </c>
      <c r="F535" s="56" t="str">
        <f t="shared" si="1"/>
        <v>5/2026</v>
      </c>
      <c r="G535" s="57">
        <v>394.41</v>
      </c>
      <c r="H535" s="59">
        <f t="shared" si="38"/>
        <v>394.41</v>
      </c>
      <c r="I535" s="60">
        <v>46151.0</v>
      </c>
    </row>
    <row r="536" ht="22.5" customHeight="1">
      <c r="A536" s="43" t="s">
        <v>147</v>
      </c>
      <c r="B536" s="47" t="s">
        <v>148</v>
      </c>
      <c r="C536" s="50" t="s">
        <v>132</v>
      </c>
      <c r="D536" s="51" t="s">
        <v>76</v>
      </c>
      <c r="E536" s="53">
        <v>46162.0</v>
      </c>
      <c r="F536" s="56" t="str">
        <f t="shared" si="1"/>
        <v>5/2026</v>
      </c>
      <c r="G536" s="57">
        <v>82.05</v>
      </c>
      <c r="H536" s="59">
        <f t="shared" si="38"/>
        <v>82.05</v>
      </c>
      <c r="I536" s="60">
        <v>46162.0</v>
      </c>
    </row>
    <row r="537" ht="22.5" customHeight="1">
      <c r="A537" s="43" t="s">
        <v>147</v>
      </c>
      <c r="B537" s="47" t="s">
        <v>238</v>
      </c>
      <c r="C537" s="50" t="s">
        <v>132</v>
      </c>
      <c r="D537" s="51" t="s">
        <v>76</v>
      </c>
      <c r="E537" s="53">
        <v>46162.0</v>
      </c>
      <c r="F537" s="56" t="str">
        <f t="shared" si="1"/>
        <v>5/2026</v>
      </c>
      <c r="G537" s="57">
        <v>87.05</v>
      </c>
      <c r="H537" s="59">
        <f t="shared" si="38"/>
        <v>87.05</v>
      </c>
      <c r="I537" s="60">
        <v>46162.0</v>
      </c>
    </row>
    <row r="538" ht="22.5" customHeight="1">
      <c r="A538" s="43" t="s">
        <v>138</v>
      </c>
      <c r="B538" s="47"/>
      <c r="C538" s="50" t="s">
        <v>67</v>
      </c>
      <c r="D538" s="51" t="s">
        <v>71</v>
      </c>
      <c r="E538" s="53">
        <v>46167.0</v>
      </c>
      <c r="F538" s="56" t="str">
        <f t="shared" si="1"/>
        <v>5/2026</v>
      </c>
      <c r="G538" s="57">
        <v>4026.74</v>
      </c>
      <c r="H538" s="59">
        <f t="shared" si="38"/>
        <v>4026.74</v>
      </c>
      <c r="I538" s="60">
        <v>46151.0</v>
      </c>
    </row>
    <row r="539" ht="22.5" customHeight="1">
      <c r="A539" s="127" t="s">
        <v>2558</v>
      </c>
      <c r="B539" s="47" t="s">
        <v>152</v>
      </c>
      <c r="C539" s="128" t="s">
        <v>67</v>
      </c>
      <c r="D539" s="51" t="s">
        <v>67</v>
      </c>
      <c r="E539" s="53">
        <v>46168.0</v>
      </c>
      <c r="F539" s="56" t="str">
        <f t="shared" si="1"/>
        <v>5/2026</v>
      </c>
      <c r="G539" s="57">
        <f>2420.1+80.3</f>
        <v>2500.4</v>
      </c>
      <c r="H539" s="59">
        <f t="shared" si="38"/>
        <v>2500.4</v>
      </c>
      <c r="I539" s="60">
        <v>46146.0</v>
      </c>
    </row>
    <row r="540" ht="22.5" customHeight="1">
      <c r="A540" s="43" t="s">
        <v>176</v>
      </c>
      <c r="B540" s="47"/>
      <c r="C540" s="50" t="s">
        <v>67</v>
      </c>
      <c r="D540" s="51" t="s">
        <v>67</v>
      </c>
      <c r="E540" s="53">
        <v>46180.0</v>
      </c>
      <c r="F540" s="56" t="str">
        <f t="shared" si="1"/>
        <v>6/2026</v>
      </c>
      <c r="G540" s="57">
        <v>1231.13</v>
      </c>
      <c r="H540" s="79">
        <v>901.22</v>
      </c>
      <c r="I540" s="60">
        <v>46042.0</v>
      </c>
    </row>
    <row r="541" ht="22.5" customHeight="1">
      <c r="A541" s="43" t="s">
        <v>82</v>
      </c>
      <c r="B541" s="47" t="s">
        <v>83</v>
      </c>
      <c r="C541" s="50" t="s">
        <v>67</v>
      </c>
      <c r="D541" s="51" t="s">
        <v>71</v>
      </c>
      <c r="E541" s="53">
        <v>46181.0</v>
      </c>
      <c r="F541" s="56" t="str">
        <f t="shared" si="1"/>
        <v>6/2026</v>
      </c>
      <c r="G541" s="57">
        <v>1687.0</v>
      </c>
      <c r="H541" s="59">
        <f t="shared" ref="H541:H550" si="39">IF(I541,G541,0)</f>
        <v>1687</v>
      </c>
      <c r="I541" s="60">
        <v>46174.0</v>
      </c>
    </row>
    <row r="542" ht="22.5" customHeight="1">
      <c r="A542" s="127" t="s">
        <v>136</v>
      </c>
      <c r="B542" s="47" t="s">
        <v>83</v>
      </c>
      <c r="C542" s="128" t="s">
        <v>132</v>
      </c>
      <c r="D542" s="51" t="s">
        <v>70</v>
      </c>
      <c r="E542" s="53">
        <v>46181.0</v>
      </c>
      <c r="F542" s="56" t="str">
        <f t="shared" si="1"/>
        <v>6/2026</v>
      </c>
      <c r="G542" s="57">
        <v>62.17</v>
      </c>
      <c r="H542" s="59">
        <f t="shared" si="39"/>
        <v>62.17</v>
      </c>
      <c r="I542" s="60">
        <v>46174.0</v>
      </c>
    </row>
    <row r="543" ht="22.5" customHeight="1">
      <c r="A543" s="43" t="s">
        <v>134</v>
      </c>
      <c r="B543" s="47" t="s">
        <v>135</v>
      </c>
      <c r="C543" s="50" t="s">
        <v>67</v>
      </c>
      <c r="D543" s="51" t="s">
        <v>71</v>
      </c>
      <c r="E543" s="53">
        <v>46181.0</v>
      </c>
      <c r="F543" s="56" t="str">
        <f t="shared" si="1"/>
        <v>6/2026</v>
      </c>
      <c r="G543" s="57">
        <v>870.09</v>
      </c>
      <c r="H543" s="59">
        <f t="shared" si="39"/>
        <v>870.09</v>
      </c>
      <c r="I543" s="60">
        <v>46174.0</v>
      </c>
    </row>
    <row r="544" ht="22.5" customHeight="1">
      <c r="A544" s="43" t="s">
        <v>138</v>
      </c>
      <c r="B544" s="47"/>
      <c r="C544" s="50" t="s">
        <v>67</v>
      </c>
      <c r="D544" s="51" t="s">
        <v>71</v>
      </c>
      <c r="E544" s="53">
        <v>46181.0</v>
      </c>
      <c r="F544" s="56" t="str">
        <f t="shared" si="1"/>
        <v>6/2026</v>
      </c>
      <c r="G544" s="57">
        <f>2562.47+49.44</f>
        <v>2611.91</v>
      </c>
      <c r="H544" s="59">
        <f t="shared" si="39"/>
        <v>2611.91</v>
      </c>
      <c r="I544" s="60">
        <v>46173.0</v>
      </c>
    </row>
    <row r="545" ht="22.5" customHeight="1">
      <c r="A545" s="127" t="s">
        <v>130</v>
      </c>
      <c r="B545" s="47" t="s">
        <v>83</v>
      </c>
      <c r="C545" s="128" t="s">
        <v>132</v>
      </c>
      <c r="D545" s="51" t="s">
        <v>68</v>
      </c>
      <c r="E545" s="53">
        <v>46183.0</v>
      </c>
      <c r="F545" s="56" t="str">
        <f t="shared" si="1"/>
        <v>6/2026</v>
      </c>
      <c r="G545" s="57">
        <v>263.58</v>
      </c>
      <c r="H545" s="59">
        <f t="shared" si="39"/>
        <v>263.58</v>
      </c>
      <c r="I545" s="60">
        <v>46174.0</v>
      </c>
    </row>
    <row r="546" ht="22.5" customHeight="1">
      <c r="A546" s="127" t="s">
        <v>141</v>
      </c>
      <c r="B546" s="131"/>
      <c r="C546" s="128" t="s">
        <v>132</v>
      </c>
      <c r="D546" s="51" t="s">
        <v>75</v>
      </c>
      <c r="E546" s="53">
        <v>46183.0</v>
      </c>
      <c r="F546" s="56" t="str">
        <f t="shared" si="1"/>
        <v>6/2026</v>
      </c>
      <c r="G546" s="57">
        <v>129.9</v>
      </c>
      <c r="H546" s="59">
        <f t="shared" si="39"/>
        <v>129.9</v>
      </c>
      <c r="I546" s="60">
        <v>46174.0</v>
      </c>
    </row>
    <row r="547" ht="22.5" customHeight="1">
      <c r="A547" s="43" t="s">
        <v>147</v>
      </c>
      <c r="B547" s="47" t="s">
        <v>148</v>
      </c>
      <c r="C547" s="50" t="s">
        <v>132</v>
      </c>
      <c r="D547" s="51" t="s">
        <v>76</v>
      </c>
      <c r="E547" s="53">
        <v>46193.0</v>
      </c>
      <c r="F547" s="56" t="str">
        <f t="shared" si="1"/>
        <v>6/2026</v>
      </c>
      <c r="G547" s="57">
        <v>82.05</v>
      </c>
      <c r="H547" s="59">
        <f t="shared" si="39"/>
        <v>82.05</v>
      </c>
      <c r="I547" s="60">
        <v>46174.0</v>
      </c>
    </row>
    <row r="548" ht="22.5" customHeight="1">
      <c r="A548" s="43" t="s">
        <v>147</v>
      </c>
      <c r="B548" s="47" t="s">
        <v>238</v>
      </c>
      <c r="C548" s="50" t="s">
        <v>132</v>
      </c>
      <c r="D548" s="51" t="s">
        <v>76</v>
      </c>
      <c r="E548" s="53">
        <v>46193.0</v>
      </c>
      <c r="F548" s="56" t="str">
        <f t="shared" si="1"/>
        <v>6/2026</v>
      </c>
      <c r="G548" s="57">
        <v>87.05</v>
      </c>
      <c r="H548" s="59">
        <f t="shared" si="39"/>
        <v>87.05</v>
      </c>
      <c r="I548" s="60">
        <v>46174.0</v>
      </c>
    </row>
    <row r="549" ht="22.5" customHeight="1">
      <c r="A549" s="127" t="s">
        <v>2558</v>
      </c>
      <c r="B549" s="47" t="s">
        <v>152</v>
      </c>
      <c r="C549" s="128" t="s">
        <v>67</v>
      </c>
      <c r="D549" s="51" t="s">
        <v>67</v>
      </c>
      <c r="E549" s="53">
        <v>46199.0</v>
      </c>
      <c r="F549" s="56" t="str">
        <f t="shared" si="1"/>
        <v>6/2026</v>
      </c>
      <c r="G549" s="57">
        <f>2420.1+80.3</f>
        <v>2500.4</v>
      </c>
      <c r="H549" s="59">
        <f t="shared" si="39"/>
        <v>2500.4</v>
      </c>
      <c r="I549" s="60">
        <v>46174.0</v>
      </c>
    </row>
    <row r="550" ht="22.5" customHeight="1">
      <c r="A550" s="127" t="s">
        <v>2559</v>
      </c>
      <c r="B550" s="47" t="s">
        <v>2560</v>
      </c>
      <c r="C550" s="128" t="s">
        <v>67</v>
      </c>
      <c r="D550" s="51" t="s">
        <v>66</v>
      </c>
      <c r="E550" s="53">
        <v>46207.0</v>
      </c>
      <c r="F550" s="56" t="str">
        <f t="shared" si="1"/>
        <v>7/2026</v>
      </c>
      <c r="G550" s="57">
        <v>1236.78</v>
      </c>
      <c r="H550" s="59">
        <f t="shared" si="39"/>
        <v>1236.78</v>
      </c>
      <c r="I550" s="60">
        <v>46209.0</v>
      </c>
    </row>
    <row r="551" ht="22.5" customHeight="1">
      <c r="A551" s="43" t="s">
        <v>176</v>
      </c>
      <c r="B551" s="47"/>
      <c r="C551" s="50" t="s">
        <v>67</v>
      </c>
      <c r="D551" s="51" t="s">
        <v>67</v>
      </c>
      <c r="E551" s="53">
        <v>46210.0</v>
      </c>
      <c r="F551" s="56" t="str">
        <f t="shared" si="1"/>
        <v>7/2026</v>
      </c>
      <c r="G551" s="57">
        <v>1231.13</v>
      </c>
      <c r="H551" s="79">
        <v>901.22</v>
      </c>
      <c r="I551" s="60">
        <v>46042.0</v>
      </c>
    </row>
    <row r="552" ht="22.5" customHeight="1">
      <c r="A552" s="127" t="s">
        <v>1140</v>
      </c>
      <c r="B552" s="47" t="s">
        <v>135</v>
      </c>
      <c r="C552" s="128" t="s">
        <v>67</v>
      </c>
      <c r="D552" s="51" t="s">
        <v>67</v>
      </c>
      <c r="E552" s="53">
        <v>46211.0</v>
      </c>
      <c r="F552" s="56" t="str">
        <f t="shared" si="1"/>
        <v>7/2026</v>
      </c>
      <c r="G552" s="57">
        <v>614.55</v>
      </c>
      <c r="H552" s="59">
        <f t="shared" ref="H552:H562" si="40">IF(I552,G552,0)</f>
        <v>614.55</v>
      </c>
      <c r="I552" s="60">
        <v>46204.0</v>
      </c>
    </row>
    <row r="553" ht="22.5" customHeight="1">
      <c r="A553" s="43" t="s">
        <v>82</v>
      </c>
      <c r="B553" s="47" t="s">
        <v>83</v>
      </c>
      <c r="C553" s="50" t="s">
        <v>67</v>
      </c>
      <c r="D553" s="51" t="s">
        <v>71</v>
      </c>
      <c r="E553" s="53">
        <v>46211.0</v>
      </c>
      <c r="F553" s="56" t="str">
        <f t="shared" si="1"/>
        <v>7/2026</v>
      </c>
      <c r="G553" s="57">
        <v>1687.0</v>
      </c>
      <c r="H553" s="59">
        <f t="shared" si="40"/>
        <v>1687</v>
      </c>
      <c r="I553" s="60">
        <v>46204.0</v>
      </c>
    </row>
    <row r="554" ht="22.5" customHeight="1">
      <c r="A554" s="127" t="s">
        <v>136</v>
      </c>
      <c r="B554" s="47" t="s">
        <v>83</v>
      </c>
      <c r="C554" s="128" t="s">
        <v>132</v>
      </c>
      <c r="D554" s="51" t="s">
        <v>70</v>
      </c>
      <c r="E554" s="53">
        <v>46211.0</v>
      </c>
      <c r="F554" s="56" t="str">
        <f t="shared" si="1"/>
        <v>7/2026</v>
      </c>
      <c r="G554" s="57">
        <v>60.19</v>
      </c>
      <c r="H554" s="59">
        <f t="shared" si="40"/>
        <v>60.19</v>
      </c>
      <c r="I554" s="60">
        <v>46204.0</v>
      </c>
    </row>
    <row r="555" ht="22.5" customHeight="1">
      <c r="A555" s="43" t="s">
        <v>134</v>
      </c>
      <c r="B555" s="47" t="s">
        <v>135</v>
      </c>
      <c r="C555" s="50" t="s">
        <v>67</v>
      </c>
      <c r="D555" s="51" t="s">
        <v>71</v>
      </c>
      <c r="E555" s="53">
        <v>46211.0</v>
      </c>
      <c r="F555" s="56" t="str">
        <f t="shared" si="1"/>
        <v>7/2026</v>
      </c>
      <c r="G555" s="57">
        <v>1708.16</v>
      </c>
      <c r="H555" s="59">
        <f t="shared" si="40"/>
        <v>1708.16</v>
      </c>
      <c r="I555" s="60">
        <v>46205.0</v>
      </c>
    </row>
    <row r="556" ht="22.5" customHeight="1">
      <c r="A556" s="127" t="s">
        <v>138</v>
      </c>
      <c r="B556" s="131"/>
      <c r="C556" s="128" t="s">
        <v>67</v>
      </c>
      <c r="D556" s="51" t="s">
        <v>71</v>
      </c>
      <c r="E556" s="53">
        <v>46211.0</v>
      </c>
      <c r="F556" s="56" t="str">
        <f t="shared" si="1"/>
        <v>7/2026</v>
      </c>
      <c r="G556" s="57">
        <f>1229.37+2530.57</f>
        <v>3759.94</v>
      </c>
      <c r="H556" s="59">
        <f t="shared" si="40"/>
        <v>3759.94</v>
      </c>
      <c r="I556" s="60">
        <v>46205.0</v>
      </c>
    </row>
    <row r="557" ht="22.5" customHeight="1">
      <c r="A557" s="127" t="s">
        <v>130</v>
      </c>
      <c r="B557" s="47" t="s">
        <v>83</v>
      </c>
      <c r="C557" s="128" t="s">
        <v>132</v>
      </c>
      <c r="D557" s="51" t="s">
        <v>68</v>
      </c>
      <c r="E557" s="53">
        <v>46213.0</v>
      </c>
      <c r="F557" s="56" t="str">
        <f t="shared" si="1"/>
        <v>7/2026</v>
      </c>
      <c r="G557" s="57">
        <v>253.1</v>
      </c>
      <c r="H557" s="59">
        <f t="shared" si="40"/>
        <v>253.1</v>
      </c>
      <c r="I557" s="60">
        <v>46204.0</v>
      </c>
    </row>
    <row r="558" ht="22.5" customHeight="1">
      <c r="A558" s="127" t="s">
        <v>141</v>
      </c>
      <c r="B558" s="131"/>
      <c r="C558" s="128" t="s">
        <v>132</v>
      </c>
      <c r="D558" s="51" t="s">
        <v>75</v>
      </c>
      <c r="E558" s="53">
        <v>46213.0</v>
      </c>
      <c r="F558" s="56" t="str">
        <f t="shared" si="1"/>
        <v>7/2026</v>
      </c>
      <c r="G558" s="57">
        <v>129.9</v>
      </c>
      <c r="H558" s="59">
        <f t="shared" si="40"/>
        <v>129.9</v>
      </c>
      <c r="I558" s="60">
        <v>46204.0</v>
      </c>
    </row>
    <row r="559" ht="22.5" customHeight="1">
      <c r="A559" s="43" t="s">
        <v>147</v>
      </c>
      <c r="B559" s="47" t="s">
        <v>148</v>
      </c>
      <c r="C559" s="50" t="s">
        <v>132</v>
      </c>
      <c r="D559" s="51" t="s">
        <v>76</v>
      </c>
      <c r="E559" s="53">
        <v>46223.0</v>
      </c>
      <c r="F559" s="56" t="str">
        <f t="shared" si="1"/>
        <v>7/2026</v>
      </c>
      <c r="G559" s="57">
        <v>82.05</v>
      </c>
      <c r="H559" s="59">
        <f t="shared" si="40"/>
        <v>82.05</v>
      </c>
      <c r="I559" s="60">
        <v>46223.0</v>
      </c>
    </row>
    <row r="560" ht="22.5" customHeight="1">
      <c r="A560" s="43" t="s">
        <v>147</v>
      </c>
      <c r="B560" s="47" t="s">
        <v>238</v>
      </c>
      <c r="C560" s="50" t="s">
        <v>132</v>
      </c>
      <c r="D560" s="51" t="s">
        <v>76</v>
      </c>
      <c r="E560" s="53">
        <v>46223.0</v>
      </c>
      <c r="F560" s="56" t="str">
        <f t="shared" si="1"/>
        <v>7/2026</v>
      </c>
      <c r="G560" s="57">
        <v>87.05</v>
      </c>
      <c r="H560" s="59">
        <f t="shared" si="40"/>
        <v>87.05</v>
      </c>
      <c r="I560" s="60">
        <v>46223.0</v>
      </c>
    </row>
    <row r="561" ht="22.5" customHeight="1">
      <c r="A561" s="127" t="s">
        <v>2558</v>
      </c>
      <c r="B561" s="47" t="s">
        <v>152</v>
      </c>
      <c r="C561" s="128" t="s">
        <v>67</v>
      </c>
      <c r="D561" s="51" t="s">
        <v>67</v>
      </c>
      <c r="E561" s="53">
        <v>46229.0</v>
      </c>
      <c r="F561" s="56" t="str">
        <f t="shared" si="1"/>
        <v>7/2026</v>
      </c>
      <c r="G561" s="57">
        <f>2420.1+80.3</f>
        <v>2500.4</v>
      </c>
      <c r="H561" s="59">
        <f t="shared" si="40"/>
        <v>2500.4</v>
      </c>
      <c r="I561" s="60">
        <v>46204.0</v>
      </c>
    </row>
    <row r="562" ht="22.5" customHeight="1">
      <c r="A562" s="127" t="s">
        <v>2559</v>
      </c>
      <c r="B562" s="47" t="s">
        <v>2560</v>
      </c>
      <c r="C562" s="128" t="s">
        <v>67</v>
      </c>
      <c r="D562" s="51" t="s">
        <v>66</v>
      </c>
      <c r="E562" s="53">
        <v>46238.0</v>
      </c>
      <c r="F562" s="56" t="str">
        <f t="shared" si="1"/>
        <v>8/2026</v>
      </c>
      <c r="G562" s="57">
        <v>1236.78</v>
      </c>
      <c r="H562" s="59">
        <f t="shared" si="40"/>
        <v>1236.78</v>
      </c>
      <c r="I562" s="60">
        <v>46238.0</v>
      </c>
    </row>
    <row r="563" ht="22.5" customHeight="1">
      <c r="A563" s="43" t="s">
        <v>176</v>
      </c>
      <c r="B563" s="47"/>
      <c r="C563" s="50" t="s">
        <v>67</v>
      </c>
      <c r="D563" s="51" t="s">
        <v>67</v>
      </c>
      <c r="E563" s="53">
        <v>46241.0</v>
      </c>
      <c r="F563" s="56" t="str">
        <f t="shared" si="1"/>
        <v>8/2026</v>
      </c>
      <c r="G563" s="57">
        <v>1231.13</v>
      </c>
      <c r="H563" s="79">
        <v>901.22</v>
      </c>
      <c r="I563" s="60">
        <v>46042.0</v>
      </c>
    </row>
    <row r="564" ht="22.5" customHeight="1">
      <c r="A564" s="43" t="s">
        <v>82</v>
      </c>
      <c r="B564" s="47" t="s">
        <v>83</v>
      </c>
      <c r="C564" s="50" t="s">
        <v>67</v>
      </c>
      <c r="D564" s="51" t="s">
        <v>71</v>
      </c>
      <c r="E564" s="53">
        <v>46242.0</v>
      </c>
      <c r="F564" s="56" t="str">
        <f t="shared" si="1"/>
        <v>8/2026</v>
      </c>
      <c r="G564" s="57">
        <v>1687.0</v>
      </c>
      <c r="H564" s="59">
        <f t="shared" ref="H564:H574" si="41">IF(I564,G564,0)</f>
        <v>1687</v>
      </c>
      <c r="I564" s="60">
        <v>46235.0</v>
      </c>
    </row>
    <row r="565" ht="22.5" customHeight="1">
      <c r="A565" s="127" t="s">
        <v>136</v>
      </c>
      <c r="B565" s="47" t="s">
        <v>83</v>
      </c>
      <c r="C565" s="128" t="s">
        <v>132</v>
      </c>
      <c r="D565" s="51" t="s">
        <v>70</v>
      </c>
      <c r="E565" s="53">
        <v>46242.0</v>
      </c>
      <c r="F565" s="56" t="str">
        <f t="shared" si="1"/>
        <v>8/2026</v>
      </c>
      <c r="G565" s="57">
        <v>60.19</v>
      </c>
      <c r="H565" s="59">
        <f t="shared" si="41"/>
        <v>60.19</v>
      </c>
      <c r="I565" s="60">
        <v>46234.0</v>
      </c>
    </row>
    <row r="566" ht="22.5" customHeight="1">
      <c r="A566" s="43" t="s">
        <v>134</v>
      </c>
      <c r="B566" s="47" t="s">
        <v>135</v>
      </c>
      <c r="C566" s="50" t="s">
        <v>67</v>
      </c>
      <c r="D566" s="51" t="s">
        <v>71</v>
      </c>
      <c r="E566" s="53">
        <v>46242.0</v>
      </c>
      <c r="F566" s="56" t="str">
        <f t="shared" si="1"/>
        <v>8/2026</v>
      </c>
      <c r="G566" s="57">
        <v>428.92</v>
      </c>
      <c r="H566" s="59">
        <f t="shared" si="41"/>
        <v>428.92</v>
      </c>
      <c r="I566" s="60">
        <v>46235.0</v>
      </c>
    </row>
    <row r="567" ht="22.5" customHeight="1">
      <c r="A567" s="43" t="s">
        <v>138</v>
      </c>
      <c r="B567" s="47"/>
      <c r="C567" s="50" t="s">
        <v>67</v>
      </c>
      <c r="D567" s="51" t="s">
        <v>71</v>
      </c>
      <c r="E567" s="53">
        <v>46242.0</v>
      </c>
      <c r="F567" s="56" t="str">
        <f t="shared" si="1"/>
        <v>8/2026</v>
      </c>
      <c r="G567" s="57">
        <v>2965.46</v>
      </c>
      <c r="H567" s="59">
        <f t="shared" si="41"/>
        <v>2965.46</v>
      </c>
      <c r="I567" s="60">
        <v>46238.0</v>
      </c>
    </row>
    <row r="568" ht="22.5" customHeight="1">
      <c r="A568" s="127" t="s">
        <v>1140</v>
      </c>
      <c r="B568" s="47" t="s">
        <v>135</v>
      </c>
      <c r="C568" s="128" t="s">
        <v>67</v>
      </c>
      <c r="D568" s="51" t="s">
        <v>67</v>
      </c>
      <c r="E568" s="53">
        <v>46242.0</v>
      </c>
      <c r="F568" s="56" t="str">
        <f t="shared" si="1"/>
        <v>8/2026</v>
      </c>
      <c r="G568" s="57">
        <v>115.6</v>
      </c>
      <c r="H568" s="59">
        <f t="shared" si="41"/>
        <v>115.6</v>
      </c>
      <c r="I568" s="60">
        <v>46235.0</v>
      </c>
    </row>
    <row r="569" ht="22.5" customHeight="1">
      <c r="A569" s="127" t="s">
        <v>130</v>
      </c>
      <c r="B569" s="47" t="s">
        <v>83</v>
      </c>
      <c r="C569" s="128" t="s">
        <v>132</v>
      </c>
      <c r="D569" s="51" t="s">
        <v>68</v>
      </c>
      <c r="E569" s="53">
        <v>46244.0</v>
      </c>
      <c r="F569" s="56" t="str">
        <f t="shared" si="1"/>
        <v>8/2026</v>
      </c>
      <c r="G569" s="57">
        <v>381.82</v>
      </c>
      <c r="H569" s="59">
        <f t="shared" si="41"/>
        <v>381.82</v>
      </c>
      <c r="I569" s="60">
        <v>46234.0</v>
      </c>
    </row>
    <row r="570" ht="22.5" customHeight="1">
      <c r="A570" s="127" t="s">
        <v>141</v>
      </c>
      <c r="B570" s="131"/>
      <c r="C570" s="128" t="s">
        <v>132</v>
      </c>
      <c r="D570" s="51" t="s">
        <v>75</v>
      </c>
      <c r="E570" s="53">
        <v>46244.0</v>
      </c>
      <c r="F570" s="56" t="str">
        <f t="shared" si="1"/>
        <v>8/2026</v>
      </c>
      <c r="G570" s="57">
        <v>129.9</v>
      </c>
      <c r="H570" s="59">
        <f t="shared" si="41"/>
        <v>129.9</v>
      </c>
      <c r="I570" s="60">
        <v>46234.0</v>
      </c>
    </row>
    <row r="571" ht="22.5" customHeight="1">
      <c r="A571" s="43" t="s">
        <v>147</v>
      </c>
      <c r="B571" s="47" t="s">
        <v>148</v>
      </c>
      <c r="C571" s="50" t="s">
        <v>132</v>
      </c>
      <c r="D571" s="51" t="s">
        <v>76</v>
      </c>
      <c r="E571" s="53">
        <v>46254.0</v>
      </c>
      <c r="F571" s="56" t="str">
        <f t="shared" si="1"/>
        <v>8/2026</v>
      </c>
      <c r="G571" s="57">
        <v>83.13</v>
      </c>
      <c r="H571" s="59">
        <f t="shared" si="41"/>
        <v>83.13</v>
      </c>
      <c r="I571" s="60">
        <v>46258.0</v>
      </c>
    </row>
    <row r="572" ht="22.5" customHeight="1">
      <c r="A572" s="43" t="s">
        <v>147</v>
      </c>
      <c r="B572" s="47" t="s">
        <v>238</v>
      </c>
      <c r="C572" s="50" t="s">
        <v>132</v>
      </c>
      <c r="D572" s="51" t="s">
        <v>76</v>
      </c>
      <c r="E572" s="53">
        <v>46254.0</v>
      </c>
      <c r="F572" s="56" t="str">
        <f t="shared" si="1"/>
        <v>8/2026</v>
      </c>
      <c r="G572" s="57">
        <v>88.2</v>
      </c>
      <c r="H572" s="59">
        <f t="shared" si="41"/>
        <v>88.2</v>
      </c>
      <c r="I572" s="60">
        <v>46258.0</v>
      </c>
    </row>
    <row r="573" ht="22.5" customHeight="1">
      <c r="A573" s="127" t="s">
        <v>2558</v>
      </c>
      <c r="B573" s="47" t="s">
        <v>152</v>
      </c>
      <c r="C573" s="128" t="s">
        <v>67</v>
      </c>
      <c r="D573" s="51" t="s">
        <v>67</v>
      </c>
      <c r="E573" s="53">
        <v>46260.0</v>
      </c>
      <c r="F573" s="56" t="str">
        <f t="shared" si="1"/>
        <v>8/2026</v>
      </c>
      <c r="G573" s="57">
        <f>2420.1+80.3</f>
        <v>2500.4</v>
      </c>
      <c r="H573" s="59">
        <f t="shared" si="41"/>
        <v>2500.4</v>
      </c>
      <c r="I573" s="60">
        <v>46235.0</v>
      </c>
    </row>
    <row r="574" ht="22.5" customHeight="1">
      <c r="A574" s="127" t="s">
        <v>2559</v>
      </c>
      <c r="B574" s="47" t="s">
        <v>2560</v>
      </c>
      <c r="C574" s="128" t="s">
        <v>67</v>
      </c>
      <c r="D574" s="51" t="s">
        <v>66</v>
      </c>
      <c r="E574" s="53">
        <v>46269.0</v>
      </c>
      <c r="F574" s="56" t="str">
        <f t="shared" si="1"/>
        <v>9/2026</v>
      </c>
      <c r="G574" s="57">
        <v>1236.78</v>
      </c>
      <c r="H574" s="59">
        <f t="shared" si="41"/>
        <v>0</v>
      </c>
      <c r="I574" s="145"/>
    </row>
    <row r="575" ht="22.5" customHeight="1">
      <c r="A575" s="43" t="s">
        <v>176</v>
      </c>
      <c r="B575" s="47"/>
      <c r="C575" s="50" t="s">
        <v>67</v>
      </c>
      <c r="D575" s="51" t="s">
        <v>67</v>
      </c>
      <c r="E575" s="53">
        <v>46272.0</v>
      </c>
      <c r="F575" s="56" t="str">
        <f t="shared" si="1"/>
        <v>9/2026</v>
      </c>
      <c r="G575" s="57">
        <v>1231.13</v>
      </c>
      <c r="H575" s="79">
        <v>901.22</v>
      </c>
      <c r="I575" s="60">
        <v>46042.0</v>
      </c>
    </row>
    <row r="576" ht="22.5" customHeight="1">
      <c r="A576" s="43" t="s">
        <v>82</v>
      </c>
      <c r="B576" s="47" t="s">
        <v>83</v>
      </c>
      <c r="C576" s="50" t="s">
        <v>67</v>
      </c>
      <c r="D576" s="51" t="s">
        <v>71</v>
      </c>
      <c r="E576" s="53">
        <v>46273.0</v>
      </c>
      <c r="F576" s="56" t="str">
        <f t="shared" si="1"/>
        <v>9/2026</v>
      </c>
      <c r="G576" s="57">
        <v>1687.0</v>
      </c>
      <c r="H576" s="59">
        <f t="shared" ref="H576:H585" si="42">IF(I576,G576,0)</f>
        <v>0</v>
      </c>
      <c r="I576" s="145"/>
    </row>
    <row r="577" ht="22.5" customHeight="1">
      <c r="A577" s="127" t="s">
        <v>136</v>
      </c>
      <c r="B577" s="47" t="s">
        <v>83</v>
      </c>
      <c r="C577" s="128" t="s">
        <v>132</v>
      </c>
      <c r="D577" s="51" t="s">
        <v>70</v>
      </c>
      <c r="E577" s="53">
        <v>46273.0</v>
      </c>
      <c r="F577" s="56" t="str">
        <f t="shared" si="1"/>
        <v>9/2026</v>
      </c>
      <c r="G577" s="57">
        <v>61.89</v>
      </c>
      <c r="H577" s="59">
        <f t="shared" si="42"/>
        <v>0</v>
      </c>
      <c r="I577" s="145"/>
    </row>
    <row r="578" ht="22.5" customHeight="1">
      <c r="A578" s="43" t="s">
        <v>134</v>
      </c>
      <c r="B578" s="47" t="s">
        <v>135</v>
      </c>
      <c r="C578" s="50" t="s">
        <v>67</v>
      </c>
      <c r="D578" s="51" t="s">
        <v>71</v>
      </c>
      <c r="E578" s="53">
        <v>46273.0</v>
      </c>
      <c r="F578" s="56" t="str">
        <f t="shared" si="1"/>
        <v>9/2026</v>
      </c>
      <c r="G578" s="57">
        <v>368.64</v>
      </c>
      <c r="H578" s="59">
        <f t="shared" si="42"/>
        <v>0</v>
      </c>
      <c r="I578" s="145"/>
    </row>
    <row r="579" ht="22.5" customHeight="1">
      <c r="A579" s="43" t="s">
        <v>138</v>
      </c>
      <c r="B579" s="47"/>
      <c r="C579" s="50" t="s">
        <v>67</v>
      </c>
      <c r="D579" s="51" t="s">
        <v>71</v>
      </c>
      <c r="E579" s="53">
        <v>46273.0</v>
      </c>
      <c r="F579" s="56" t="str">
        <f t="shared" si="1"/>
        <v>9/2026</v>
      </c>
      <c r="G579" s="57">
        <v>5247.17</v>
      </c>
      <c r="H579" s="59">
        <f t="shared" si="42"/>
        <v>0</v>
      </c>
      <c r="I579" s="145"/>
    </row>
    <row r="580" ht="22.5" customHeight="1">
      <c r="A580" s="127" t="s">
        <v>1140</v>
      </c>
      <c r="B580" s="47" t="s">
        <v>135</v>
      </c>
      <c r="C580" s="128" t="s">
        <v>67</v>
      </c>
      <c r="D580" s="51" t="s">
        <v>67</v>
      </c>
      <c r="E580" s="53">
        <v>46273.0</v>
      </c>
      <c r="F580" s="56" t="str">
        <f t="shared" si="1"/>
        <v>9/2026</v>
      </c>
      <c r="G580" s="57">
        <v>268.8</v>
      </c>
      <c r="H580" s="59">
        <f t="shared" si="42"/>
        <v>0</v>
      </c>
      <c r="I580" s="145"/>
    </row>
    <row r="581" ht="22.5" customHeight="1">
      <c r="A581" s="127" t="s">
        <v>130</v>
      </c>
      <c r="B581" s="47" t="s">
        <v>83</v>
      </c>
      <c r="C581" s="128" t="s">
        <v>132</v>
      </c>
      <c r="D581" s="51" t="s">
        <v>68</v>
      </c>
      <c r="E581" s="53">
        <v>46275.0</v>
      </c>
      <c r="F581" s="56" t="str">
        <f t="shared" si="1"/>
        <v>9/2026</v>
      </c>
      <c r="G581" s="57">
        <v>204.58</v>
      </c>
      <c r="H581" s="59">
        <f t="shared" si="42"/>
        <v>0</v>
      </c>
      <c r="I581" s="145"/>
    </row>
    <row r="582" ht="22.5" customHeight="1">
      <c r="A582" s="127" t="s">
        <v>141</v>
      </c>
      <c r="B582" s="131"/>
      <c r="C582" s="128" t="s">
        <v>132</v>
      </c>
      <c r="D582" s="51" t="s">
        <v>75</v>
      </c>
      <c r="E582" s="53">
        <v>46275.0</v>
      </c>
      <c r="F582" s="56" t="str">
        <f t="shared" si="1"/>
        <v>9/2026</v>
      </c>
      <c r="G582" s="57">
        <v>129.9</v>
      </c>
      <c r="H582" s="59">
        <f t="shared" si="42"/>
        <v>0</v>
      </c>
      <c r="I582" s="145"/>
    </row>
    <row r="583" ht="22.5" customHeight="1">
      <c r="A583" s="43" t="s">
        <v>147</v>
      </c>
      <c r="B583" s="47" t="s">
        <v>148</v>
      </c>
      <c r="C583" s="50" t="s">
        <v>132</v>
      </c>
      <c r="D583" s="51" t="s">
        <v>76</v>
      </c>
      <c r="E583" s="53">
        <v>46285.0</v>
      </c>
      <c r="F583" s="56" t="str">
        <f t="shared" si="1"/>
        <v>9/2026</v>
      </c>
      <c r="G583" s="57">
        <v>82.05</v>
      </c>
      <c r="H583" s="59">
        <f t="shared" si="42"/>
        <v>0</v>
      </c>
      <c r="I583" s="145"/>
    </row>
    <row r="584" ht="22.5" customHeight="1">
      <c r="A584" s="43" t="s">
        <v>147</v>
      </c>
      <c r="B584" s="47" t="s">
        <v>238</v>
      </c>
      <c r="C584" s="50" t="s">
        <v>132</v>
      </c>
      <c r="D584" s="51" t="s">
        <v>76</v>
      </c>
      <c r="E584" s="53">
        <v>46285.0</v>
      </c>
      <c r="F584" s="56" t="str">
        <f t="shared" si="1"/>
        <v>9/2026</v>
      </c>
      <c r="G584" s="57">
        <v>87.05</v>
      </c>
      <c r="H584" s="59">
        <f t="shared" si="42"/>
        <v>0</v>
      </c>
      <c r="I584" s="145"/>
    </row>
    <row r="585" ht="22.5" customHeight="1">
      <c r="A585" s="127" t="s">
        <v>2558</v>
      </c>
      <c r="B585" s="47" t="s">
        <v>152</v>
      </c>
      <c r="C585" s="128" t="s">
        <v>67</v>
      </c>
      <c r="D585" s="51" t="s">
        <v>67</v>
      </c>
      <c r="E585" s="53">
        <v>46291.0</v>
      </c>
      <c r="F585" s="56" t="str">
        <f t="shared" si="1"/>
        <v>9/2026</v>
      </c>
      <c r="G585" s="57">
        <f>2420.1+80.3</f>
        <v>2500.4</v>
      </c>
      <c r="H585" s="59">
        <f t="shared" si="42"/>
        <v>2500.4</v>
      </c>
      <c r="I585" s="60">
        <v>46266.0</v>
      </c>
    </row>
    <row r="586" ht="22.5" customHeight="1">
      <c r="A586" s="43" t="s">
        <v>176</v>
      </c>
      <c r="B586" s="47"/>
      <c r="C586" s="50" t="s">
        <v>67</v>
      </c>
      <c r="D586" s="51" t="s">
        <v>67</v>
      </c>
      <c r="E586" s="53">
        <v>46302.0</v>
      </c>
      <c r="F586" s="56" t="str">
        <f t="shared" si="1"/>
        <v>10/2026</v>
      </c>
      <c r="G586" s="57">
        <v>1231.13</v>
      </c>
      <c r="H586" s="79">
        <v>901.22</v>
      </c>
      <c r="I586" s="60">
        <v>46042.0</v>
      </c>
    </row>
    <row r="587" ht="22.5" customHeight="1">
      <c r="A587" s="43" t="s">
        <v>82</v>
      </c>
      <c r="B587" s="47" t="s">
        <v>83</v>
      </c>
      <c r="C587" s="50" t="s">
        <v>67</v>
      </c>
      <c r="D587" s="51" t="s">
        <v>71</v>
      </c>
      <c r="E587" s="53">
        <v>46303.0</v>
      </c>
      <c r="F587" s="56" t="str">
        <f t="shared" si="1"/>
        <v>10/2026</v>
      </c>
      <c r="G587" s="57">
        <v>1687.0</v>
      </c>
      <c r="H587" s="59">
        <f t="shared" ref="H587:H596" si="43">IF(I587,G587,0)</f>
        <v>0</v>
      </c>
      <c r="I587" s="145"/>
    </row>
    <row r="588" ht="22.5" customHeight="1">
      <c r="A588" s="127" t="s">
        <v>136</v>
      </c>
      <c r="B588" s="47" t="s">
        <v>83</v>
      </c>
      <c r="C588" s="128" t="s">
        <v>132</v>
      </c>
      <c r="D588" s="51" t="s">
        <v>70</v>
      </c>
      <c r="E588" s="53">
        <v>46303.0</v>
      </c>
      <c r="F588" s="56" t="str">
        <f t="shared" si="1"/>
        <v>10/2026</v>
      </c>
      <c r="G588" s="57">
        <v>62.0</v>
      </c>
      <c r="H588" s="59">
        <f t="shared" si="43"/>
        <v>0</v>
      </c>
      <c r="I588" s="145"/>
    </row>
    <row r="589" ht="22.5" customHeight="1">
      <c r="A589" s="127" t="s">
        <v>138</v>
      </c>
      <c r="B589" s="131"/>
      <c r="C589" s="128" t="s">
        <v>67</v>
      </c>
      <c r="D589" s="51" t="s">
        <v>71</v>
      </c>
      <c r="E589" s="53">
        <v>46303.0</v>
      </c>
      <c r="F589" s="56" t="str">
        <f t="shared" si="1"/>
        <v>10/2026</v>
      </c>
      <c r="G589" s="57">
        <v>2346.12</v>
      </c>
      <c r="H589" s="59">
        <f t="shared" si="43"/>
        <v>0</v>
      </c>
      <c r="I589" s="145"/>
    </row>
    <row r="590" ht="22.5" customHeight="1">
      <c r="A590" s="43" t="s">
        <v>134</v>
      </c>
      <c r="B590" s="146" t="s">
        <v>135</v>
      </c>
      <c r="C590" s="50" t="s">
        <v>67</v>
      </c>
      <c r="D590" s="51" t="s">
        <v>71</v>
      </c>
      <c r="E590" s="53">
        <v>46303.0</v>
      </c>
      <c r="F590" s="56" t="str">
        <f t="shared" si="1"/>
        <v>10/2026</v>
      </c>
      <c r="G590" s="57">
        <v>48.64</v>
      </c>
      <c r="H590" s="59">
        <f t="shared" si="43"/>
        <v>0</v>
      </c>
      <c r="I590" s="145"/>
    </row>
    <row r="591" ht="22.5" customHeight="1">
      <c r="A591" s="127" t="s">
        <v>1140</v>
      </c>
      <c r="B591" s="47" t="s">
        <v>135</v>
      </c>
      <c r="C591" s="128" t="s">
        <v>67</v>
      </c>
      <c r="D591" s="51" t="s">
        <v>67</v>
      </c>
      <c r="E591" s="53">
        <v>46303.0</v>
      </c>
      <c r="F591" s="56" t="str">
        <f t="shared" si="1"/>
        <v>10/2026</v>
      </c>
      <c r="G591" s="57">
        <v>0.0</v>
      </c>
      <c r="H591" s="59">
        <f t="shared" si="43"/>
        <v>0</v>
      </c>
      <c r="I591" s="145"/>
    </row>
    <row r="592" ht="22.5" customHeight="1">
      <c r="A592" s="127" t="s">
        <v>130</v>
      </c>
      <c r="B592" s="47" t="s">
        <v>83</v>
      </c>
      <c r="C592" s="128" t="s">
        <v>132</v>
      </c>
      <c r="D592" s="51" t="s">
        <v>68</v>
      </c>
      <c r="E592" s="53">
        <v>46305.0</v>
      </c>
      <c r="F592" s="56" t="str">
        <f t="shared" si="1"/>
        <v>10/2026</v>
      </c>
      <c r="G592" s="57">
        <v>210.0</v>
      </c>
      <c r="H592" s="59">
        <f t="shared" si="43"/>
        <v>0</v>
      </c>
      <c r="I592" s="145"/>
    </row>
    <row r="593" ht="22.5" customHeight="1">
      <c r="A593" s="127" t="s">
        <v>141</v>
      </c>
      <c r="B593" s="131"/>
      <c r="C593" s="128" t="s">
        <v>132</v>
      </c>
      <c r="D593" s="51" t="s">
        <v>75</v>
      </c>
      <c r="E593" s="53">
        <v>46305.0</v>
      </c>
      <c r="F593" s="56" t="str">
        <f t="shared" si="1"/>
        <v>10/2026</v>
      </c>
      <c r="G593" s="57">
        <v>129.9</v>
      </c>
      <c r="H593" s="59">
        <f t="shared" si="43"/>
        <v>0</v>
      </c>
      <c r="I593" s="145"/>
    </row>
    <row r="594" ht="22.5" customHeight="1">
      <c r="A594" s="43" t="s">
        <v>147</v>
      </c>
      <c r="B594" s="47" t="s">
        <v>148</v>
      </c>
      <c r="C594" s="50" t="s">
        <v>132</v>
      </c>
      <c r="D594" s="51" t="s">
        <v>76</v>
      </c>
      <c r="E594" s="53">
        <v>46315.0</v>
      </c>
      <c r="F594" s="56" t="str">
        <f t="shared" si="1"/>
        <v>10/2026</v>
      </c>
      <c r="G594" s="57">
        <v>82.05</v>
      </c>
      <c r="H594" s="59">
        <f t="shared" si="43"/>
        <v>0</v>
      </c>
      <c r="I594" s="145"/>
    </row>
    <row r="595" ht="22.5" customHeight="1">
      <c r="A595" s="43" t="s">
        <v>147</v>
      </c>
      <c r="B595" s="47" t="s">
        <v>238</v>
      </c>
      <c r="C595" s="50" t="s">
        <v>132</v>
      </c>
      <c r="D595" s="51" t="s">
        <v>76</v>
      </c>
      <c r="E595" s="53">
        <v>46315.0</v>
      </c>
      <c r="F595" s="56" t="str">
        <f t="shared" si="1"/>
        <v>10/2026</v>
      </c>
      <c r="G595" s="57">
        <v>87.05</v>
      </c>
      <c r="H595" s="59">
        <f t="shared" si="43"/>
        <v>0</v>
      </c>
      <c r="I595" s="145"/>
    </row>
    <row r="596" ht="22.5" customHeight="1">
      <c r="A596" s="127" t="s">
        <v>2558</v>
      </c>
      <c r="B596" s="47" t="s">
        <v>152</v>
      </c>
      <c r="C596" s="128" t="s">
        <v>67</v>
      </c>
      <c r="D596" s="51" t="s">
        <v>67</v>
      </c>
      <c r="E596" s="53">
        <v>46321.0</v>
      </c>
      <c r="F596" s="56" t="str">
        <f t="shared" si="1"/>
        <v>10/2026</v>
      </c>
      <c r="G596" s="57">
        <f>2420.1+80.3</f>
        <v>2500.4</v>
      </c>
      <c r="H596" s="59">
        <f t="shared" si="43"/>
        <v>2500.4</v>
      </c>
      <c r="I596" s="60">
        <v>46296.0</v>
      </c>
    </row>
    <row r="597" ht="22.5" customHeight="1">
      <c r="A597" s="43" t="s">
        <v>176</v>
      </c>
      <c r="B597" s="47"/>
      <c r="C597" s="50" t="s">
        <v>67</v>
      </c>
      <c r="D597" s="51" t="s">
        <v>67</v>
      </c>
      <c r="E597" s="53">
        <v>46333.0</v>
      </c>
      <c r="F597" s="56" t="str">
        <f t="shared" si="1"/>
        <v>11/2026</v>
      </c>
      <c r="G597" s="57">
        <v>1231.13</v>
      </c>
      <c r="H597" s="79">
        <v>901.22</v>
      </c>
      <c r="I597" s="60">
        <v>46042.0</v>
      </c>
    </row>
    <row r="598" ht="22.5" customHeight="1">
      <c r="A598" s="43" t="s">
        <v>82</v>
      </c>
      <c r="B598" s="47" t="s">
        <v>83</v>
      </c>
      <c r="C598" s="50" t="s">
        <v>67</v>
      </c>
      <c r="D598" s="51" t="s">
        <v>71</v>
      </c>
      <c r="E598" s="53">
        <v>46334.0</v>
      </c>
      <c r="F598" s="56" t="str">
        <f t="shared" si="1"/>
        <v>11/2026</v>
      </c>
      <c r="G598" s="57">
        <v>1687.0</v>
      </c>
      <c r="H598" s="59">
        <f t="shared" ref="H598:H607" si="44">IF(I598,G598,0)</f>
        <v>0</v>
      </c>
      <c r="I598" s="145"/>
    </row>
    <row r="599" ht="22.5" customHeight="1">
      <c r="A599" s="127" t="s">
        <v>136</v>
      </c>
      <c r="B599" s="47" t="s">
        <v>83</v>
      </c>
      <c r="C599" s="128" t="s">
        <v>132</v>
      </c>
      <c r="D599" s="51" t="s">
        <v>70</v>
      </c>
      <c r="E599" s="53">
        <v>46334.0</v>
      </c>
      <c r="F599" s="56" t="str">
        <f t="shared" si="1"/>
        <v>11/2026</v>
      </c>
      <c r="G599" s="57">
        <v>60.0</v>
      </c>
      <c r="H599" s="59">
        <f t="shared" si="44"/>
        <v>0</v>
      </c>
      <c r="I599" s="145"/>
    </row>
    <row r="600" ht="22.5" customHeight="1">
      <c r="A600" s="127" t="s">
        <v>138</v>
      </c>
      <c r="B600" s="131"/>
      <c r="C600" s="128" t="s">
        <v>67</v>
      </c>
      <c r="D600" s="51" t="s">
        <v>71</v>
      </c>
      <c r="E600" s="53">
        <v>46334.0</v>
      </c>
      <c r="F600" s="56" t="str">
        <f t="shared" si="1"/>
        <v>11/2026</v>
      </c>
      <c r="G600" s="57">
        <v>791.66</v>
      </c>
      <c r="H600" s="59">
        <f t="shared" si="44"/>
        <v>0</v>
      </c>
      <c r="I600" s="145"/>
    </row>
    <row r="601" ht="22.5" customHeight="1">
      <c r="A601" s="127" t="s">
        <v>1140</v>
      </c>
      <c r="B601" s="47" t="s">
        <v>135</v>
      </c>
      <c r="C601" s="128" t="s">
        <v>67</v>
      </c>
      <c r="D601" s="51" t="s">
        <v>67</v>
      </c>
      <c r="E601" s="53">
        <v>46334.0</v>
      </c>
      <c r="F601" s="56" t="str">
        <f t="shared" si="1"/>
        <v>11/2026</v>
      </c>
      <c r="G601" s="57">
        <v>100.0</v>
      </c>
      <c r="H601" s="59">
        <f t="shared" si="44"/>
        <v>0</v>
      </c>
      <c r="I601" s="145"/>
    </row>
    <row r="602" ht="22.5" customHeight="1">
      <c r="A602" s="127" t="s">
        <v>130</v>
      </c>
      <c r="B602" s="47" t="s">
        <v>83</v>
      </c>
      <c r="C602" s="128" t="s">
        <v>132</v>
      </c>
      <c r="D602" s="51" t="s">
        <v>68</v>
      </c>
      <c r="E602" s="53">
        <v>46336.0</v>
      </c>
      <c r="F602" s="56" t="str">
        <f t="shared" si="1"/>
        <v>11/2026</v>
      </c>
      <c r="G602" s="57">
        <v>200.0</v>
      </c>
      <c r="H602" s="59">
        <f t="shared" si="44"/>
        <v>0</v>
      </c>
      <c r="I602" s="145"/>
    </row>
    <row r="603" ht="22.5" customHeight="1">
      <c r="A603" s="127" t="s">
        <v>141</v>
      </c>
      <c r="B603" s="131"/>
      <c r="C603" s="128" t="s">
        <v>132</v>
      </c>
      <c r="D603" s="51" t="s">
        <v>75</v>
      </c>
      <c r="E603" s="53">
        <v>46336.0</v>
      </c>
      <c r="F603" s="56" t="str">
        <f t="shared" si="1"/>
        <v>11/2026</v>
      </c>
      <c r="G603" s="57">
        <v>129.9</v>
      </c>
      <c r="H603" s="59">
        <f t="shared" si="44"/>
        <v>0</v>
      </c>
      <c r="I603" s="145"/>
    </row>
    <row r="604" ht="22.5" customHeight="1">
      <c r="A604" s="43" t="s">
        <v>147</v>
      </c>
      <c r="B604" s="47" t="s">
        <v>148</v>
      </c>
      <c r="C604" s="50" t="s">
        <v>132</v>
      </c>
      <c r="D604" s="51" t="s">
        <v>76</v>
      </c>
      <c r="E604" s="53">
        <v>46346.0</v>
      </c>
      <c r="F604" s="56" t="str">
        <f t="shared" si="1"/>
        <v>11/2026</v>
      </c>
      <c r="G604" s="57">
        <v>76.9000000000001</v>
      </c>
      <c r="H604" s="59">
        <f t="shared" si="44"/>
        <v>0</v>
      </c>
      <c r="I604" s="145"/>
    </row>
    <row r="605" ht="22.5" customHeight="1">
      <c r="A605" s="43" t="s">
        <v>147</v>
      </c>
      <c r="B605" s="47" t="s">
        <v>238</v>
      </c>
      <c r="C605" s="50" t="s">
        <v>132</v>
      </c>
      <c r="D605" s="51" t="s">
        <v>76</v>
      </c>
      <c r="E605" s="53">
        <v>46346.0</v>
      </c>
      <c r="F605" s="56" t="str">
        <f t="shared" si="1"/>
        <v>11/2026</v>
      </c>
      <c r="G605" s="57">
        <v>81.9</v>
      </c>
      <c r="H605" s="59">
        <f t="shared" si="44"/>
        <v>0</v>
      </c>
      <c r="I605" s="145"/>
    </row>
    <row r="606" ht="22.5" customHeight="1">
      <c r="A606" s="127" t="s">
        <v>2558</v>
      </c>
      <c r="B606" s="47" t="s">
        <v>152</v>
      </c>
      <c r="C606" s="128" t="s">
        <v>67</v>
      </c>
      <c r="D606" s="51" t="s">
        <v>67</v>
      </c>
      <c r="E606" s="53">
        <v>46352.0</v>
      </c>
      <c r="F606" s="56" t="str">
        <f t="shared" si="1"/>
        <v>11/2026</v>
      </c>
      <c r="G606" s="57">
        <f>2420.1+80.3</f>
        <v>2500.4</v>
      </c>
      <c r="H606" s="59">
        <f t="shared" si="44"/>
        <v>0</v>
      </c>
      <c r="I606" s="145"/>
    </row>
    <row r="607" ht="22.5" customHeight="1">
      <c r="A607" s="43" t="s">
        <v>133</v>
      </c>
      <c r="B607" s="47" t="s">
        <v>131</v>
      </c>
      <c r="C607" s="128" t="s">
        <v>50</v>
      </c>
      <c r="D607" s="51" t="s">
        <v>71</v>
      </c>
      <c r="E607" s="53">
        <v>46357.0</v>
      </c>
      <c r="F607" s="56" t="str">
        <f t="shared" si="1"/>
        <v>12/2026</v>
      </c>
      <c r="G607" s="57">
        <f>21294.35-1317.87</f>
        <v>19976.48</v>
      </c>
      <c r="H607" s="59">
        <f t="shared" si="44"/>
        <v>0</v>
      </c>
      <c r="I607" s="145"/>
    </row>
    <row r="608" ht="22.5" customHeight="1">
      <c r="A608" s="43" t="s">
        <v>176</v>
      </c>
      <c r="B608" s="47"/>
      <c r="C608" s="50" t="s">
        <v>67</v>
      </c>
      <c r="D608" s="51" t="s">
        <v>67</v>
      </c>
      <c r="E608" s="53">
        <v>46363.0</v>
      </c>
      <c r="F608" s="56" t="str">
        <f t="shared" si="1"/>
        <v>12/2026</v>
      </c>
      <c r="G608" s="57">
        <v>1231.13</v>
      </c>
      <c r="H608" s="79">
        <v>901.22</v>
      </c>
      <c r="I608" s="60">
        <v>46042.0</v>
      </c>
    </row>
    <row r="609" ht="22.5" customHeight="1">
      <c r="A609" s="43" t="s">
        <v>82</v>
      </c>
      <c r="B609" s="47" t="s">
        <v>83</v>
      </c>
      <c r="C609" s="50" t="s">
        <v>67</v>
      </c>
      <c r="D609" s="51" t="s">
        <v>71</v>
      </c>
      <c r="E609" s="53">
        <v>46364.0</v>
      </c>
      <c r="F609" s="56" t="str">
        <f t="shared" si="1"/>
        <v>12/2026</v>
      </c>
      <c r="G609" s="57">
        <v>1687.0</v>
      </c>
      <c r="H609" s="59">
        <f t="shared" ref="H609:H616" si="45">IF(I609,G609,0)</f>
        <v>0</v>
      </c>
      <c r="I609" s="145"/>
    </row>
    <row r="610" ht="22.5" customHeight="1">
      <c r="A610" s="127" t="s">
        <v>136</v>
      </c>
      <c r="B610" s="47" t="s">
        <v>83</v>
      </c>
      <c r="C610" s="128" t="s">
        <v>132</v>
      </c>
      <c r="D610" s="51" t="s">
        <v>70</v>
      </c>
      <c r="E610" s="53">
        <v>46364.0</v>
      </c>
      <c r="F610" s="56" t="str">
        <f t="shared" si="1"/>
        <v>12/2026</v>
      </c>
      <c r="G610" s="57">
        <v>60.0</v>
      </c>
      <c r="H610" s="59">
        <f t="shared" si="45"/>
        <v>0</v>
      </c>
      <c r="I610" s="145"/>
    </row>
    <row r="611" ht="22.5" customHeight="1">
      <c r="A611" s="127" t="s">
        <v>1140</v>
      </c>
      <c r="B611" s="47" t="s">
        <v>135</v>
      </c>
      <c r="C611" s="128" t="s">
        <v>67</v>
      </c>
      <c r="D611" s="51" t="s">
        <v>67</v>
      </c>
      <c r="E611" s="53">
        <v>46364.0</v>
      </c>
      <c r="F611" s="56" t="str">
        <f t="shared" si="1"/>
        <v>12/2026</v>
      </c>
      <c r="G611" s="57">
        <v>100.0</v>
      </c>
      <c r="H611" s="59">
        <f t="shared" si="45"/>
        <v>0</v>
      </c>
      <c r="I611" s="145"/>
    </row>
    <row r="612" ht="22.5" customHeight="1">
      <c r="A612" s="127" t="s">
        <v>130</v>
      </c>
      <c r="B612" s="47" t="s">
        <v>83</v>
      </c>
      <c r="C612" s="128" t="s">
        <v>132</v>
      </c>
      <c r="D612" s="51" t="s">
        <v>68</v>
      </c>
      <c r="E612" s="53">
        <v>46366.0</v>
      </c>
      <c r="F612" s="56" t="str">
        <f t="shared" si="1"/>
        <v>12/2026</v>
      </c>
      <c r="G612" s="57">
        <v>200.0</v>
      </c>
      <c r="H612" s="59">
        <f t="shared" si="45"/>
        <v>0</v>
      </c>
      <c r="I612" s="145"/>
    </row>
    <row r="613" ht="22.5" customHeight="1">
      <c r="A613" s="127" t="s">
        <v>141</v>
      </c>
      <c r="B613" s="131"/>
      <c r="C613" s="128" t="s">
        <v>132</v>
      </c>
      <c r="D613" s="51" t="s">
        <v>75</v>
      </c>
      <c r="E613" s="53">
        <v>46366.0</v>
      </c>
      <c r="F613" s="56" t="str">
        <f t="shared" si="1"/>
        <v>12/2026</v>
      </c>
      <c r="G613" s="57">
        <v>129.9</v>
      </c>
      <c r="H613" s="59">
        <f t="shared" si="45"/>
        <v>0</v>
      </c>
      <c r="I613" s="145"/>
    </row>
    <row r="614" ht="22.5" customHeight="1">
      <c r="A614" s="43" t="s">
        <v>147</v>
      </c>
      <c r="B614" s="47" t="s">
        <v>148</v>
      </c>
      <c r="C614" s="50" t="s">
        <v>132</v>
      </c>
      <c r="D614" s="51" t="s">
        <v>76</v>
      </c>
      <c r="E614" s="53">
        <v>46376.0</v>
      </c>
      <c r="F614" s="56" t="str">
        <f t="shared" si="1"/>
        <v>12/2026</v>
      </c>
      <c r="G614" s="57">
        <v>76.9000000000001</v>
      </c>
      <c r="H614" s="59">
        <f t="shared" si="45"/>
        <v>0</v>
      </c>
      <c r="I614" s="145"/>
    </row>
    <row r="615" ht="22.5" customHeight="1">
      <c r="A615" s="43" t="s">
        <v>147</v>
      </c>
      <c r="B615" s="47" t="s">
        <v>238</v>
      </c>
      <c r="C615" s="50" t="s">
        <v>132</v>
      </c>
      <c r="D615" s="51" t="s">
        <v>76</v>
      </c>
      <c r="E615" s="53">
        <v>46376.0</v>
      </c>
      <c r="F615" s="56" t="str">
        <f t="shared" si="1"/>
        <v>12/2026</v>
      </c>
      <c r="G615" s="57">
        <v>81.9</v>
      </c>
      <c r="H615" s="59">
        <f t="shared" si="45"/>
        <v>0</v>
      </c>
      <c r="I615" s="145"/>
    </row>
    <row r="616" ht="22.5" customHeight="1">
      <c r="A616" s="127" t="s">
        <v>2558</v>
      </c>
      <c r="B616" s="47" t="s">
        <v>152</v>
      </c>
      <c r="C616" s="128" t="s">
        <v>67</v>
      </c>
      <c r="D616" s="51" t="s">
        <v>67</v>
      </c>
      <c r="E616" s="53">
        <v>46382.0</v>
      </c>
      <c r="F616" s="56" t="str">
        <f t="shared" si="1"/>
        <v>12/2026</v>
      </c>
      <c r="G616" s="57">
        <f>2420.1+80.3</f>
        <v>2500.4</v>
      </c>
      <c r="H616" s="59">
        <f t="shared" si="45"/>
        <v>0</v>
      </c>
      <c r="I616" s="145"/>
    </row>
    <row r="617" ht="22.5" customHeight="1">
      <c r="A617" s="43" t="s">
        <v>176</v>
      </c>
      <c r="B617" s="47"/>
      <c r="C617" s="50" t="s">
        <v>67</v>
      </c>
      <c r="D617" s="51" t="s">
        <v>67</v>
      </c>
      <c r="E617" s="53">
        <v>46394.0</v>
      </c>
      <c r="F617" s="56" t="str">
        <f t="shared" si="1"/>
        <v>1/2027</v>
      </c>
      <c r="G617" s="57">
        <v>1231.13</v>
      </c>
      <c r="H617" s="79">
        <v>901.22</v>
      </c>
      <c r="I617" s="60">
        <v>46042.0</v>
      </c>
    </row>
    <row r="618" ht="22.5" customHeight="1">
      <c r="A618" s="43" t="s">
        <v>82</v>
      </c>
      <c r="B618" s="47" t="s">
        <v>83</v>
      </c>
      <c r="C618" s="50" t="s">
        <v>67</v>
      </c>
      <c r="D618" s="51" t="s">
        <v>71</v>
      </c>
      <c r="E618" s="53">
        <v>46395.0</v>
      </c>
      <c r="F618" s="56" t="str">
        <f t="shared" si="1"/>
        <v>1/2027</v>
      </c>
      <c r="G618" s="57">
        <v>1619.31</v>
      </c>
      <c r="H618" s="59">
        <f t="shared" ref="H618:H620" si="46">IF(I618,G618,0)</f>
        <v>0</v>
      </c>
      <c r="I618" s="145"/>
    </row>
    <row r="619" ht="22.5" customHeight="1">
      <c r="A619" s="127" t="s">
        <v>1140</v>
      </c>
      <c r="B619" s="47" t="s">
        <v>135</v>
      </c>
      <c r="C619" s="128" t="s">
        <v>67</v>
      </c>
      <c r="D619" s="51" t="s">
        <v>67</v>
      </c>
      <c r="E619" s="53">
        <v>46395.0</v>
      </c>
      <c r="F619" s="56" t="str">
        <f t="shared" si="1"/>
        <v>1/2027</v>
      </c>
      <c r="G619" s="57">
        <v>100.0</v>
      </c>
      <c r="H619" s="59">
        <f t="shared" si="46"/>
        <v>0</v>
      </c>
      <c r="I619" s="145"/>
    </row>
    <row r="620" ht="22.5" customHeight="1">
      <c r="A620" s="127" t="s">
        <v>2558</v>
      </c>
      <c r="B620" s="47" t="s">
        <v>152</v>
      </c>
      <c r="C620" s="128" t="s">
        <v>67</v>
      </c>
      <c r="D620" s="51" t="s">
        <v>67</v>
      </c>
      <c r="E620" s="53">
        <v>46413.0</v>
      </c>
      <c r="F620" s="56" t="str">
        <f t="shared" si="1"/>
        <v>1/2027</v>
      </c>
      <c r="G620" s="57">
        <f>2420.1+80.3</f>
        <v>2500.4</v>
      </c>
      <c r="H620" s="59">
        <f t="shared" si="46"/>
        <v>0</v>
      </c>
      <c r="I620" s="145"/>
    </row>
    <row r="621" ht="22.5" customHeight="1">
      <c r="A621" s="43" t="s">
        <v>176</v>
      </c>
      <c r="B621" s="47"/>
      <c r="C621" s="50" t="s">
        <v>67</v>
      </c>
      <c r="D621" s="51" t="s">
        <v>67</v>
      </c>
      <c r="E621" s="53">
        <v>46425.0</v>
      </c>
      <c r="F621" s="56" t="str">
        <f t="shared" si="1"/>
        <v>2/2027</v>
      </c>
      <c r="G621" s="57">
        <v>1231.13</v>
      </c>
      <c r="H621" s="79">
        <v>901.22</v>
      </c>
      <c r="I621" s="60">
        <v>46042.0</v>
      </c>
    </row>
    <row r="622" ht="22.5" customHeight="1">
      <c r="A622" s="43" t="s">
        <v>82</v>
      </c>
      <c r="B622" s="47" t="s">
        <v>83</v>
      </c>
      <c r="C622" s="50" t="s">
        <v>67</v>
      </c>
      <c r="D622" s="51" t="s">
        <v>71</v>
      </c>
      <c r="E622" s="53">
        <v>46426.0</v>
      </c>
      <c r="F622" s="56" t="str">
        <f t="shared" si="1"/>
        <v>2/2027</v>
      </c>
      <c r="G622" s="57">
        <v>1619.31</v>
      </c>
      <c r="H622" s="59">
        <f t="shared" ref="H622:H624" si="47">IF(I622,G622,0)</f>
        <v>0</v>
      </c>
      <c r="I622" s="145"/>
    </row>
    <row r="623" ht="22.5" customHeight="1">
      <c r="A623" s="127" t="s">
        <v>1140</v>
      </c>
      <c r="B623" s="47" t="s">
        <v>135</v>
      </c>
      <c r="C623" s="128" t="s">
        <v>67</v>
      </c>
      <c r="D623" s="51" t="s">
        <v>67</v>
      </c>
      <c r="E623" s="53">
        <v>46426.0</v>
      </c>
      <c r="F623" s="56" t="str">
        <f t="shared" si="1"/>
        <v>2/2027</v>
      </c>
      <c r="G623" s="57">
        <v>100.0</v>
      </c>
      <c r="H623" s="59">
        <f t="shared" si="47"/>
        <v>0</v>
      </c>
      <c r="I623" s="145"/>
    </row>
    <row r="624" ht="22.5" customHeight="1">
      <c r="A624" s="127" t="s">
        <v>2558</v>
      </c>
      <c r="B624" s="47" t="s">
        <v>152</v>
      </c>
      <c r="C624" s="128" t="s">
        <v>67</v>
      </c>
      <c r="D624" s="51" t="s">
        <v>67</v>
      </c>
      <c r="E624" s="53">
        <v>46444.0</v>
      </c>
      <c r="F624" s="56" t="str">
        <f t="shared" si="1"/>
        <v>2/2027</v>
      </c>
      <c r="G624" s="57">
        <f>2420.1+80.3</f>
        <v>2500.4</v>
      </c>
      <c r="H624" s="59">
        <f t="shared" si="47"/>
        <v>0</v>
      </c>
      <c r="I624" s="145"/>
    </row>
    <row r="625" ht="22.5" customHeight="1">
      <c r="A625" s="43" t="s">
        <v>176</v>
      </c>
      <c r="B625" s="47"/>
      <c r="C625" s="50" t="s">
        <v>67</v>
      </c>
      <c r="D625" s="51" t="s">
        <v>67</v>
      </c>
      <c r="E625" s="53">
        <v>46453.0</v>
      </c>
      <c r="F625" s="56" t="str">
        <f t="shared" si="1"/>
        <v>3/2027</v>
      </c>
      <c r="G625" s="57">
        <v>1231.13</v>
      </c>
      <c r="H625" s="79">
        <v>901.22</v>
      </c>
      <c r="I625" s="60">
        <v>46042.0</v>
      </c>
    </row>
    <row r="626" ht="22.5" customHeight="1">
      <c r="A626" s="43" t="s">
        <v>82</v>
      </c>
      <c r="B626" s="47" t="s">
        <v>83</v>
      </c>
      <c r="C626" s="50" t="s">
        <v>67</v>
      </c>
      <c r="D626" s="51" t="s">
        <v>71</v>
      </c>
      <c r="E626" s="53">
        <v>46454.0</v>
      </c>
      <c r="F626" s="56" t="str">
        <f t="shared" si="1"/>
        <v>3/2027</v>
      </c>
      <c r="G626" s="57">
        <v>1619.31</v>
      </c>
      <c r="H626" s="59">
        <f t="shared" ref="H626:H628" si="48">IF(I626,G626,0)</f>
        <v>0</v>
      </c>
      <c r="I626" s="145"/>
    </row>
    <row r="627" ht="22.5" customHeight="1">
      <c r="A627" s="127" t="s">
        <v>1140</v>
      </c>
      <c r="B627" s="47" t="s">
        <v>135</v>
      </c>
      <c r="C627" s="128" t="s">
        <v>67</v>
      </c>
      <c r="D627" s="51" t="s">
        <v>67</v>
      </c>
      <c r="E627" s="53">
        <v>46454.0</v>
      </c>
      <c r="F627" s="56" t="str">
        <f t="shared" si="1"/>
        <v>3/2027</v>
      </c>
      <c r="G627" s="57">
        <v>100.0</v>
      </c>
      <c r="H627" s="59">
        <f t="shared" si="48"/>
        <v>0</v>
      </c>
      <c r="I627" s="145"/>
    </row>
    <row r="628" ht="22.5" customHeight="1">
      <c r="A628" s="127" t="s">
        <v>2558</v>
      </c>
      <c r="B628" s="47" t="s">
        <v>152</v>
      </c>
      <c r="C628" s="128" t="s">
        <v>67</v>
      </c>
      <c r="D628" s="51" t="s">
        <v>67</v>
      </c>
      <c r="E628" s="53">
        <v>46472.0</v>
      </c>
      <c r="F628" s="56" t="str">
        <f t="shared" si="1"/>
        <v>3/2027</v>
      </c>
      <c r="G628" s="57">
        <f>2420.1+80.3</f>
        <v>2500.4</v>
      </c>
      <c r="H628" s="59">
        <f t="shared" si="48"/>
        <v>0</v>
      </c>
      <c r="I628" s="145"/>
    </row>
    <row r="629" ht="22.5" customHeight="1">
      <c r="A629" s="43" t="s">
        <v>176</v>
      </c>
      <c r="B629" s="47"/>
      <c r="C629" s="50" t="s">
        <v>67</v>
      </c>
      <c r="D629" s="51" t="s">
        <v>67</v>
      </c>
      <c r="E629" s="53">
        <v>46484.0</v>
      </c>
      <c r="F629" s="56" t="str">
        <f t="shared" si="1"/>
        <v>4/2027</v>
      </c>
      <c r="G629" s="57">
        <v>1231.13</v>
      </c>
      <c r="H629" s="79">
        <v>901.22</v>
      </c>
      <c r="I629" s="60">
        <v>46042.0</v>
      </c>
    </row>
    <row r="630" ht="22.5" customHeight="1">
      <c r="A630" s="43" t="s">
        <v>82</v>
      </c>
      <c r="B630" s="47" t="s">
        <v>83</v>
      </c>
      <c r="C630" s="50" t="s">
        <v>67</v>
      </c>
      <c r="D630" s="51" t="s">
        <v>71</v>
      </c>
      <c r="E630" s="53">
        <v>46485.0</v>
      </c>
      <c r="F630" s="56" t="str">
        <f t="shared" si="1"/>
        <v>4/2027</v>
      </c>
      <c r="G630" s="57">
        <v>1619.31</v>
      </c>
      <c r="H630" s="59">
        <f t="shared" ref="H630:H632" si="49">IF(I630,G630,0)</f>
        <v>0</v>
      </c>
      <c r="I630" s="145"/>
    </row>
    <row r="631" ht="22.5" customHeight="1">
      <c r="A631" s="127" t="s">
        <v>1140</v>
      </c>
      <c r="B631" s="47" t="s">
        <v>135</v>
      </c>
      <c r="C631" s="128" t="s">
        <v>67</v>
      </c>
      <c r="D631" s="51" t="s">
        <v>67</v>
      </c>
      <c r="E631" s="53">
        <v>46485.0</v>
      </c>
      <c r="F631" s="56" t="str">
        <f t="shared" si="1"/>
        <v>4/2027</v>
      </c>
      <c r="G631" s="57">
        <v>100.0</v>
      </c>
      <c r="H631" s="59">
        <f t="shared" si="49"/>
        <v>0</v>
      </c>
      <c r="I631" s="145"/>
    </row>
    <row r="632" ht="22.5" customHeight="1">
      <c r="A632" s="127" t="s">
        <v>2558</v>
      </c>
      <c r="B632" s="47" t="s">
        <v>152</v>
      </c>
      <c r="C632" s="128" t="s">
        <v>67</v>
      </c>
      <c r="D632" s="51" t="s">
        <v>67</v>
      </c>
      <c r="E632" s="53">
        <v>46503.0</v>
      </c>
      <c r="F632" s="56" t="str">
        <f t="shared" si="1"/>
        <v>4/2027</v>
      </c>
      <c r="G632" s="57">
        <f>2420.1+80.3</f>
        <v>2500.4</v>
      </c>
      <c r="H632" s="59">
        <f t="shared" si="49"/>
        <v>0</v>
      </c>
      <c r="I632" s="145"/>
    </row>
    <row r="633" ht="22.5" customHeight="1">
      <c r="A633" s="43" t="s">
        <v>176</v>
      </c>
      <c r="B633" s="47"/>
      <c r="C633" s="50" t="s">
        <v>67</v>
      </c>
      <c r="D633" s="51" t="s">
        <v>67</v>
      </c>
      <c r="E633" s="53">
        <v>46514.0</v>
      </c>
      <c r="F633" s="56" t="str">
        <f t="shared" si="1"/>
        <v>5/2027</v>
      </c>
      <c r="G633" s="57">
        <v>1231.13</v>
      </c>
      <c r="H633" s="79">
        <v>901.22</v>
      </c>
      <c r="I633" s="60">
        <v>46042.0</v>
      </c>
    </row>
    <row r="634" ht="22.5" customHeight="1">
      <c r="A634" s="43" t="s">
        <v>82</v>
      </c>
      <c r="B634" s="47" t="s">
        <v>83</v>
      </c>
      <c r="C634" s="50" t="s">
        <v>67</v>
      </c>
      <c r="D634" s="51" t="s">
        <v>71</v>
      </c>
      <c r="E634" s="53">
        <v>46515.0</v>
      </c>
      <c r="F634" s="56" t="str">
        <f t="shared" si="1"/>
        <v>5/2027</v>
      </c>
      <c r="G634" s="57">
        <v>1619.31</v>
      </c>
      <c r="H634" s="59">
        <f t="shared" ref="H634:H636" si="50">IF(I634,G634,0)</f>
        <v>0</v>
      </c>
      <c r="I634" s="145"/>
    </row>
    <row r="635" ht="22.5" customHeight="1">
      <c r="A635" s="127" t="s">
        <v>1140</v>
      </c>
      <c r="B635" s="47" t="s">
        <v>135</v>
      </c>
      <c r="C635" s="128" t="s">
        <v>67</v>
      </c>
      <c r="D635" s="51" t="s">
        <v>67</v>
      </c>
      <c r="E635" s="53">
        <v>46515.0</v>
      </c>
      <c r="F635" s="56" t="str">
        <f t="shared" si="1"/>
        <v>5/2027</v>
      </c>
      <c r="G635" s="57">
        <v>100.0</v>
      </c>
      <c r="H635" s="59">
        <f t="shared" si="50"/>
        <v>0</v>
      </c>
      <c r="I635" s="145"/>
    </row>
    <row r="636" ht="22.5" customHeight="1">
      <c r="A636" s="127" t="s">
        <v>2558</v>
      </c>
      <c r="B636" s="47" t="s">
        <v>152</v>
      </c>
      <c r="C636" s="128" t="s">
        <v>67</v>
      </c>
      <c r="D636" s="51" t="s">
        <v>67</v>
      </c>
      <c r="E636" s="53">
        <v>46533.0</v>
      </c>
      <c r="F636" s="56" t="str">
        <f t="shared" si="1"/>
        <v>5/2027</v>
      </c>
      <c r="G636" s="57">
        <f>2420.1+80.3</f>
        <v>2500.4</v>
      </c>
      <c r="H636" s="59">
        <f t="shared" si="50"/>
        <v>0</v>
      </c>
      <c r="I636" s="145"/>
    </row>
    <row r="637" ht="22.5" customHeight="1">
      <c r="A637" s="43" t="s">
        <v>176</v>
      </c>
      <c r="B637" s="47"/>
      <c r="C637" s="50" t="s">
        <v>67</v>
      </c>
      <c r="D637" s="51" t="s">
        <v>67</v>
      </c>
      <c r="E637" s="53">
        <v>46545.0</v>
      </c>
      <c r="F637" s="56" t="str">
        <f t="shared" si="1"/>
        <v>6/2027</v>
      </c>
      <c r="G637" s="57">
        <v>1231.13</v>
      </c>
      <c r="H637" s="79">
        <v>901.22</v>
      </c>
      <c r="I637" s="60">
        <v>46042.0</v>
      </c>
    </row>
    <row r="638" ht="22.5" customHeight="1">
      <c r="A638" s="43" t="s">
        <v>82</v>
      </c>
      <c r="B638" s="47" t="s">
        <v>83</v>
      </c>
      <c r="C638" s="50" t="s">
        <v>67</v>
      </c>
      <c r="D638" s="51" t="s">
        <v>71</v>
      </c>
      <c r="E638" s="53">
        <v>46546.0</v>
      </c>
      <c r="F638" s="56" t="str">
        <f t="shared" si="1"/>
        <v>6/2027</v>
      </c>
      <c r="G638" s="57">
        <v>1619.31</v>
      </c>
      <c r="H638" s="59">
        <f t="shared" ref="H638:H640" si="51">IF(I638,G638,0)</f>
        <v>0</v>
      </c>
      <c r="I638" s="145"/>
    </row>
    <row r="639" ht="22.5" customHeight="1">
      <c r="A639" s="127" t="s">
        <v>1140</v>
      </c>
      <c r="B639" s="47" t="s">
        <v>135</v>
      </c>
      <c r="C639" s="128" t="s">
        <v>67</v>
      </c>
      <c r="D639" s="51" t="s">
        <v>67</v>
      </c>
      <c r="E639" s="53">
        <v>46546.0</v>
      </c>
      <c r="F639" s="56" t="str">
        <f t="shared" si="1"/>
        <v>6/2027</v>
      </c>
      <c r="G639" s="57">
        <v>100.0</v>
      </c>
      <c r="H639" s="59">
        <f t="shared" si="51"/>
        <v>0</v>
      </c>
      <c r="I639" s="145"/>
    </row>
    <row r="640" ht="22.5" customHeight="1">
      <c r="A640" s="127" t="s">
        <v>2558</v>
      </c>
      <c r="B640" s="47" t="s">
        <v>152</v>
      </c>
      <c r="C640" s="128" t="s">
        <v>67</v>
      </c>
      <c r="D640" s="51" t="s">
        <v>67</v>
      </c>
      <c r="E640" s="53">
        <v>46564.0</v>
      </c>
      <c r="F640" s="56" t="str">
        <f t="shared" si="1"/>
        <v>6/2027</v>
      </c>
      <c r="G640" s="57">
        <f>2420.1+80.3</f>
        <v>2500.4</v>
      </c>
      <c r="H640" s="59">
        <f t="shared" si="51"/>
        <v>0</v>
      </c>
      <c r="I640" s="145"/>
    </row>
    <row r="641" ht="22.5" customHeight="1">
      <c r="A641" s="43" t="s">
        <v>176</v>
      </c>
      <c r="B641" s="47"/>
      <c r="C641" s="50" t="s">
        <v>67</v>
      </c>
      <c r="D641" s="51" t="s">
        <v>67</v>
      </c>
      <c r="E641" s="53">
        <v>46575.0</v>
      </c>
      <c r="F641" s="56" t="str">
        <f t="shared" si="1"/>
        <v>7/2027</v>
      </c>
      <c r="G641" s="57">
        <v>1231.13</v>
      </c>
      <c r="H641" s="79">
        <v>901.22</v>
      </c>
      <c r="I641" s="60">
        <v>46042.0</v>
      </c>
    </row>
    <row r="642" ht="22.5" customHeight="1">
      <c r="A642" s="43" t="s">
        <v>82</v>
      </c>
      <c r="B642" s="47" t="s">
        <v>83</v>
      </c>
      <c r="C642" s="50" t="s">
        <v>67</v>
      </c>
      <c r="D642" s="51" t="s">
        <v>71</v>
      </c>
      <c r="E642" s="53">
        <v>46576.0</v>
      </c>
      <c r="F642" s="56" t="str">
        <f t="shared" si="1"/>
        <v>7/2027</v>
      </c>
      <c r="G642" s="57">
        <v>1619.31</v>
      </c>
      <c r="H642" s="59">
        <f t="shared" ref="H642:H643" si="52">IF(I642,G642,0)</f>
        <v>0</v>
      </c>
      <c r="I642" s="145"/>
    </row>
    <row r="643" ht="22.5" customHeight="1">
      <c r="A643" s="127" t="s">
        <v>2558</v>
      </c>
      <c r="B643" s="47" t="s">
        <v>152</v>
      </c>
      <c r="C643" s="128" t="s">
        <v>67</v>
      </c>
      <c r="D643" s="51" t="s">
        <v>67</v>
      </c>
      <c r="E643" s="53">
        <v>46594.0</v>
      </c>
      <c r="F643" s="56" t="str">
        <f t="shared" si="1"/>
        <v>7/2027</v>
      </c>
      <c r="G643" s="57">
        <f>2420.1+80.3</f>
        <v>2500.4</v>
      </c>
      <c r="H643" s="59">
        <f t="shared" si="52"/>
        <v>0</v>
      </c>
      <c r="I643" s="145"/>
    </row>
    <row r="644" ht="22.5" customHeight="1">
      <c r="A644" s="43" t="s">
        <v>176</v>
      </c>
      <c r="B644" s="47"/>
      <c r="C644" s="50" t="s">
        <v>67</v>
      </c>
      <c r="D644" s="51" t="s">
        <v>67</v>
      </c>
      <c r="E644" s="53">
        <v>46606.0</v>
      </c>
      <c r="F644" s="56" t="str">
        <f t="shared" si="1"/>
        <v>8/2027</v>
      </c>
      <c r="G644" s="57">
        <v>1231.13</v>
      </c>
      <c r="H644" s="79">
        <v>901.22</v>
      </c>
      <c r="I644" s="60">
        <v>46042.0</v>
      </c>
    </row>
    <row r="645" ht="22.5" customHeight="1">
      <c r="A645" s="43" t="s">
        <v>82</v>
      </c>
      <c r="B645" s="47" t="s">
        <v>83</v>
      </c>
      <c r="C645" s="50" t="s">
        <v>67</v>
      </c>
      <c r="D645" s="51" t="s">
        <v>71</v>
      </c>
      <c r="E645" s="53">
        <v>46607.0</v>
      </c>
      <c r="F645" s="56" t="str">
        <f t="shared" si="1"/>
        <v>8/2027</v>
      </c>
      <c r="G645" s="57">
        <v>1619.31</v>
      </c>
      <c r="H645" s="59">
        <f t="shared" ref="H645:H646" si="53">IF(I645,G645,0)</f>
        <v>0</v>
      </c>
      <c r="I645" s="145"/>
    </row>
    <row r="646" ht="22.5" customHeight="1">
      <c r="A646" s="127" t="s">
        <v>2558</v>
      </c>
      <c r="B646" s="47" t="s">
        <v>152</v>
      </c>
      <c r="C646" s="128" t="s">
        <v>67</v>
      </c>
      <c r="D646" s="51" t="s">
        <v>67</v>
      </c>
      <c r="E646" s="53">
        <v>46625.0</v>
      </c>
      <c r="F646" s="56" t="str">
        <f t="shared" si="1"/>
        <v>8/2027</v>
      </c>
      <c r="G646" s="57">
        <f>2420.1+80.3</f>
        <v>2500.4</v>
      </c>
      <c r="H646" s="59">
        <f t="shared" si="53"/>
        <v>0</v>
      </c>
      <c r="I646" s="145"/>
    </row>
    <row r="647" ht="22.5" customHeight="1">
      <c r="A647" s="43" t="s">
        <v>176</v>
      </c>
      <c r="B647" s="47"/>
      <c r="C647" s="50" t="s">
        <v>67</v>
      </c>
      <c r="D647" s="51" t="s">
        <v>67</v>
      </c>
      <c r="E647" s="53">
        <v>46637.0</v>
      </c>
      <c r="F647" s="56" t="str">
        <f t="shared" si="1"/>
        <v>9/2027</v>
      </c>
      <c r="G647" s="57">
        <v>1231.13</v>
      </c>
      <c r="H647" s="79">
        <v>901.22</v>
      </c>
      <c r="I647" s="60">
        <v>46042.0</v>
      </c>
    </row>
    <row r="648" ht="22.5" customHeight="1">
      <c r="A648" s="43" t="s">
        <v>82</v>
      </c>
      <c r="B648" s="47" t="s">
        <v>83</v>
      </c>
      <c r="C648" s="50" t="s">
        <v>67</v>
      </c>
      <c r="D648" s="51" t="s">
        <v>71</v>
      </c>
      <c r="E648" s="53">
        <v>46638.0</v>
      </c>
      <c r="F648" s="56" t="str">
        <f t="shared" si="1"/>
        <v>9/2027</v>
      </c>
      <c r="G648" s="57">
        <v>1619.31</v>
      </c>
      <c r="H648" s="59">
        <f t="shared" ref="H648:H649" si="54">IF(I648,G648,0)</f>
        <v>0</v>
      </c>
      <c r="I648" s="145"/>
    </row>
    <row r="649" ht="22.5" customHeight="1">
      <c r="A649" s="127" t="s">
        <v>2558</v>
      </c>
      <c r="B649" s="47" t="s">
        <v>152</v>
      </c>
      <c r="C649" s="128" t="s">
        <v>67</v>
      </c>
      <c r="D649" s="51" t="s">
        <v>67</v>
      </c>
      <c r="E649" s="53">
        <v>46656.0</v>
      </c>
      <c r="F649" s="56" t="str">
        <f t="shared" si="1"/>
        <v>9/2027</v>
      </c>
      <c r="G649" s="57">
        <f>2420.1+80.3</f>
        <v>2500.4</v>
      </c>
      <c r="H649" s="59">
        <f t="shared" si="54"/>
        <v>0</v>
      </c>
      <c r="I649" s="145"/>
    </row>
    <row r="650" ht="22.5" customHeight="1">
      <c r="A650" s="43" t="s">
        <v>176</v>
      </c>
      <c r="B650" s="47"/>
      <c r="C650" s="50" t="s">
        <v>67</v>
      </c>
      <c r="D650" s="51" t="s">
        <v>67</v>
      </c>
      <c r="E650" s="53">
        <v>46667.0</v>
      </c>
      <c r="F650" s="56" t="str">
        <f t="shared" si="1"/>
        <v>10/2027</v>
      </c>
      <c r="G650" s="57">
        <v>1231.13</v>
      </c>
      <c r="H650" s="79">
        <v>901.22</v>
      </c>
      <c r="I650" s="60">
        <v>46042.0</v>
      </c>
    </row>
    <row r="651" ht="22.5" customHeight="1">
      <c r="A651" s="43" t="s">
        <v>82</v>
      </c>
      <c r="B651" s="47" t="s">
        <v>83</v>
      </c>
      <c r="C651" s="50" t="s">
        <v>67</v>
      </c>
      <c r="D651" s="51" t="s">
        <v>71</v>
      </c>
      <c r="E651" s="53">
        <v>46668.0</v>
      </c>
      <c r="F651" s="56" t="str">
        <f t="shared" si="1"/>
        <v>10/2027</v>
      </c>
      <c r="G651" s="57">
        <v>1619.31</v>
      </c>
      <c r="H651" s="59">
        <f t="shared" ref="H651:H652" si="55">IF(I651,G651,0)</f>
        <v>0</v>
      </c>
      <c r="I651" s="145"/>
    </row>
    <row r="652" ht="22.5" customHeight="1">
      <c r="A652" s="127" t="s">
        <v>2558</v>
      </c>
      <c r="B652" s="47" t="s">
        <v>152</v>
      </c>
      <c r="C652" s="128" t="s">
        <v>67</v>
      </c>
      <c r="D652" s="51" t="s">
        <v>67</v>
      </c>
      <c r="E652" s="53">
        <v>46686.0</v>
      </c>
      <c r="F652" s="56" t="str">
        <f t="shared" si="1"/>
        <v>10/2027</v>
      </c>
      <c r="G652" s="57">
        <f>2420.1+80.3</f>
        <v>2500.4</v>
      </c>
      <c r="H652" s="59">
        <f t="shared" si="55"/>
        <v>0</v>
      </c>
      <c r="I652" s="145"/>
    </row>
    <row r="653" ht="22.5" customHeight="1">
      <c r="A653" s="43" t="s">
        <v>176</v>
      </c>
      <c r="B653" s="47"/>
      <c r="C653" s="50" t="s">
        <v>67</v>
      </c>
      <c r="D653" s="51" t="s">
        <v>67</v>
      </c>
      <c r="E653" s="53">
        <v>46698.0</v>
      </c>
      <c r="F653" s="56" t="str">
        <f t="shared" si="1"/>
        <v>11/2027</v>
      </c>
      <c r="G653" s="57">
        <v>1231.13</v>
      </c>
      <c r="H653" s="79">
        <v>901.22</v>
      </c>
      <c r="I653" s="60">
        <v>46042.0</v>
      </c>
    </row>
    <row r="654" ht="22.5" customHeight="1">
      <c r="A654" s="43" t="s">
        <v>82</v>
      </c>
      <c r="B654" s="47" t="s">
        <v>83</v>
      </c>
      <c r="C654" s="50" t="s">
        <v>67</v>
      </c>
      <c r="D654" s="51" t="s">
        <v>71</v>
      </c>
      <c r="E654" s="53">
        <v>46699.0</v>
      </c>
      <c r="F654" s="56" t="str">
        <f t="shared" si="1"/>
        <v>11/2027</v>
      </c>
      <c r="G654" s="57">
        <v>1619.31</v>
      </c>
      <c r="H654" s="59">
        <f t="shared" ref="H654:H655" si="56">IF(I654,G654,0)</f>
        <v>0</v>
      </c>
      <c r="I654" s="145"/>
    </row>
    <row r="655" ht="22.5" customHeight="1">
      <c r="A655" s="127" t="s">
        <v>2558</v>
      </c>
      <c r="B655" s="47" t="s">
        <v>152</v>
      </c>
      <c r="C655" s="128" t="s">
        <v>67</v>
      </c>
      <c r="D655" s="51" t="s">
        <v>67</v>
      </c>
      <c r="E655" s="53">
        <v>46717.0</v>
      </c>
      <c r="F655" s="56" t="str">
        <f t="shared" si="1"/>
        <v>11/2027</v>
      </c>
      <c r="G655" s="57">
        <f>2420.1+80.3</f>
        <v>2500.4</v>
      </c>
      <c r="H655" s="59">
        <f t="shared" si="56"/>
        <v>0</v>
      </c>
      <c r="I655" s="145"/>
    </row>
    <row r="656" ht="22.5" customHeight="1">
      <c r="A656" s="43" t="s">
        <v>176</v>
      </c>
      <c r="B656" s="47"/>
      <c r="C656" s="50" t="s">
        <v>67</v>
      </c>
      <c r="D656" s="51" t="s">
        <v>67</v>
      </c>
      <c r="E656" s="53">
        <v>46728.0</v>
      </c>
      <c r="F656" s="56" t="str">
        <f t="shared" si="1"/>
        <v>12/2027</v>
      </c>
      <c r="G656" s="57">
        <v>1231.12999999999</v>
      </c>
      <c r="H656" s="79">
        <v>901.22</v>
      </c>
      <c r="I656" s="60">
        <v>46042.0</v>
      </c>
    </row>
    <row r="657" ht="22.5" customHeight="1">
      <c r="A657" s="43" t="s">
        <v>82</v>
      </c>
      <c r="B657" s="47" t="s">
        <v>83</v>
      </c>
      <c r="C657" s="50" t="s">
        <v>67</v>
      </c>
      <c r="D657" s="51" t="s">
        <v>71</v>
      </c>
      <c r="E657" s="53">
        <v>46729.0</v>
      </c>
      <c r="F657" s="56" t="str">
        <f t="shared" si="1"/>
        <v>12/2027</v>
      </c>
      <c r="G657" s="57">
        <v>1619.31</v>
      </c>
      <c r="H657" s="59">
        <f t="shared" ref="H657:H658" si="57">IF(I657,G657,0)</f>
        <v>0</v>
      </c>
      <c r="I657" s="145"/>
    </row>
    <row r="658" ht="22.5" customHeight="1">
      <c r="A658" s="127" t="s">
        <v>2558</v>
      </c>
      <c r="B658" s="47" t="s">
        <v>152</v>
      </c>
      <c r="C658" s="128" t="s">
        <v>67</v>
      </c>
      <c r="D658" s="51" t="s">
        <v>67</v>
      </c>
      <c r="E658" s="53">
        <v>46747.0</v>
      </c>
      <c r="F658" s="56" t="str">
        <f t="shared" si="1"/>
        <v>12/2027</v>
      </c>
      <c r="G658" s="57">
        <f>2420.1+80.3</f>
        <v>2500.4</v>
      </c>
      <c r="H658" s="59">
        <f t="shared" si="57"/>
        <v>0</v>
      </c>
      <c r="I658" s="145"/>
    </row>
    <row r="659" ht="22.5" customHeight="1">
      <c r="A659" s="43" t="s">
        <v>176</v>
      </c>
      <c r="B659" s="47"/>
      <c r="C659" s="50" t="s">
        <v>67</v>
      </c>
      <c r="D659" s="51" t="s">
        <v>67</v>
      </c>
      <c r="E659" s="53">
        <v>46759.0</v>
      </c>
      <c r="F659" s="56" t="str">
        <f t="shared" si="1"/>
        <v>1/2028</v>
      </c>
      <c r="G659" s="57">
        <v>1231.13</v>
      </c>
      <c r="H659" s="79">
        <v>901.22</v>
      </c>
      <c r="I659" s="60">
        <v>46042.0</v>
      </c>
    </row>
    <row r="660" ht="22.5" customHeight="1">
      <c r="A660" s="43" t="s">
        <v>82</v>
      </c>
      <c r="B660" s="47" t="s">
        <v>83</v>
      </c>
      <c r="C660" s="50" t="s">
        <v>67</v>
      </c>
      <c r="D660" s="51" t="s">
        <v>71</v>
      </c>
      <c r="E660" s="53">
        <v>46760.0</v>
      </c>
      <c r="F660" s="56" t="str">
        <f t="shared" si="1"/>
        <v>1/2028</v>
      </c>
      <c r="G660" s="57">
        <v>1619.31</v>
      </c>
      <c r="H660" s="59">
        <f t="shared" ref="H660:H661" si="58">IF(I660,G660,0)</f>
        <v>0</v>
      </c>
      <c r="I660" s="145"/>
    </row>
    <row r="661" ht="22.5" customHeight="1">
      <c r="A661" s="127" t="s">
        <v>2558</v>
      </c>
      <c r="B661" s="47" t="s">
        <v>152</v>
      </c>
      <c r="C661" s="128" t="s">
        <v>67</v>
      </c>
      <c r="D661" s="51" t="s">
        <v>67</v>
      </c>
      <c r="E661" s="53">
        <v>46778.0</v>
      </c>
      <c r="F661" s="56" t="str">
        <f t="shared" si="1"/>
        <v>1/2028</v>
      </c>
      <c r="G661" s="57">
        <f>2420.1+80.3</f>
        <v>2500.4</v>
      </c>
      <c r="H661" s="59">
        <f t="shared" si="58"/>
        <v>0</v>
      </c>
      <c r="I661" s="145"/>
    </row>
    <row r="662" ht="22.5" customHeight="1">
      <c r="A662" s="43" t="s">
        <v>176</v>
      </c>
      <c r="B662" s="47"/>
      <c r="C662" s="50" t="s">
        <v>67</v>
      </c>
      <c r="D662" s="51" t="s">
        <v>67</v>
      </c>
      <c r="E662" s="53">
        <v>46790.0</v>
      </c>
      <c r="F662" s="56" t="str">
        <f t="shared" si="1"/>
        <v>2/2028</v>
      </c>
      <c r="G662" s="57">
        <v>1231.13</v>
      </c>
      <c r="H662" s="79">
        <v>901.22</v>
      </c>
      <c r="I662" s="60">
        <v>46042.0</v>
      </c>
    </row>
    <row r="663" ht="22.5" customHeight="1">
      <c r="A663" s="43" t="s">
        <v>82</v>
      </c>
      <c r="B663" s="47" t="s">
        <v>83</v>
      </c>
      <c r="C663" s="50" t="s">
        <v>67</v>
      </c>
      <c r="D663" s="51" t="s">
        <v>71</v>
      </c>
      <c r="E663" s="53">
        <v>46791.0</v>
      </c>
      <c r="F663" s="56" t="str">
        <f t="shared" si="1"/>
        <v>2/2028</v>
      </c>
      <c r="G663" s="57">
        <v>1619.31</v>
      </c>
      <c r="H663" s="59">
        <f t="shared" ref="H663:H664" si="59">IF(I663,G663,0)</f>
        <v>0</v>
      </c>
      <c r="I663" s="145"/>
    </row>
    <row r="664" ht="22.5" customHeight="1">
      <c r="A664" s="127" t="s">
        <v>2558</v>
      </c>
      <c r="B664" s="47" t="s">
        <v>152</v>
      </c>
      <c r="C664" s="128" t="s">
        <v>67</v>
      </c>
      <c r="D664" s="51" t="s">
        <v>67</v>
      </c>
      <c r="E664" s="53">
        <v>46809.0</v>
      </c>
      <c r="F664" s="56" t="str">
        <f t="shared" si="1"/>
        <v>2/2028</v>
      </c>
      <c r="G664" s="57">
        <f>2420.1+80.3</f>
        <v>2500.4</v>
      </c>
      <c r="H664" s="59">
        <f t="shared" si="59"/>
        <v>0</v>
      </c>
      <c r="I664" s="145"/>
    </row>
    <row r="665" ht="22.5" customHeight="1">
      <c r="A665" s="43" t="s">
        <v>176</v>
      </c>
      <c r="B665" s="47"/>
      <c r="C665" s="50" t="s">
        <v>67</v>
      </c>
      <c r="D665" s="51" t="s">
        <v>67</v>
      </c>
      <c r="E665" s="53">
        <v>46819.0</v>
      </c>
      <c r="F665" s="56" t="str">
        <f t="shared" si="1"/>
        <v>3/2028</v>
      </c>
      <c r="G665" s="57">
        <v>1231.13</v>
      </c>
      <c r="H665" s="79">
        <v>901.22</v>
      </c>
      <c r="I665" s="60">
        <v>46042.0</v>
      </c>
    </row>
    <row r="666" ht="22.5" customHeight="1">
      <c r="A666" s="43" t="s">
        <v>82</v>
      </c>
      <c r="B666" s="47" t="s">
        <v>83</v>
      </c>
      <c r="C666" s="50" t="s">
        <v>67</v>
      </c>
      <c r="D666" s="51" t="s">
        <v>71</v>
      </c>
      <c r="E666" s="53">
        <v>46820.0</v>
      </c>
      <c r="F666" s="56" t="str">
        <f t="shared" si="1"/>
        <v>3/2028</v>
      </c>
      <c r="G666" s="57">
        <v>1619.31</v>
      </c>
      <c r="H666" s="59">
        <f t="shared" ref="H666:H667" si="60">IF(I666,G666,0)</f>
        <v>0</v>
      </c>
      <c r="I666" s="145"/>
    </row>
    <row r="667" ht="22.5" customHeight="1">
      <c r="A667" s="127" t="s">
        <v>2558</v>
      </c>
      <c r="B667" s="47" t="s">
        <v>152</v>
      </c>
      <c r="C667" s="128" t="s">
        <v>67</v>
      </c>
      <c r="D667" s="51" t="s">
        <v>67</v>
      </c>
      <c r="E667" s="53">
        <v>46838.0</v>
      </c>
      <c r="F667" s="56" t="str">
        <f t="shared" si="1"/>
        <v>3/2028</v>
      </c>
      <c r="G667" s="57">
        <f>2420.1+80.3</f>
        <v>2500.4</v>
      </c>
      <c r="H667" s="59">
        <f t="shared" si="60"/>
        <v>0</v>
      </c>
      <c r="I667" s="145"/>
    </row>
    <row r="668" ht="22.5" customHeight="1">
      <c r="A668" s="43" t="s">
        <v>176</v>
      </c>
      <c r="B668" s="47"/>
      <c r="C668" s="50" t="s">
        <v>67</v>
      </c>
      <c r="D668" s="51" t="s">
        <v>67</v>
      </c>
      <c r="E668" s="53">
        <v>46850.0</v>
      </c>
      <c r="F668" s="56" t="str">
        <f t="shared" si="1"/>
        <v>4/2028</v>
      </c>
      <c r="G668" s="57">
        <v>1231.13</v>
      </c>
      <c r="H668" s="79">
        <v>901.22</v>
      </c>
      <c r="I668" s="60">
        <v>46042.0</v>
      </c>
    </row>
    <row r="669" ht="22.5" customHeight="1">
      <c r="A669" s="43" t="s">
        <v>82</v>
      </c>
      <c r="B669" s="47" t="s">
        <v>83</v>
      </c>
      <c r="C669" s="50" t="s">
        <v>67</v>
      </c>
      <c r="D669" s="51" t="s">
        <v>71</v>
      </c>
      <c r="E669" s="53">
        <v>46851.0</v>
      </c>
      <c r="F669" s="56" t="str">
        <f t="shared" si="1"/>
        <v>4/2028</v>
      </c>
      <c r="G669" s="57">
        <v>1619.31</v>
      </c>
      <c r="H669" s="59">
        <f t="shared" ref="H669:H670" si="61">IF(I669,G669,0)</f>
        <v>0</v>
      </c>
      <c r="I669" s="145"/>
    </row>
    <row r="670" ht="22.5" customHeight="1">
      <c r="A670" s="127" t="s">
        <v>2558</v>
      </c>
      <c r="B670" s="47" t="s">
        <v>152</v>
      </c>
      <c r="C670" s="128" t="s">
        <v>67</v>
      </c>
      <c r="D670" s="51" t="s">
        <v>67</v>
      </c>
      <c r="E670" s="53">
        <v>46869.0</v>
      </c>
      <c r="F670" s="56" t="str">
        <f t="shared" si="1"/>
        <v>4/2028</v>
      </c>
      <c r="G670" s="57">
        <f>2420.1+80.3</f>
        <v>2500.4</v>
      </c>
      <c r="H670" s="59">
        <f t="shared" si="61"/>
        <v>0</v>
      </c>
      <c r="I670" s="145"/>
    </row>
    <row r="671" ht="22.5" customHeight="1">
      <c r="A671" s="43" t="s">
        <v>176</v>
      </c>
      <c r="B671" s="47"/>
      <c r="C671" s="50" t="s">
        <v>67</v>
      </c>
      <c r="D671" s="51" t="s">
        <v>67</v>
      </c>
      <c r="E671" s="53">
        <v>46880.0</v>
      </c>
      <c r="F671" s="56" t="str">
        <f t="shared" si="1"/>
        <v>5/2028</v>
      </c>
      <c r="G671" s="57">
        <v>1231.13</v>
      </c>
      <c r="H671" s="79">
        <v>901.22</v>
      </c>
      <c r="I671" s="60">
        <v>46042.0</v>
      </c>
    </row>
    <row r="672" ht="22.5" customHeight="1">
      <c r="A672" s="43" t="s">
        <v>82</v>
      </c>
      <c r="B672" s="47" t="s">
        <v>83</v>
      </c>
      <c r="C672" s="50" t="s">
        <v>67</v>
      </c>
      <c r="D672" s="51" t="s">
        <v>71</v>
      </c>
      <c r="E672" s="53">
        <v>46881.0</v>
      </c>
      <c r="F672" s="56" t="str">
        <f t="shared" si="1"/>
        <v>5/2028</v>
      </c>
      <c r="G672" s="57">
        <v>1619.31</v>
      </c>
      <c r="H672" s="59">
        <f t="shared" ref="H672:H673" si="62">IF(I672,G672,0)</f>
        <v>0</v>
      </c>
      <c r="I672" s="145"/>
    </row>
    <row r="673" ht="22.5" customHeight="1">
      <c r="A673" s="127" t="s">
        <v>2558</v>
      </c>
      <c r="B673" s="47" t="s">
        <v>152</v>
      </c>
      <c r="C673" s="128" t="s">
        <v>67</v>
      </c>
      <c r="D673" s="51" t="s">
        <v>67</v>
      </c>
      <c r="E673" s="53">
        <v>46899.0</v>
      </c>
      <c r="F673" s="56" t="str">
        <f t="shared" si="1"/>
        <v>5/2028</v>
      </c>
      <c r="G673" s="57">
        <f>2420.1+80.3</f>
        <v>2500.4</v>
      </c>
      <c r="H673" s="59">
        <f t="shared" si="62"/>
        <v>0</v>
      </c>
      <c r="I673" s="145"/>
    </row>
    <row r="674" ht="22.5" customHeight="1">
      <c r="A674" s="43" t="s">
        <v>176</v>
      </c>
      <c r="B674" s="47"/>
      <c r="C674" s="50" t="s">
        <v>67</v>
      </c>
      <c r="D674" s="51" t="s">
        <v>67</v>
      </c>
      <c r="E674" s="53">
        <v>46911.0</v>
      </c>
      <c r="F674" s="56" t="str">
        <f t="shared" si="1"/>
        <v>6/2028</v>
      </c>
      <c r="G674" s="57">
        <v>1231.13</v>
      </c>
      <c r="H674" s="79">
        <v>901.22</v>
      </c>
      <c r="I674" s="60">
        <v>46042.0</v>
      </c>
    </row>
    <row r="675" ht="22.5" customHeight="1">
      <c r="A675" s="43" t="s">
        <v>82</v>
      </c>
      <c r="B675" s="47" t="s">
        <v>83</v>
      </c>
      <c r="C675" s="50" t="s">
        <v>67</v>
      </c>
      <c r="D675" s="51" t="s">
        <v>71</v>
      </c>
      <c r="E675" s="53">
        <v>46912.0</v>
      </c>
      <c r="F675" s="56" t="str">
        <f t="shared" si="1"/>
        <v>6/2028</v>
      </c>
      <c r="G675" s="57">
        <v>1619.31</v>
      </c>
      <c r="H675" s="59">
        <f t="shared" ref="H675:H1971" si="63">IF(I675,G675,0)</f>
        <v>0</v>
      </c>
      <c r="I675" s="145"/>
    </row>
    <row r="676" ht="22.5" customHeight="1">
      <c r="A676" s="127" t="s">
        <v>2558</v>
      </c>
      <c r="B676" s="47" t="s">
        <v>152</v>
      </c>
      <c r="C676" s="128" t="s">
        <v>67</v>
      </c>
      <c r="D676" s="51" t="s">
        <v>67</v>
      </c>
      <c r="E676" s="53">
        <v>46930.0</v>
      </c>
      <c r="F676" s="56" t="str">
        <f t="shared" si="1"/>
        <v>6/2028</v>
      </c>
      <c r="G676" s="57">
        <f>2420.1+80.3</f>
        <v>2500.4</v>
      </c>
      <c r="H676" s="59">
        <f t="shared" si="63"/>
        <v>0</v>
      </c>
      <c r="I676" s="145"/>
    </row>
    <row r="677" ht="22.5" customHeight="1">
      <c r="A677" s="43" t="s">
        <v>82</v>
      </c>
      <c r="B677" s="47" t="s">
        <v>83</v>
      </c>
      <c r="C677" s="50" t="s">
        <v>67</v>
      </c>
      <c r="D677" s="51" t="s">
        <v>71</v>
      </c>
      <c r="E677" s="53">
        <v>46942.0</v>
      </c>
      <c r="F677" s="56" t="str">
        <f t="shared" si="1"/>
        <v>7/2028</v>
      </c>
      <c r="G677" s="57">
        <v>1619.31</v>
      </c>
      <c r="H677" s="59">
        <f t="shared" si="63"/>
        <v>0</v>
      </c>
      <c r="I677" s="145"/>
    </row>
    <row r="678" ht="22.5" customHeight="1">
      <c r="A678" s="127" t="s">
        <v>2558</v>
      </c>
      <c r="B678" s="47" t="s">
        <v>152</v>
      </c>
      <c r="C678" s="128" t="s">
        <v>67</v>
      </c>
      <c r="D678" s="51" t="s">
        <v>67</v>
      </c>
      <c r="E678" s="53">
        <v>46960.0</v>
      </c>
      <c r="F678" s="56" t="str">
        <f t="shared" si="1"/>
        <v>7/2028</v>
      </c>
      <c r="G678" s="57">
        <f>2420.1+80.3</f>
        <v>2500.4</v>
      </c>
      <c r="H678" s="59">
        <f t="shared" si="63"/>
        <v>0</v>
      </c>
      <c r="I678" s="145"/>
    </row>
    <row r="679" ht="22.5" customHeight="1">
      <c r="A679" s="43" t="s">
        <v>82</v>
      </c>
      <c r="B679" s="47" t="s">
        <v>83</v>
      </c>
      <c r="C679" s="50" t="s">
        <v>67</v>
      </c>
      <c r="D679" s="51" t="s">
        <v>71</v>
      </c>
      <c r="E679" s="53">
        <v>46973.0</v>
      </c>
      <c r="F679" s="56" t="str">
        <f t="shared" si="1"/>
        <v>8/2028</v>
      </c>
      <c r="G679" s="57">
        <v>1619.31</v>
      </c>
      <c r="H679" s="59">
        <f t="shared" si="63"/>
        <v>0</v>
      </c>
      <c r="I679" s="145"/>
    </row>
    <row r="680" ht="22.5" customHeight="1">
      <c r="A680" s="127" t="s">
        <v>2558</v>
      </c>
      <c r="B680" s="47" t="s">
        <v>152</v>
      </c>
      <c r="C680" s="128" t="s">
        <v>67</v>
      </c>
      <c r="D680" s="51" t="s">
        <v>67</v>
      </c>
      <c r="E680" s="53">
        <v>46991.0</v>
      </c>
      <c r="F680" s="56" t="str">
        <f t="shared" si="1"/>
        <v>8/2028</v>
      </c>
      <c r="G680" s="57">
        <f>2420.1+80.3</f>
        <v>2500.4</v>
      </c>
      <c r="H680" s="59">
        <f t="shared" si="63"/>
        <v>0</v>
      </c>
      <c r="I680" s="145"/>
    </row>
    <row r="681" ht="22.5" customHeight="1">
      <c r="A681" s="43" t="s">
        <v>82</v>
      </c>
      <c r="B681" s="47" t="s">
        <v>83</v>
      </c>
      <c r="C681" s="50" t="s">
        <v>67</v>
      </c>
      <c r="D681" s="51" t="s">
        <v>71</v>
      </c>
      <c r="E681" s="53">
        <v>47004.0</v>
      </c>
      <c r="F681" s="56" t="str">
        <f t="shared" si="1"/>
        <v>9/2028</v>
      </c>
      <c r="G681" s="57">
        <v>1619.31</v>
      </c>
      <c r="H681" s="59">
        <f t="shared" si="63"/>
        <v>0</v>
      </c>
      <c r="I681" s="145"/>
    </row>
    <row r="682" ht="22.5" customHeight="1">
      <c r="A682" s="127" t="s">
        <v>2558</v>
      </c>
      <c r="B682" s="47" t="s">
        <v>152</v>
      </c>
      <c r="C682" s="128" t="s">
        <v>67</v>
      </c>
      <c r="D682" s="51" t="s">
        <v>67</v>
      </c>
      <c r="E682" s="53">
        <v>47022.0</v>
      </c>
      <c r="F682" s="56" t="str">
        <f t="shared" si="1"/>
        <v>9/2028</v>
      </c>
      <c r="G682" s="57">
        <f>2420.1+80.3</f>
        <v>2500.4</v>
      </c>
      <c r="H682" s="59">
        <f t="shared" si="63"/>
        <v>0</v>
      </c>
      <c r="I682" s="145"/>
    </row>
    <row r="683" ht="22.5" customHeight="1">
      <c r="A683" s="43" t="s">
        <v>82</v>
      </c>
      <c r="B683" s="47" t="s">
        <v>83</v>
      </c>
      <c r="C683" s="50" t="s">
        <v>67</v>
      </c>
      <c r="D683" s="51" t="s">
        <v>71</v>
      </c>
      <c r="E683" s="53">
        <v>47034.0</v>
      </c>
      <c r="F683" s="56" t="str">
        <f t="shared" si="1"/>
        <v>10/2028</v>
      </c>
      <c r="G683" s="57">
        <v>1619.31</v>
      </c>
      <c r="H683" s="59">
        <f t="shared" si="63"/>
        <v>0</v>
      </c>
      <c r="I683" s="145"/>
    </row>
    <row r="684" ht="22.5" customHeight="1">
      <c r="A684" s="127" t="s">
        <v>2558</v>
      </c>
      <c r="B684" s="47" t="s">
        <v>152</v>
      </c>
      <c r="C684" s="128" t="s">
        <v>67</v>
      </c>
      <c r="D684" s="51" t="s">
        <v>67</v>
      </c>
      <c r="E684" s="53">
        <v>47052.0</v>
      </c>
      <c r="F684" s="56" t="str">
        <f t="shared" si="1"/>
        <v>10/2028</v>
      </c>
      <c r="G684" s="57">
        <f>2420.1+80.3</f>
        <v>2500.4</v>
      </c>
      <c r="H684" s="59">
        <f t="shared" si="63"/>
        <v>0</v>
      </c>
      <c r="I684" s="145"/>
    </row>
    <row r="685" ht="22.5" customHeight="1">
      <c r="A685" s="43" t="s">
        <v>82</v>
      </c>
      <c r="B685" s="47" t="s">
        <v>83</v>
      </c>
      <c r="C685" s="50" t="s">
        <v>67</v>
      </c>
      <c r="D685" s="51" t="s">
        <v>71</v>
      </c>
      <c r="E685" s="53">
        <v>47065.0</v>
      </c>
      <c r="F685" s="56" t="str">
        <f t="shared" si="1"/>
        <v>11/2028</v>
      </c>
      <c r="G685" s="57">
        <v>1619.31</v>
      </c>
      <c r="H685" s="59">
        <f t="shared" si="63"/>
        <v>0</v>
      </c>
      <c r="I685" s="145"/>
    </row>
    <row r="686" ht="22.5" customHeight="1">
      <c r="A686" s="127" t="s">
        <v>2558</v>
      </c>
      <c r="B686" s="47" t="s">
        <v>152</v>
      </c>
      <c r="C686" s="128" t="s">
        <v>67</v>
      </c>
      <c r="D686" s="51" t="s">
        <v>67</v>
      </c>
      <c r="E686" s="53">
        <v>47083.0</v>
      </c>
      <c r="F686" s="56" t="str">
        <f t="shared" si="1"/>
        <v>11/2028</v>
      </c>
      <c r="G686" s="57">
        <f>2420.1+80.3</f>
        <v>2500.4</v>
      </c>
      <c r="H686" s="59">
        <f t="shared" si="63"/>
        <v>0</v>
      </c>
      <c r="I686" s="145"/>
    </row>
    <row r="687" ht="22.5" customHeight="1">
      <c r="A687" s="43" t="s">
        <v>82</v>
      </c>
      <c r="B687" s="47" t="s">
        <v>83</v>
      </c>
      <c r="C687" s="50" t="s">
        <v>67</v>
      </c>
      <c r="D687" s="51" t="s">
        <v>71</v>
      </c>
      <c r="E687" s="53">
        <v>47095.0</v>
      </c>
      <c r="F687" s="56" t="str">
        <f t="shared" si="1"/>
        <v>12/2028</v>
      </c>
      <c r="G687" s="57">
        <v>1619.31</v>
      </c>
      <c r="H687" s="59">
        <f t="shared" si="63"/>
        <v>0</v>
      </c>
      <c r="I687" s="145"/>
    </row>
    <row r="688" ht="22.5" customHeight="1">
      <c r="A688" s="127" t="s">
        <v>2558</v>
      </c>
      <c r="B688" s="47" t="s">
        <v>152</v>
      </c>
      <c r="C688" s="128" t="s">
        <v>67</v>
      </c>
      <c r="D688" s="51" t="s">
        <v>67</v>
      </c>
      <c r="E688" s="53">
        <v>47113.0</v>
      </c>
      <c r="F688" s="56" t="str">
        <f t="shared" si="1"/>
        <v>12/2028</v>
      </c>
      <c r="G688" s="57">
        <f>2420.1+80.3</f>
        <v>2500.4</v>
      </c>
      <c r="H688" s="59">
        <f t="shared" si="63"/>
        <v>0</v>
      </c>
      <c r="I688" s="145"/>
    </row>
    <row r="689" ht="22.5" customHeight="1">
      <c r="A689" s="43" t="s">
        <v>82</v>
      </c>
      <c r="B689" s="47" t="s">
        <v>83</v>
      </c>
      <c r="C689" s="50" t="s">
        <v>67</v>
      </c>
      <c r="D689" s="51" t="s">
        <v>71</v>
      </c>
      <c r="E689" s="53">
        <v>47126.0</v>
      </c>
      <c r="F689" s="56" t="str">
        <f t="shared" si="1"/>
        <v>1/2029</v>
      </c>
      <c r="G689" s="57">
        <v>1619.31</v>
      </c>
      <c r="H689" s="59">
        <f t="shared" si="63"/>
        <v>0</v>
      </c>
      <c r="I689" s="145"/>
    </row>
    <row r="690" ht="22.5" customHeight="1">
      <c r="A690" s="127" t="s">
        <v>2558</v>
      </c>
      <c r="B690" s="47" t="s">
        <v>152</v>
      </c>
      <c r="C690" s="128" t="s">
        <v>67</v>
      </c>
      <c r="D690" s="51" t="s">
        <v>67</v>
      </c>
      <c r="E690" s="53">
        <v>47144.0</v>
      </c>
      <c r="F690" s="56" t="str">
        <f t="shared" si="1"/>
        <v>1/2029</v>
      </c>
      <c r="G690" s="57">
        <f>2420.1+80.3</f>
        <v>2500.4</v>
      </c>
      <c r="H690" s="59">
        <f t="shared" si="63"/>
        <v>0</v>
      </c>
      <c r="I690" s="145"/>
    </row>
    <row r="691" ht="22.5" customHeight="1">
      <c r="A691" s="43" t="s">
        <v>82</v>
      </c>
      <c r="B691" s="47" t="s">
        <v>83</v>
      </c>
      <c r="C691" s="50" t="s">
        <v>67</v>
      </c>
      <c r="D691" s="51" t="s">
        <v>71</v>
      </c>
      <c r="E691" s="53">
        <v>47157.0</v>
      </c>
      <c r="F691" s="56" t="str">
        <f t="shared" si="1"/>
        <v>2/2029</v>
      </c>
      <c r="G691" s="57">
        <v>1619.31</v>
      </c>
      <c r="H691" s="59">
        <f t="shared" si="63"/>
        <v>0</v>
      </c>
      <c r="I691" s="145"/>
    </row>
    <row r="692" ht="22.5" customHeight="1">
      <c r="A692" s="127" t="s">
        <v>2558</v>
      </c>
      <c r="B692" s="47" t="s">
        <v>152</v>
      </c>
      <c r="C692" s="128" t="s">
        <v>67</v>
      </c>
      <c r="D692" s="51" t="s">
        <v>67</v>
      </c>
      <c r="E692" s="53">
        <v>47175.0</v>
      </c>
      <c r="F692" s="56" t="str">
        <f t="shared" si="1"/>
        <v>2/2029</v>
      </c>
      <c r="G692" s="57">
        <f>2420.1+80.3</f>
        <v>2500.4</v>
      </c>
      <c r="H692" s="59">
        <f t="shared" si="63"/>
        <v>0</v>
      </c>
      <c r="I692" s="145"/>
    </row>
    <row r="693" ht="22.5" customHeight="1">
      <c r="A693" s="43" t="s">
        <v>82</v>
      </c>
      <c r="B693" s="47" t="s">
        <v>83</v>
      </c>
      <c r="C693" s="50" t="s">
        <v>67</v>
      </c>
      <c r="D693" s="51" t="s">
        <v>71</v>
      </c>
      <c r="E693" s="53">
        <v>47185.0</v>
      </c>
      <c r="F693" s="56" t="str">
        <f t="shared" si="1"/>
        <v>3/2029</v>
      </c>
      <c r="G693" s="57">
        <v>1619.31</v>
      </c>
      <c r="H693" s="59">
        <f t="shared" si="63"/>
        <v>0</v>
      </c>
      <c r="I693" s="145"/>
    </row>
    <row r="694" ht="22.5" customHeight="1">
      <c r="A694" s="127" t="s">
        <v>2558</v>
      </c>
      <c r="B694" s="47" t="s">
        <v>152</v>
      </c>
      <c r="C694" s="128" t="s">
        <v>67</v>
      </c>
      <c r="D694" s="51" t="s">
        <v>67</v>
      </c>
      <c r="E694" s="53">
        <v>47203.0</v>
      </c>
      <c r="F694" s="56" t="str">
        <f t="shared" si="1"/>
        <v>3/2029</v>
      </c>
      <c r="G694" s="57">
        <f>2420.1+80.3</f>
        <v>2500.4</v>
      </c>
      <c r="H694" s="59">
        <f t="shared" si="63"/>
        <v>0</v>
      </c>
      <c r="I694" s="145"/>
    </row>
    <row r="695" ht="22.5" customHeight="1">
      <c r="A695" s="43" t="s">
        <v>82</v>
      </c>
      <c r="B695" s="47" t="s">
        <v>83</v>
      </c>
      <c r="C695" s="50" t="s">
        <v>67</v>
      </c>
      <c r="D695" s="51" t="s">
        <v>71</v>
      </c>
      <c r="E695" s="53">
        <v>47216.0</v>
      </c>
      <c r="F695" s="56" t="str">
        <f t="shared" si="1"/>
        <v>4/2029</v>
      </c>
      <c r="G695" s="57">
        <v>1619.31</v>
      </c>
      <c r="H695" s="59">
        <f t="shared" si="63"/>
        <v>0</v>
      </c>
      <c r="I695" s="145"/>
    </row>
    <row r="696" ht="22.5" customHeight="1">
      <c r="A696" s="127" t="s">
        <v>2558</v>
      </c>
      <c r="B696" s="47" t="s">
        <v>152</v>
      </c>
      <c r="C696" s="128" t="s">
        <v>67</v>
      </c>
      <c r="D696" s="51" t="s">
        <v>67</v>
      </c>
      <c r="E696" s="53">
        <v>47234.0</v>
      </c>
      <c r="F696" s="56" t="str">
        <f t="shared" si="1"/>
        <v>4/2029</v>
      </c>
      <c r="G696" s="57">
        <f>2420.1+80.3</f>
        <v>2500.4</v>
      </c>
      <c r="H696" s="59">
        <f t="shared" si="63"/>
        <v>0</v>
      </c>
      <c r="I696" s="145"/>
    </row>
    <row r="697" ht="22.5" customHeight="1">
      <c r="A697" s="43" t="s">
        <v>82</v>
      </c>
      <c r="B697" s="47" t="s">
        <v>83</v>
      </c>
      <c r="C697" s="50" t="s">
        <v>67</v>
      </c>
      <c r="D697" s="51" t="s">
        <v>71</v>
      </c>
      <c r="E697" s="53">
        <v>47246.0</v>
      </c>
      <c r="F697" s="56" t="str">
        <f t="shared" si="1"/>
        <v>5/2029</v>
      </c>
      <c r="G697" s="57">
        <v>1619.31</v>
      </c>
      <c r="H697" s="59">
        <f t="shared" si="63"/>
        <v>0</v>
      </c>
      <c r="I697" s="145"/>
    </row>
    <row r="698" ht="22.5" customHeight="1">
      <c r="A698" s="127" t="s">
        <v>2558</v>
      </c>
      <c r="B698" s="47" t="s">
        <v>152</v>
      </c>
      <c r="C698" s="128" t="s">
        <v>67</v>
      </c>
      <c r="D698" s="51" t="s">
        <v>67</v>
      </c>
      <c r="E698" s="53">
        <v>47264.0</v>
      </c>
      <c r="F698" s="56" t="str">
        <f t="shared" si="1"/>
        <v>5/2029</v>
      </c>
      <c r="G698" s="57">
        <f>2420.1+80.3</f>
        <v>2500.4</v>
      </c>
      <c r="H698" s="59">
        <f t="shared" si="63"/>
        <v>0</v>
      </c>
      <c r="I698" s="145"/>
    </row>
    <row r="699" ht="22.5" customHeight="1">
      <c r="A699" s="43" t="s">
        <v>82</v>
      </c>
      <c r="B699" s="47" t="s">
        <v>83</v>
      </c>
      <c r="C699" s="50" t="s">
        <v>67</v>
      </c>
      <c r="D699" s="51" t="s">
        <v>71</v>
      </c>
      <c r="E699" s="53">
        <v>47277.0</v>
      </c>
      <c r="F699" s="56" t="str">
        <f t="shared" si="1"/>
        <v>6/2029</v>
      </c>
      <c r="G699" s="57">
        <v>1619.31</v>
      </c>
      <c r="H699" s="59">
        <f t="shared" si="63"/>
        <v>0</v>
      </c>
      <c r="I699" s="145"/>
    </row>
    <row r="700" ht="22.5" customHeight="1">
      <c r="A700" s="127" t="s">
        <v>2558</v>
      </c>
      <c r="B700" s="47" t="s">
        <v>152</v>
      </c>
      <c r="C700" s="128" t="s">
        <v>67</v>
      </c>
      <c r="D700" s="51" t="s">
        <v>67</v>
      </c>
      <c r="E700" s="53">
        <v>47295.0</v>
      </c>
      <c r="F700" s="56" t="str">
        <f t="shared" si="1"/>
        <v>6/2029</v>
      </c>
      <c r="G700" s="57">
        <f>2420.1+80.3</f>
        <v>2500.4</v>
      </c>
      <c r="H700" s="59">
        <f t="shared" si="63"/>
        <v>0</v>
      </c>
      <c r="I700" s="145"/>
    </row>
    <row r="701" ht="22.5" customHeight="1">
      <c r="A701" s="43" t="s">
        <v>82</v>
      </c>
      <c r="B701" s="47" t="s">
        <v>83</v>
      </c>
      <c r="C701" s="50" t="s">
        <v>67</v>
      </c>
      <c r="D701" s="51" t="s">
        <v>71</v>
      </c>
      <c r="E701" s="53">
        <v>47307.0</v>
      </c>
      <c r="F701" s="56" t="str">
        <f t="shared" si="1"/>
        <v>7/2029</v>
      </c>
      <c r="G701" s="57">
        <v>1619.31</v>
      </c>
      <c r="H701" s="59">
        <f t="shared" si="63"/>
        <v>0</v>
      </c>
      <c r="I701" s="145"/>
    </row>
    <row r="702" ht="22.5" customHeight="1">
      <c r="A702" s="127" t="s">
        <v>2558</v>
      </c>
      <c r="B702" s="47" t="s">
        <v>152</v>
      </c>
      <c r="C702" s="128" t="s">
        <v>67</v>
      </c>
      <c r="D702" s="51" t="s">
        <v>67</v>
      </c>
      <c r="E702" s="53">
        <v>47325.0</v>
      </c>
      <c r="F702" s="56" t="str">
        <f t="shared" si="1"/>
        <v>7/2029</v>
      </c>
      <c r="G702" s="57">
        <f>2420.1+80.3</f>
        <v>2500.4</v>
      </c>
      <c r="H702" s="59">
        <f t="shared" si="63"/>
        <v>0</v>
      </c>
      <c r="I702" s="145"/>
    </row>
    <row r="703" ht="22.5" customHeight="1">
      <c r="A703" s="43" t="s">
        <v>82</v>
      </c>
      <c r="B703" s="47" t="s">
        <v>83</v>
      </c>
      <c r="C703" s="50" t="s">
        <v>67</v>
      </c>
      <c r="D703" s="51" t="s">
        <v>71</v>
      </c>
      <c r="E703" s="53">
        <v>47338.0</v>
      </c>
      <c r="F703" s="56" t="str">
        <f t="shared" si="1"/>
        <v>8/2029</v>
      </c>
      <c r="G703" s="57">
        <v>1619.31</v>
      </c>
      <c r="H703" s="59">
        <f t="shared" si="63"/>
        <v>0</v>
      </c>
      <c r="I703" s="145"/>
    </row>
    <row r="704" ht="22.5" customHeight="1">
      <c r="A704" s="127" t="s">
        <v>2558</v>
      </c>
      <c r="B704" s="47" t="s">
        <v>152</v>
      </c>
      <c r="C704" s="128" t="s">
        <v>67</v>
      </c>
      <c r="D704" s="51" t="s">
        <v>67</v>
      </c>
      <c r="E704" s="53">
        <v>47356.0</v>
      </c>
      <c r="F704" s="56" t="str">
        <f t="shared" si="1"/>
        <v>8/2029</v>
      </c>
      <c r="G704" s="57">
        <f>2420.1+80.3</f>
        <v>2500.4</v>
      </c>
      <c r="H704" s="59">
        <f t="shared" si="63"/>
        <v>0</v>
      </c>
      <c r="I704" s="145"/>
    </row>
    <row r="705" ht="22.5" customHeight="1">
      <c r="A705" s="43" t="s">
        <v>82</v>
      </c>
      <c r="B705" s="47" t="s">
        <v>83</v>
      </c>
      <c r="C705" s="50" t="s">
        <v>67</v>
      </c>
      <c r="D705" s="51" t="s">
        <v>71</v>
      </c>
      <c r="E705" s="53">
        <v>47369.0</v>
      </c>
      <c r="F705" s="56" t="str">
        <f t="shared" si="1"/>
        <v>9/2029</v>
      </c>
      <c r="G705" s="57">
        <v>1619.31</v>
      </c>
      <c r="H705" s="59">
        <f t="shared" si="63"/>
        <v>0</v>
      </c>
      <c r="I705" s="145"/>
    </row>
    <row r="706" ht="22.5" customHeight="1">
      <c r="A706" s="127" t="s">
        <v>2558</v>
      </c>
      <c r="B706" s="47" t="s">
        <v>152</v>
      </c>
      <c r="C706" s="128" t="s">
        <v>67</v>
      </c>
      <c r="D706" s="51" t="s">
        <v>67</v>
      </c>
      <c r="E706" s="53">
        <v>47387.0</v>
      </c>
      <c r="F706" s="56" t="str">
        <f t="shared" si="1"/>
        <v>9/2029</v>
      </c>
      <c r="G706" s="57">
        <f>2420.1+80.3</f>
        <v>2500.4</v>
      </c>
      <c r="H706" s="59">
        <f t="shared" si="63"/>
        <v>0</v>
      </c>
      <c r="I706" s="145"/>
    </row>
    <row r="707" ht="22.5" customHeight="1">
      <c r="A707" s="43" t="s">
        <v>82</v>
      </c>
      <c r="B707" s="47" t="s">
        <v>83</v>
      </c>
      <c r="C707" s="50" t="s">
        <v>67</v>
      </c>
      <c r="D707" s="51" t="s">
        <v>71</v>
      </c>
      <c r="E707" s="53">
        <v>47399.0</v>
      </c>
      <c r="F707" s="56" t="str">
        <f t="shared" si="1"/>
        <v>10/2029</v>
      </c>
      <c r="G707" s="57">
        <v>1619.31</v>
      </c>
      <c r="H707" s="59">
        <f t="shared" si="63"/>
        <v>0</v>
      </c>
      <c r="I707" s="145"/>
    </row>
    <row r="708" ht="22.5" customHeight="1">
      <c r="A708" s="127" t="s">
        <v>2558</v>
      </c>
      <c r="B708" s="47" t="s">
        <v>152</v>
      </c>
      <c r="C708" s="128" t="s">
        <v>67</v>
      </c>
      <c r="D708" s="51" t="s">
        <v>67</v>
      </c>
      <c r="E708" s="53">
        <v>47417.0</v>
      </c>
      <c r="F708" s="56" t="str">
        <f t="shared" si="1"/>
        <v>10/2029</v>
      </c>
      <c r="G708" s="57">
        <f>2420.1+80.3</f>
        <v>2500.4</v>
      </c>
      <c r="H708" s="59">
        <f t="shared" si="63"/>
        <v>0</v>
      </c>
      <c r="I708" s="145"/>
    </row>
    <row r="709" ht="22.5" customHeight="1">
      <c r="A709" s="43" t="s">
        <v>82</v>
      </c>
      <c r="B709" s="47" t="s">
        <v>83</v>
      </c>
      <c r="C709" s="50" t="s">
        <v>67</v>
      </c>
      <c r="D709" s="51" t="s">
        <v>71</v>
      </c>
      <c r="E709" s="53">
        <v>47430.0</v>
      </c>
      <c r="F709" s="56" t="str">
        <f t="shared" si="1"/>
        <v>11/2029</v>
      </c>
      <c r="G709" s="57">
        <v>1619.31</v>
      </c>
      <c r="H709" s="59">
        <f t="shared" si="63"/>
        <v>0</v>
      </c>
      <c r="I709" s="145"/>
    </row>
    <row r="710" ht="22.5" customHeight="1">
      <c r="A710" s="127" t="s">
        <v>2558</v>
      </c>
      <c r="B710" s="47" t="s">
        <v>152</v>
      </c>
      <c r="C710" s="128" t="s">
        <v>67</v>
      </c>
      <c r="D710" s="51" t="s">
        <v>67</v>
      </c>
      <c r="E710" s="53">
        <v>47448.0</v>
      </c>
      <c r="F710" s="56" t="str">
        <f t="shared" si="1"/>
        <v>11/2029</v>
      </c>
      <c r="G710" s="57">
        <f>2420.1+80.3</f>
        <v>2500.4</v>
      </c>
      <c r="H710" s="59">
        <f t="shared" si="63"/>
        <v>0</v>
      </c>
      <c r="I710" s="145"/>
    </row>
    <row r="711" ht="22.5" customHeight="1">
      <c r="A711" s="43" t="s">
        <v>82</v>
      </c>
      <c r="B711" s="47" t="s">
        <v>83</v>
      </c>
      <c r="C711" s="50" t="s">
        <v>67</v>
      </c>
      <c r="D711" s="51" t="s">
        <v>71</v>
      </c>
      <c r="E711" s="53">
        <v>47460.0</v>
      </c>
      <c r="F711" s="56" t="str">
        <f t="shared" si="1"/>
        <v>12/2029</v>
      </c>
      <c r="G711" s="57">
        <v>1619.31</v>
      </c>
      <c r="H711" s="59">
        <f t="shared" si="63"/>
        <v>0</v>
      </c>
      <c r="I711" s="145"/>
    </row>
    <row r="712" ht="22.5" customHeight="1">
      <c r="A712" s="127" t="s">
        <v>2558</v>
      </c>
      <c r="B712" s="47" t="s">
        <v>152</v>
      </c>
      <c r="C712" s="128" t="s">
        <v>67</v>
      </c>
      <c r="D712" s="51" t="s">
        <v>67</v>
      </c>
      <c r="E712" s="53">
        <v>47478.0</v>
      </c>
      <c r="F712" s="56" t="str">
        <f t="shared" si="1"/>
        <v>12/2029</v>
      </c>
      <c r="G712" s="57">
        <f>2420.1+80.3</f>
        <v>2500.4</v>
      </c>
      <c r="H712" s="59">
        <f t="shared" si="63"/>
        <v>0</v>
      </c>
      <c r="I712" s="145"/>
    </row>
    <row r="713" ht="22.5" customHeight="1">
      <c r="A713" s="43" t="s">
        <v>82</v>
      </c>
      <c r="B713" s="47" t="s">
        <v>83</v>
      </c>
      <c r="C713" s="50" t="s">
        <v>67</v>
      </c>
      <c r="D713" s="51" t="s">
        <v>71</v>
      </c>
      <c r="E713" s="53">
        <v>47491.0</v>
      </c>
      <c r="F713" s="56" t="str">
        <f t="shared" si="1"/>
        <v>1/2030</v>
      </c>
      <c r="G713" s="57">
        <v>1619.31</v>
      </c>
      <c r="H713" s="59">
        <f t="shared" si="63"/>
        <v>0</v>
      </c>
      <c r="I713" s="145"/>
    </row>
    <row r="714" ht="22.5" customHeight="1">
      <c r="A714" s="127" t="s">
        <v>2558</v>
      </c>
      <c r="B714" s="47" t="s">
        <v>152</v>
      </c>
      <c r="C714" s="128" t="s">
        <v>67</v>
      </c>
      <c r="D714" s="51" t="s">
        <v>67</v>
      </c>
      <c r="E714" s="53">
        <v>47509.0</v>
      </c>
      <c r="F714" s="56" t="str">
        <f t="shared" si="1"/>
        <v>1/2030</v>
      </c>
      <c r="G714" s="57">
        <f>2420.1+80.3</f>
        <v>2500.4</v>
      </c>
      <c r="H714" s="59">
        <f t="shared" si="63"/>
        <v>0</v>
      </c>
      <c r="I714" s="145"/>
    </row>
    <row r="715" ht="22.5" customHeight="1">
      <c r="A715" s="43" t="s">
        <v>82</v>
      </c>
      <c r="B715" s="47" t="s">
        <v>83</v>
      </c>
      <c r="C715" s="50" t="s">
        <v>67</v>
      </c>
      <c r="D715" s="51" t="s">
        <v>71</v>
      </c>
      <c r="E715" s="53">
        <v>47522.0</v>
      </c>
      <c r="F715" s="56" t="str">
        <f t="shared" si="1"/>
        <v>2/2030</v>
      </c>
      <c r="G715" s="57">
        <v>1619.31</v>
      </c>
      <c r="H715" s="59">
        <f t="shared" si="63"/>
        <v>0</v>
      </c>
      <c r="I715" s="145"/>
    </row>
    <row r="716" ht="22.5" customHeight="1">
      <c r="A716" s="127" t="s">
        <v>2558</v>
      </c>
      <c r="B716" s="47" t="s">
        <v>152</v>
      </c>
      <c r="C716" s="128" t="s">
        <v>67</v>
      </c>
      <c r="D716" s="51" t="s">
        <v>67</v>
      </c>
      <c r="E716" s="53">
        <v>47540.0</v>
      </c>
      <c r="F716" s="56" t="str">
        <f t="shared" si="1"/>
        <v>2/2030</v>
      </c>
      <c r="G716" s="57">
        <f>2420.1+80.3</f>
        <v>2500.4</v>
      </c>
      <c r="H716" s="59">
        <f t="shared" si="63"/>
        <v>0</v>
      </c>
      <c r="I716" s="145"/>
    </row>
    <row r="717" ht="22.5" customHeight="1">
      <c r="A717" s="43" t="s">
        <v>82</v>
      </c>
      <c r="B717" s="47" t="s">
        <v>83</v>
      </c>
      <c r="C717" s="50" t="s">
        <v>67</v>
      </c>
      <c r="D717" s="51" t="s">
        <v>71</v>
      </c>
      <c r="E717" s="53">
        <v>47550.0</v>
      </c>
      <c r="F717" s="56" t="str">
        <f t="shared" si="1"/>
        <v>3/2030</v>
      </c>
      <c r="G717" s="57">
        <v>1619.31</v>
      </c>
      <c r="H717" s="59">
        <f t="shared" si="63"/>
        <v>0</v>
      </c>
      <c r="I717" s="145"/>
    </row>
    <row r="718" ht="22.5" customHeight="1">
      <c r="A718" s="127" t="s">
        <v>2558</v>
      </c>
      <c r="B718" s="47" t="s">
        <v>152</v>
      </c>
      <c r="C718" s="128" t="s">
        <v>67</v>
      </c>
      <c r="D718" s="51" t="s">
        <v>67</v>
      </c>
      <c r="E718" s="53">
        <v>47568.0</v>
      </c>
      <c r="F718" s="56" t="str">
        <f t="shared" si="1"/>
        <v>3/2030</v>
      </c>
      <c r="G718" s="57">
        <f>2420.1+80.3</f>
        <v>2500.4</v>
      </c>
      <c r="H718" s="59">
        <f t="shared" si="63"/>
        <v>0</v>
      </c>
      <c r="I718" s="145"/>
    </row>
    <row r="719" ht="22.5" customHeight="1">
      <c r="A719" s="43" t="s">
        <v>82</v>
      </c>
      <c r="B719" s="47" t="s">
        <v>83</v>
      </c>
      <c r="C719" s="50" t="s">
        <v>67</v>
      </c>
      <c r="D719" s="51" t="s">
        <v>71</v>
      </c>
      <c r="E719" s="53">
        <v>47581.0</v>
      </c>
      <c r="F719" s="56" t="str">
        <f t="shared" si="1"/>
        <v>4/2030</v>
      </c>
      <c r="G719" s="57">
        <v>1619.31</v>
      </c>
      <c r="H719" s="59">
        <f t="shared" si="63"/>
        <v>0</v>
      </c>
      <c r="I719" s="145"/>
    </row>
    <row r="720" ht="22.5" customHeight="1">
      <c r="A720" s="127" t="s">
        <v>2558</v>
      </c>
      <c r="B720" s="47" t="s">
        <v>152</v>
      </c>
      <c r="C720" s="128" t="s">
        <v>67</v>
      </c>
      <c r="D720" s="51" t="s">
        <v>67</v>
      </c>
      <c r="E720" s="53">
        <v>47599.0</v>
      </c>
      <c r="F720" s="56" t="str">
        <f t="shared" si="1"/>
        <v>4/2030</v>
      </c>
      <c r="G720" s="57">
        <f>2420.1+80.3</f>
        <v>2500.4</v>
      </c>
      <c r="H720" s="59">
        <f t="shared" si="63"/>
        <v>0</v>
      </c>
      <c r="I720" s="145"/>
    </row>
    <row r="721" ht="22.5" customHeight="1">
      <c r="A721" s="43" t="s">
        <v>82</v>
      </c>
      <c r="B721" s="47" t="s">
        <v>83</v>
      </c>
      <c r="C721" s="50" t="s">
        <v>67</v>
      </c>
      <c r="D721" s="51" t="s">
        <v>71</v>
      </c>
      <c r="E721" s="53">
        <v>47611.0</v>
      </c>
      <c r="F721" s="56" t="str">
        <f t="shared" si="1"/>
        <v>5/2030</v>
      </c>
      <c r="G721" s="57">
        <v>1619.31</v>
      </c>
      <c r="H721" s="59">
        <f t="shared" si="63"/>
        <v>0</v>
      </c>
      <c r="I721" s="145"/>
    </row>
    <row r="722" ht="22.5" customHeight="1">
      <c r="A722" s="127" t="s">
        <v>2558</v>
      </c>
      <c r="B722" s="47" t="s">
        <v>152</v>
      </c>
      <c r="C722" s="128" t="s">
        <v>67</v>
      </c>
      <c r="D722" s="51" t="s">
        <v>67</v>
      </c>
      <c r="E722" s="53">
        <v>47629.0</v>
      </c>
      <c r="F722" s="56" t="str">
        <f t="shared" si="1"/>
        <v>5/2030</v>
      </c>
      <c r="G722" s="57">
        <f>2420.1+80.3</f>
        <v>2500.4</v>
      </c>
      <c r="H722" s="59">
        <f t="shared" si="63"/>
        <v>0</v>
      </c>
      <c r="I722" s="145"/>
    </row>
    <row r="723" ht="22.5" customHeight="1">
      <c r="A723" s="43" t="s">
        <v>82</v>
      </c>
      <c r="B723" s="47" t="s">
        <v>83</v>
      </c>
      <c r="C723" s="50" t="s">
        <v>67</v>
      </c>
      <c r="D723" s="51" t="s">
        <v>71</v>
      </c>
      <c r="E723" s="53">
        <v>47642.0</v>
      </c>
      <c r="F723" s="56" t="str">
        <f t="shared" si="1"/>
        <v>6/2030</v>
      </c>
      <c r="G723" s="57">
        <v>1619.31</v>
      </c>
      <c r="H723" s="59">
        <f t="shared" si="63"/>
        <v>0</v>
      </c>
      <c r="I723" s="145"/>
    </row>
    <row r="724" ht="22.5" customHeight="1">
      <c r="A724" s="127" t="s">
        <v>2558</v>
      </c>
      <c r="B724" s="47" t="s">
        <v>152</v>
      </c>
      <c r="C724" s="128" t="s">
        <v>67</v>
      </c>
      <c r="D724" s="51" t="s">
        <v>67</v>
      </c>
      <c r="E724" s="53">
        <v>47660.0</v>
      </c>
      <c r="F724" s="56" t="str">
        <f t="shared" si="1"/>
        <v>6/2030</v>
      </c>
      <c r="G724" s="57">
        <f>2420.1+80.3</f>
        <v>2500.4</v>
      </c>
      <c r="H724" s="59">
        <f t="shared" si="63"/>
        <v>0</v>
      </c>
      <c r="I724" s="145"/>
    </row>
    <row r="725" ht="22.5" customHeight="1">
      <c r="A725" s="43" t="s">
        <v>82</v>
      </c>
      <c r="B725" s="47" t="s">
        <v>83</v>
      </c>
      <c r="C725" s="50" t="s">
        <v>67</v>
      </c>
      <c r="D725" s="51" t="s">
        <v>71</v>
      </c>
      <c r="E725" s="53">
        <v>47672.0</v>
      </c>
      <c r="F725" s="56" t="str">
        <f t="shared" si="1"/>
        <v>7/2030</v>
      </c>
      <c r="G725" s="57">
        <v>1619.31</v>
      </c>
      <c r="H725" s="59">
        <f t="shared" si="63"/>
        <v>0</v>
      </c>
      <c r="I725" s="145"/>
    </row>
    <row r="726" ht="22.5" customHeight="1">
      <c r="A726" s="127" t="s">
        <v>2558</v>
      </c>
      <c r="B726" s="47" t="s">
        <v>152</v>
      </c>
      <c r="C726" s="128" t="s">
        <v>67</v>
      </c>
      <c r="D726" s="51" t="s">
        <v>67</v>
      </c>
      <c r="E726" s="53">
        <v>47690.0</v>
      </c>
      <c r="F726" s="56" t="str">
        <f t="shared" si="1"/>
        <v>7/2030</v>
      </c>
      <c r="G726" s="57">
        <f>2420.1+80.3</f>
        <v>2500.4</v>
      </c>
      <c r="H726" s="59">
        <f t="shared" si="63"/>
        <v>0</v>
      </c>
      <c r="I726" s="145"/>
    </row>
    <row r="727" ht="22.5" customHeight="1">
      <c r="A727" s="43" t="s">
        <v>82</v>
      </c>
      <c r="B727" s="47" t="s">
        <v>83</v>
      </c>
      <c r="C727" s="50" t="s">
        <v>67</v>
      </c>
      <c r="D727" s="51" t="s">
        <v>71</v>
      </c>
      <c r="E727" s="53">
        <v>47703.0</v>
      </c>
      <c r="F727" s="56" t="str">
        <f t="shared" si="1"/>
        <v>8/2030</v>
      </c>
      <c r="G727" s="57">
        <v>1619.31</v>
      </c>
      <c r="H727" s="59">
        <f t="shared" si="63"/>
        <v>0</v>
      </c>
      <c r="I727" s="145"/>
    </row>
    <row r="728" ht="22.5" customHeight="1">
      <c r="A728" s="127" t="s">
        <v>2558</v>
      </c>
      <c r="B728" s="47" t="s">
        <v>152</v>
      </c>
      <c r="C728" s="128" t="s">
        <v>67</v>
      </c>
      <c r="D728" s="51" t="s">
        <v>67</v>
      </c>
      <c r="E728" s="53">
        <v>47721.0</v>
      </c>
      <c r="F728" s="56" t="str">
        <f t="shared" si="1"/>
        <v>8/2030</v>
      </c>
      <c r="G728" s="57">
        <f>2420.1+80.3</f>
        <v>2500.4</v>
      </c>
      <c r="H728" s="59">
        <f t="shared" si="63"/>
        <v>0</v>
      </c>
      <c r="I728" s="145"/>
    </row>
    <row r="729" ht="22.5" customHeight="1">
      <c r="A729" s="43" t="s">
        <v>82</v>
      </c>
      <c r="B729" s="47" t="s">
        <v>83</v>
      </c>
      <c r="C729" s="50" t="s">
        <v>67</v>
      </c>
      <c r="D729" s="51" t="s">
        <v>71</v>
      </c>
      <c r="E729" s="53">
        <v>47734.0</v>
      </c>
      <c r="F729" s="56" t="str">
        <f t="shared" si="1"/>
        <v>9/2030</v>
      </c>
      <c r="G729" s="57">
        <v>1619.31</v>
      </c>
      <c r="H729" s="59">
        <f t="shared" si="63"/>
        <v>0</v>
      </c>
      <c r="I729" s="145"/>
    </row>
    <row r="730" ht="22.5" customHeight="1">
      <c r="A730" s="127" t="s">
        <v>2558</v>
      </c>
      <c r="B730" s="47" t="s">
        <v>152</v>
      </c>
      <c r="C730" s="128" t="s">
        <v>67</v>
      </c>
      <c r="D730" s="51" t="s">
        <v>67</v>
      </c>
      <c r="E730" s="53">
        <v>47752.0</v>
      </c>
      <c r="F730" s="56" t="str">
        <f t="shared" si="1"/>
        <v>9/2030</v>
      </c>
      <c r="G730" s="57">
        <f>2420.1+80.3</f>
        <v>2500.4</v>
      </c>
      <c r="H730" s="59">
        <f t="shared" si="63"/>
        <v>0</v>
      </c>
      <c r="I730" s="145"/>
    </row>
    <row r="731" ht="22.5" customHeight="1">
      <c r="A731" s="43" t="s">
        <v>82</v>
      </c>
      <c r="B731" s="47" t="s">
        <v>83</v>
      </c>
      <c r="C731" s="50" t="s">
        <v>67</v>
      </c>
      <c r="D731" s="51" t="s">
        <v>71</v>
      </c>
      <c r="E731" s="53">
        <v>47764.0</v>
      </c>
      <c r="F731" s="56" t="str">
        <f t="shared" si="1"/>
        <v>10/2030</v>
      </c>
      <c r="G731" s="57">
        <v>1619.31</v>
      </c>
      <c r="H731" s="59">
        <f t="shared" si="63"/>
        <v>0</v>
      </c>
      <c r="I731" s="145"/>
    </row>
    <row r="732" ht="22.5" customHeight="1">
      <c r="A732" s="127" t="s">
        <v>2558</v>
      </c>
      <c r="B732" s="47" t="s">
        <v>152</v>
      </c>
      <c r="C732" s="128" t="s">
        <v>67</v>
      </c>
      <c r="D732" s="51" t="s">
        <v>67</v>
      </c>
      <c r="E732" s="53">
        <v>47782.0</v>
      </c>
      <c r="F732" s="56" t="str">
        <f t="shared" si="1"/>
        <v>10/2030</v>
      </c>
      <c r="G732" s="57">
        <f>2420.1+80.3</f>
        <v>2500.4</v>
      </c>
      <c r="H732" s="59">
        <f t="shared" si="63"/>
        <v>0</v>
      </c>
      <c r="I732" s="145"/>
    </row>
    <row r="733" ht="22.5" customHeight="1">
      <c r="A733" s="43" t="s">
        <v>82</v>
      </c>
      <c r="B733" s="47" t="s">
        <v>83</v>
      </c>
      <c r="C733" s="50" t="s">
        <v>67</v>
      </c>
      <c r="D733" s="51" t="s">
        <v>71</v>
      </c>
      <c r="E733" s="53">
        <v>47795.0</v>
      </c>
      <c r="F733" s="56" t="str">
        <f t="shared" si="1"/>
        <v>11/2030</v>
      </c>
      <c r="G733" s="57">
        <v>1619.31</v>
      </c>
      <c r="H733" s="59">
        <f t="shared" si="63"/>
        <v>0</v>
      </c>
      <c r="I733" s="145"/>
    </row>
    <row r="734" ht="22.5" customHeight="1">
      <c r="A734" s="127" t="s">
        <v>2558</v>
      </c>
      <c r="B734" s="47" t="s">
        <v>152</v>
      </c>
      <c r="C734" s="128" t="s">
        <v>67</v>
      </c>
      <c r="D734" s="51" t="s">
        <v>67</v>
      </c>
      <c r="E734" s="53">
        <v>47813.0</v>
      </c>
      <c r="F734" s="56" t="str">
        <f t="shared" si="1"/>
        <v>11/2030</v>
      </c>
      <c r="G734" s="57">
        <f>2420.1+80.3</f>
        <v>2500.4</v>
      </c>
      <c r="H734" s="59">
        <f t="shared" si="63"/>
        <v>0</v>
      </c>
      <c r="I734" s="145"/>
    </row>
    <row r="735" ht="22.5" customHeight="1">
      <c r="A735" s="43" t="s">
        <v>82</v>
      </c>
      <c r="B735" s="47" t="s">
        <v>83</v>
      </c>
      <c r="C735" s="50" t="s">
        <v>67</v>
      </c>
      <c r="D735" s="51" t="s">
        <v>71</v>
      </c>
      <c r="E735" s="53">
        <v>47825.0</v>
      </c>
      <c r="F735" s="56" t="str">
        <f t="shared" si="1"/>
        <v>12/2030</v>
      </c>
      <c r="G735" s="57">
        <v>1619.31</v>
      </c>
      <c r="H735" s="59">
        <f t="shared" si="63"/>
        <v>0</v>
      </c>
      <c r="I735" s="145"/>
    </row>
    <row r="736" ht="22.5" customHeight="1">
      <c r="A736" s="127" t="s">
        <v>2558</v>
      </c>
      <c r="B736" s="47" t="s">
        <v>152</v>
      </c>
      <c r="C736" s="128" t="s">
        <v>67</v>
      </c>
      <c r="D736" s="51" t="s">
        <v>67</v>
      </c>
      <c r="E736" s="53">
        <v>47843.0</v>
      </c>
      <c r="F736" s="56" t="str">
        <f t="shared" si="1"/>
        <v>12/2030</v>
      </c>
      <c r="G736" s="57">
        <f>2420.1+80.3</f>
        <v>2500.4</v>
      </c>
      <c r="H736" s="59">
        <f t="shared" si="63"/>
        <v>0</v>
      </c>
      <c r="I736" s="145"/>
    </row>
    <row r="737" ht="22.5" customHeight="1">
      <c r="A737" s="43" t="s">
        <v>82</v>
      </c>
      <c r="B737" s="47" t="s">
        <v>83</v>
      </c>
      <c r="C737" s="50" t="s">
        <v>67</v>
      </c>
      <c r="D737" s="51" t="s">
        <v>71</v>
      </c>
      <c r="E737" s="53">
        <v>47856.0</v>
      </c>
      <c r="F737" s="56" t="str">
        <f t="shared" si="1"/>
        <v>1/2031</v>
      </c>
      <c r="G737" s="57">
        <v>1619.31</v>
      </c>
      <c r="H737" s="59">
        <f t="shared" si="63"/>
        <v>0</v>
      </c>
      <c r="I737" s="145"/>
    </row>
    <row r="738" ht="22.5" customHeight="1">
      <c r="A738" s="127" t="s">
        <v>2558</v>
      </c>
      <c r="B738" s="47" t="s">
        <v>152</v>
      </c>
      <c r="C738" s="128" t="s">
        <v>67</v>
      </c>
      <c r="D738" s="51" t="s">
        <v>67</v>
      </c>
      <c r="E738" s="53">
        <v>47874.0</v>
      </c>
      <c r="F738" s="56" t="str">
        <f t="shared" si="1"/>
        <v>1/2031</v>
      </c>
      <c r="G738" s="57">
        <f>2420.1+80.3</f>
        <v>2500.4</v>
      </c>
      <c r="H738" s="59">
        <f t="shared" si="63"/>
        <v>0</v>
      </c>
      <c r="I738" s="145"/>
    </row>
    <row r="739" ht="22.5" customHeight="1">
      <c r="A739" s="43" t="s">
        <v>82</v>
      </c>
      <c r="B739" s="47" t="s">
        <v>83</v>
      </c>
      <c r="C739" s="50" t="s">
        <v>67</v>
      </c>
      <c r="D739" s="51" t="s">
        <v>71</v>
      </c>
      <c r="E739" s="53">
        <v>47887.0</v>
      </c>
      <c r="F739" s="56" t="str">
        <f t="shared" si="1"/>
        <v>2/2031</v>
      </c>
      <c r="G739" s="57">
        <v>1619.31</v>
      </c>
      <c r="H739" s="59">
        <f t="shared" si="63"/>
        <v>0</v>
      </c>
      <c r="I739" s="145"/>
    </row>
    <row r="740" ht="22.5" customHeight="1">
      <c r="A740" s="127" t="s">
        <v>2558</v>
      </c>
      <c r="B740" s="47" t="s">
        <v>152</v>
      </c>
      <c r="C740" s="128" t="s">
        <v>67</v>
      </c>
      <c r="D740" s="51" t="s">
        <v>67</v>
      </c>
      <c r="E740" s="53">
        <v>47905.0</v>
      </c>
      <c r="F740" s="56" t="str">
        <f t="shared" si="1"/>
        <v>2/2031</v>
      </c>
      <c r="G740" s="57">
        <f>2420.1+80.3</f>
        <v>2500.4</v>
      </c>
      <c r="H740" s="59">
        <f t="shared" si="63"/>
        <v>0</v>
      </c>
      <c r="I740" s="145"/>
    </row>
    <row r="741" ht="22.5" customHeight="1">
      <c r="A741" s="43" t="s">
        <v>82</v>
      </c>
      <c r="B741" s="47" t="s">
        <v>83</v>
      </c>
      <c r="C741" s="50" t="s">
        <v>67</v>
      </c>
      <c r="D741" s="51" t="s">
        <v>71</v>
      </c>
      <c r="E741" s="53">
        <v>47915.0</v>
      </c>
      <c r="F741" s="56" t="str">
        <f t="shared" si="1"/>
        <v>3/2031</v>
      </c>
      <c r="G741" s="57">
        <v>1619.31</v>
      </c>
      <c r="H741" s="59">
        <f t="shared" si="63"/>
        <v>0</v>
      </c>
      <c r="I741" s="145"/>
    </row>
    <row r="742" ht="22.5" customHeight="1">
      <c r="A742" s="127" t="s">
        <v>2558</v>
      </c>
      <c r="B742" s="47" t="s">
        <v>152</v>
      </c>
      <c r="C742" s="128" t="s">
        <v>67</v>
      </c>
      <c r="D742" s="51" t="s">
        <v>67</v>
      </c>
      <c r="E742" s="53">
        <v>47933.0</v>
      </c>
      <c r="F742" s="56" t="str">
        <f t="shared" si="1"/>
        <v>3/2031</v>
      </c>
      <c r="G742" s="57">
        <f>2420.1+80.3</f>
        <v>2500.4</v>
      </c>
      <c r="H742" s="59">
        <f t="shared" si="63"/>
        <v>0</v>
      </c>
      <c r="I742" s="145"/>
    </row>
    <row r="743" ht="22.5" customHeight="1">
      <c r="A743" s="43" t="s">
        <v>82</v>
      </c>
      <c r="B743" s="47" t="s">
        <v>83</v>
      </c>
      <c r="C743" s="50" t="s">
        <v>67</v>
      </c>
      <c r="D743" s="51" t="s">
        <v>71</v>
      </c>
      <c r="E743" s="53">
        <v>47946.0</v>
      </c>
      <c r="F743" s="56" t="str">
        <f t="shared" si="1"/>
        <v>4/2031</v>
      </c>
      <c r="G743" s="57">
        <v>1619.31</v>
      </c>
      <c r="H743" s="59">
        <f t="shared" si="63"/>
        <v>0</v>
      </c>
      <c r="I743" s="145"/>
    </row>
    <row r="744" ht="22.5" customHeight="1">
      <c r="A744" s="127" t="s">
        <v>2558</v>
      </c>
      <c r="B744" s="47" t="s">
        <v>152</v>
      </c>
      <c r="C744" s="128" t="s">
        <v>67</v>
      </c>
      <c r="D744" s="51" t="s">
        <v>67</v>
      </c>
      <c r="E744" s="53">
        <v>47964.0</v>
      </c>
      <c r="F744" s="56" t="str">
        <f t="shared" si="1"/>
        <v>4/2031</v>
      </c>
      <c r="G744" s="57">
        <f>2420.1+80.3</f>
        <v>2500.4</v>
      </c>
      <c r="H744" s="59">
        <f t="shared" si="63"/>
        <v>0</v>
      </c>
      <c r="I744" s="145"/>
    </row>
    <row r="745" ht="22.5" customHeight="1">
      <c r="A745" s="43" t="s">
        <v>82</v>
      </c>
      <c r="B745" s="47" t="s">
        <v>83</v>
      </c>
      <c r="C745" s="50" t="s">
        <v>67</v>
      </c>
      <c r="D745" s="51" t="s">
        <v>71</v>
      </c>
      <c r="E745" s="53">
        <v>47976.0</v>
      </c>
      <c r="F745" s="56" t="str">
        <f t="shared" si="1"/>
        <v>5/2031</v>
      </c>
      <c r="G745" s="57">
        <v>1619.31</v>
      </c>
      <c r="H745" s="59">
        <f t="shared" si="63"/>
        <v>0</v>
      </c>
      <c r="I745" s="145"/>
    </row>
    <row r="746" ht="22.5" customHeight="1">
      <c r="A746" s="127" t="s">
        <v>2558</v>
      </c>
      <c r="B746" s="47" t="s">
        <v>152</v>
      </c>
      <c r="C746" s="128" t="s">
        <v>67</v>
      </c>
      <c r="D746" s="51" t="s">
        <v>67</v>
      </c>
      <c r="E746" s="53">
        <v>47994.0</v>
      </c>
      <c r="F746" s="56" t="str">
        <f t="shared" si="1"/>
        <v>5/2031</v>
      </c>
      <c r="G746" s="57">
        <f>2420.1+80.3</f>
        <v>2500.4</v>
      </c>
      <c r="H746" s="59">
        <f t="shared" si="63"/>
        <v>0</v>
      </c>
      <c r="I746" s="145"/>
    </row>
    <row r="747" ht="22.5" customHeight="1">
      <c r="A747" s="43" t="s">
        <v>82</v>
      </c>
      <c r="B747" s="47" t="s">
        <v>83</v>
      </c>
      <c r="C747" s="50" t="s">
        <v>67</v>
      </c>
      <c r="D747" s="51" t="s">
        <v>71</v>
      </c>
      <c r="E747" s="53">
        <v>48007.0</v>
      </c>
      <c r="F747" s="56" t="str">
        <f t="shared" si="1"/>
        <v>6/2031</v>
      </c>
      <c r="G747" s="57">
        <v>1619.31</v>
      </c>
      <c r="H747" s="59">
        <f t="shared" si="63"/>
        <v>0</v>
      </c>
      <c r="I747" s="145"/>
    </row>
    <row r="748" ht="22.5" customHeight="1">
      <c r="A748" s="127" t="s">
        <v>2558</v>
      </c>
      <c r="B748" s="47" t="s">
        <v>152</v>
      </c>
      <c r="C748" s="128" t="s">
        <v>67</v>
      </c>
      <c r="D748" s="51" t="s">
        <v>67</v>
      </c>
      <c r="E748" s="53">
        <v>48025.0</v>
      </c>
      <c r="F748" s="56" t="str">
        <f t="shared" si="1"/>
        <v>6/2031</v>
      </c>
      <c r="G748" s="57">
        <f>2420.1+80.3</f>
        <v>2500.4</v>
      </c>
      <c r="H748" s="59">
        <f t="shared" si="63"/>
        <v>0</v>
      </c>
      <c r="I748" s="145"/>
    </row>
    <row r="749" ht="22.5" customHeight="1">
      <c r="A749" s="43" t="s">
        <v>82</v>
      </c>
      <c r="B749" s="47" t="s">
        <v>83</v>
      </c>
      <c r="C749" s="50" t="s">
        <v>67</v>
      </c>
      <c r="D749" s="51" t="s">
        <v>71</v>
      </c>
      <c r="E749" s="53">
        <v>48037.0</v>
      </c>
      <c r="F749" s="56" t="str">
        <f t="shared" si="1"/>
        <v>7/2031</v>
      </c>
      <c r="G749" s="57">
        <v>1619.31</v>
      </c>
      <c r="H749" s="59">
        <f t="shared" si="63"/>
        <v>0</v>
      </c>
      <c r="I749" s="145"/>
    </row>
    <row r="750" ht="22.5" customHeight="1">
      <c r="A750" s="127" t="s">
        <v>2558</v>
      </c>
      <c r="B750" s="47" t="s">
        <v>152</v>
      </c>
      <c r="C750" s="128" t="s">
        <v>67</v>
      </c>
      <c r="D750" s="51" t="s">
        <v>67</v>
      </c>
      <c r="E750" s="53">
        <v>48055.0</v>
      </c>
      <c r="F750" s="56" t="str">
        <f t="shared" si="1"/>
        <v>7/2031</v>
      </c>
      <c r="G750" s="57">
        <f t="shared" ref="G750:G757" si="64">2420.1+80.3</f>
        <v>2500.4</v>
      </c>
      <c r="H750" s="59">
        <f t="shared" si="63"/>
        <v>0</v>
      </c>
      <c r="I750" s="145"/>
    </row>
    <row r="751" ht="22.5" customHeight="1">
      <c r="A751" s="127" t="s">
        <v>2558</v>
      </c>
      <c r="B751" s="47" t="s">
        <v>152</v>
      </c>
      <c r="C751" s="128" t="s">
        <v>67</v>
      </c>
      <c r="D751" s="51" t="s">
        <v>67</v>
      </c>
      <c r="E751" s="53">
        <v>48086.0</v>
      </c>
      <c r="F751" s="56" t="str">
        <f t="shared" si="1"/>
        <v>8/2031</v>
      </c>
      <c r="G751" s="57">
        <f t="shared" si="64"/>
        <v>2500.4</v>
      </c>
      <c r="H751" s="59">
        <f t="shared" si="63"/>
        <v>0</v>
      </c>
      <c r="I751" s="145"/>
    </row>
    <row r="752" ht="22.5" customHeight="1">
      <c r="A752" s="127" t="s">
        <v>2558</v>
      </c>
      <c r="B752" s="47" t="s">
        <v>152</v>
      </c>
      <c r="C752" s="128" t="s">
        <v>67</v>
      </c>
      <c r="D752" s="51" t="s">
        <v>67</v>
      </c>
      <c r="E752" s="53">
        <v>48117.0</v>
      </c>
      <c r="F752" s="56" t="str">
        <f t="shared" si="1"/>
        <v>9/2031</v>
      </c>
      <c r="G752" s="57">
        <f t="shared" si="64"/>
        <v>2500.4</v>
      </c>
      <c r="H752" s="59">
        <f t="shared" si="63"/>
        <v>0</v>
      </c>
      <c r="I752" s="145"/>
    </row>
    <row r="753" ht="22.5" customHeight="1">
      <c r="A753" s="127" t="s">
        <v>2558</v>
      </c>
      <c r="B753" s="47" t="s">
        <v>152</v>
      </c>
      <c r="C753" s="128" t="s">
        <v>67</v>
      </c>
      <c r="D753" s="51" t="s">
        <v>67</v>
      </c>
      <c r="E753" s="53">
        <v>48147.0</v>
      </c>
      <c r="F753" s="56" t="str">
        <f t="shared" si="1"/>
        <v>10/2031</v>
      </c>
      <c r="G753" s="57">
        <f t="shared" si="64"/>
        <v>2500.4</v>
      </c>
      <c r="H753" s="59">
        <f t="shared" si="63"/>
        <v>0</v>
      </c>
      <c r="I753" s="145"/>
    </row>
    <row r="754" ht="22.5" customHeight="1">
      <c r="A754" s="127" t="s">
        <v>2558</v>
      </c>
      <c r="B754" s="47" t="s">
        <v>152</v>
      </c>
      <c r="C754" s="128" t="s">
        <v>67</v>
      </c>
      <c r="D754" s="51" t="s">
        <v>67</v>
      </c>
      <c r="E754" s="53">
        <v>48178.0</v>
      </c>
      <c r="F754" s="56" t="str">
        <f t="shared" si="1"/>
        <v>11/2031</v>
      </c>
      <c r="G754" s="57">
        <f t="shared" si="64"/>
        <v>2500.4</v>
      </c>
      <c r="H754" s="59">
        <f t="shared" si="63"/>
        <v>0</v>
      </c>
      <c r="I754" s="145"/>
    </row>
    <row r="755" ht="22.5" customHeight="1">
      <c r="A755" s="127" t="s">
        <v>2558</v>
      </c>
      <c r="B755" s="47" t="s">
        <v>152</v>
      </c>
      <c r="C755" s="128" t="s">
        <v>67</v>
      </c>
      <c r="D755" s="51" t="s">
        <v>67</v>
      </c>
      <c r="E755" s="53">
        <v>48208.0</v>
      </c>
      <c r="F755" s="56" t="str">
        <f t="shared" si="1"/>
        <v>12/2031</v>
      </c>
      <c r="G755" s="57">
        <f t="shared" si="64"/>
        <v>2500.4</v>
      </c>
      <c r="H755" s="59">
        <f t="shared" si="63"/>
        <v>0</v>
      </c>
      <c r="I755" s="145"/>
    </row>
    <row r="756" ht="22.5" customHeight="1">
      <c r="A756" s="127" t="s">
        <v>2558</v>
      </c>
      <c r="B756" s="47" t="s">
        <v>152</v>
      </c>
      <c r="C756" s="128" t="s">
        <v>67</v>
      </c>
      <c r="D756" s="51" t="s">
        <v>67</v>
      </c>
      <c r="E756" s="53">
        <v>48239.0</v>
      </c>
      <c r="F756" s="56" t="str">
        <f t="shared" si="1"/>
        <v>1/2032</v>
      </c>
      <c r="G756" s="57">
        <f t="shared" si="64"/>
        <v>2500.4</v>
      </c>
      <c r="H756" s="59">
        <f t="shared" si="63"/>
        <v>0</v>
      </c>
      <c r="I756" s="145"/>
    </row>
    <row r="757" ht="22.5" customHeight="1">
      <c r="A757" s="127" t="s">
        <v>2558</v>
      </c>
      <c r="B757" s="47" t="s">
        <v>152</v>
      </c>
      <c r="C757" s="128" t="s">
        <v>67</v>
      </c>
      <c r="D757" s="51" t="s">
        <v>67</v>
      </c>
      <c r="E757" s="53">
        <v>48270.0</v>
      </c>
      <c r="F757" s="56" t="str">
        <f t="shared" si="1"/>
        <v>2/2032</v>
      </c>
      <c r="G757" s="57">
        <f t="shared" si="64"/>
        <v>2500.4</v>
      </c>
      <c r="H757" s="59">
        <f t="shared" si="63"/>
        <v>0</v>
      </c>
      <c r="I757" s="145"/>
    </row>
    <row r="758" ht="22.5" customHeight="1">
      <c r="A758" s="147"/>
      <c r="B758" s="131"/>
      <c r="C758" s="148"/>
      <c r="D758" s="51" t="s">
        <v>66</v>
      </c>
      <c r="E758" s="149"/>
      <c r="F758" s="56" t="str">
        <f t="shared" si="1"/>
        <v/>
      </c>
      <c r="G758" s="150"/>
      <c r="H758" s="59">
        <f t="shared" si="63"/>
        <v>0</v>
      </c>
      <c r="I758" s="145"/>
    </row>
    <row r="759" ht="22.5" customHeight="1">
      <c r="A759" s="147"/>
      <c r="B759" s="131"/>
      <c r="C759" s="148"/>
      <c r="D759" s="51" t="s">
        <v>66</v>
      </c>
      <c r="E759" s="149"/>
      <c r="F759" s="56" t="str">
        <f t="shared" si="1"/>
        <v/>
      </c>
      <c r="G759" s="150"/>
      <c r="H759" s="59">
        <f t="shared" si="63"/>
        <v>0</v>
      </c>
      <c r="I759" s="145"/>
    </row>
    <row r="760" ht="22.5" customHeight="1">
      <c r="A760" s="147"/>
      <c r="B760" s="131"/>
      <c r="C760" s="148"/>
      <c r="D760" s="51" t="s">
        <v>66</v>
      </c>
      <c r="E760" s="149"/>
      <c r="F760" s="56" t="str">
        <f t="shared" si="1"/>
        <v/>
      </c>
      <c r="G760" s="150"/>
      <c r="H760" s="59">
        <f t="shared" si="63"/>
        <v>0</v>
      </c>
      <c r="I760" s="145"/>
    </row>
    <row r="761" ht="22.5" customHeight="1">
      <c r="A761" s="147"/>
      <c r="B761" s="131"/>
      <c r="C761" s="148"/>
      <c r="D761" s="51" t="s">
        <v>66</v>
      </c>
      <c r="E761" s="149"/>
      <c r="F761" s="56" t="str">
        <f t="shared" si="1"/>
        <v/>
      </c>
      <c r="G761" s="150"/>
      <c r="H761" s="59">
        <f t="shared" si="63"/>
        <v>0</v>
      </c>
      <c r="I761" s="145"/>
    </row>
    <row r="762" ht="22.5" customHeight="1">
      <c r="A762" s="147"/>
      <c r="B762" s="131"/>
      <c r="C762" s="148"/>
      <c r="D762" s="51" t="s">
        <v>66</v>
      </c>
      <c r="E762" s="149"/>
      <c r="F762" s="56" t="str">
        <f t="shared" si="1"/>
        <v/>
      </c>
      <c r="G762" s="150"/>
      <c r="H762" s="59">
        <f t="shared" si="63"/>
        <v>0</v>
      </c>
      <c r="I762" s="145"/>
    </row>
    <row r="763" ht="22.5" customHeight="1">
      <c r="A763" s="147"/>
      <c r="B763" s="131"/>
      <c r="C763" s="148"/>
      <c r="D763" s="51" t="s">
        <v>66</v>
      </c>
      <c r="E763" s="149"/>
      <c r="F763" s="56" t="str">
        <f t="shared" si="1"/>
        <v/>
      </c>
      <c r="G763" s="150"/>
      <c r="H763" s="59">
        <f t="shared" si="63"/>
        <v>0</v>
      </c>
      <c r="I763" s="145"/>
    </row>
    <row r="764" ht="22.5" customHeight="1">
      <c r="A764" s="147"/>
      <c r="B764" s="131"/>
      <c r="C764" s="148"/>
      <c r="D764" s="51" t="s">
        <v>66</v>
      </c>
      <c r="E764" s="149"/>
      <c r="F764" s="56" t="str">
        <f t="shared" si="1"/>
        <v/>
      </c>
      <c r="G764" s="150"/>
      <c r="H764" s="59">
        <f t="shared" si="63"/>
        <v>0</v>
      </c>
      <c r="I764" s="145"/>
    </row>
    <row r="765" ht="22.5" customHeight="1">
      <c r="A765" s="147"/>
      <c r="B765" s="131"/>
      <c r="C765" s="148"/>
      <c r="D765" s="51" t="s">
        <v>66</v>
      </c>
      <c r="E765" s="149"/>
      <c r="F765" s="56" t="str">
        <f t="shared" si="1"/>
        <v/>
      </c>
      <c r="G765" s="150"/>
      <c r="H765" s="59">
        <f t="shared" si="63"/>
        <v>0</v>
      </c>
      <c r="I765" s="145"/>
    </row>
    <row r="766" ht="22.5" customHeight="1">
      <c r="A766" s="147"/>
      <c r="B766" s="131"/>
      <c r="C766" s="148"/>
      <c r="D766" s="51" t="s">
        <v>66</v>
      </c>
      <c r="E766" s="149"/>
      <c r="F766" s="56" t="str">
        <f t="shared" si="1"/>
        <v/>
      </c>
      <c r="G766" s="150"/>
      <c r="H766" s="59">
        <f t="shared" si="63"/>
        <v>0</v>
      </c>
      <c r="I766" s="145"/>
    </row>
    <row r="767" ht="22.5" customHeight="1">
      <c r="A767" s="147"/>
      <c r="B767" s="131"/>
      <c r="C767" s="148"/>
      <c r="D767" s="51" t="s">
        <v>66</v>
      </c>
      <c r="E767" s="149"/>
      <c r="F767" s="56" t="str">
        <f t="shared" si="1"/>
        <v/>
      </c>
      <c r="G767" s="150"/>
      <c r="H767" s="59">
        <f t="shared" si="63"/>
        <v>0</v>
      </c>
      <c r="I767" s="145"/>
    </row>
    <row r="768" ht="22.5" customHeight="1">
      <c r="A768" s="147"/>
      <c r="B768" s="131"/>
      <c r="C768" s="148"/>
      <c r="D768" s="51" t="s">
        <v>66</v>
      </c>
      <c r="E768" s="149"/>
      <c r="F768" s="56" t="str">
        <f t="shared" si="1"/>
        <v/>
      </c>
      <c r="G768" s="150"/>
      <c r="H768" s="59">
        <f t="shared" si="63"/>
        <v>0</v>
      </c>
      <c r="I768" s="145"/>
    </row>
    <row r="769" ht="22.5" customHeight="1">
      <c r="A769" s="147"/>
      <c r="B769" s="131"/>
      <c r="C769" s="148"/>
      <c r="D769" s="51" t="s">
        <v>66</v>
      </c>
      <c r="E769" s="149"/>
      <c r="F769" s="56" t="str">
        <f t="shared" si="1"/>
        <v/>
      </c>
      <c r="G769" s="150"/>
      <c r="H769" s="59">
        <f t="shared" si="63"/>
        <v>0</v>
      </c>
      <c r="I769" s="145"/>
    </row>
    <row r="770" ht="22.5" customHeight="1">
      <c r="A770" s="147"/>
      <c r="B770" s="131"/>
      <c r="C770" s="148"/>
      <c r="D770" s="51" t="s">
        <v>66</v>
      </c>
      <c r="E770" s="149"/>
      <c r="F770" s="56" t="str">
        <f t="shared" si="1"/>
        <v/>
      </c>
      <c r="G770" s="150"/>
      <c r="H770" s="59">
        <f t="shared" si="63"/>
        <v>0</v>
      </c>
      <c r="I770" s="145"/>
    </row>
    <row r="771" ht="22.5" customHeight="1">
      <c r="A771" s="147"/>
      <c r="B771" s="131"/>
      <c r="C771" s="148"/>
      <c r="D771" s="51" t="s">
        <v>66</v>
      </c>
      <c r="E771" s="149"/>
      <c r="F771" s="56" t="str">
        <f t="shared" si="1"/>
        <v/>
      </c>
      <c r="G771" s="150"/>
      <c r="H771" s="59">
        <f t="shared" si="63"/>
        <v>0</v>
      </c>
      <c r="I771" s="145"/>
    </row>
    <row r="772" ht="22.5" customHeight="1">
      <c r="A772" s="147"/>
      <c r="B772" s="131"/>
      <c r="C772" s="148"/>
      <c r="D772" s="51" t="s">
        <v>66</v>
      </c>
      <c r="E772" s="149"/>
      <c r="F772" s="56" t="str">
        <f t="shared" si="1"/>
        <v/>
      </c>
      <c r="G772" s="150"/>
      <c r="H772" s="59">
        <f t="shared" si="63"/>
        <v>0</v>
      </c>
      <c r="I772" s="145"/>
    </row>
    <row r="773" ht="22.5" customHeight="1">
      <c r="A773" s="147"/>
      <c r="B773" s="131"/>
      <c r="C773" s="148"/>
      <c r="D773" s="51" t="s">
        <v>66</v>
      </c>
      <c r="E773" s="149"/>
      <c r="F773" s="56" t="str">
        <f t="shared" si="1"/>
        <v/>
      </c>
      <c r="G773" s="150"/>
      <c r="H773" s="59">
        <f t="shared" si="63"/>
        <v>0</v>
      </c>
      <c r="I773" s="145"/>
    </row>
    <row r="774" ht="22.5" customHeight="1">
      <c r="A774" s="147"/>
      <c r="B774" s="131"/>
      <c r="C774" s="148"/>
      <c r="D774" s="51" t="s">
        <v>66</v>
      </c>
      <c r="E774" s="149"/>
      <c r="F774" s="56" t="str">
        <f t="shared" si="1"/>
        <v/>
      </c>
      <c r="G774" s="150"/>
      <c r="H774" s="59">
        <f t="shared" si="63"/>
        <v>0</v>
      </c>
      <c r="I774" s="145"/>
    </row>
    <row r="775" ht="22.5" customHeight="1">
      <c r="A775" s="147"/>
      <c r="B775" s="131"/>
      <c r="C775" s="148"/>
      <c r="D775" s="51" t="s">
        <v>66</v>
      </c>
      <c r="E775" s="149"/>
      <c r="F775" s="56" t="str">
        <f t="shared" si="1"/>
        <v/>
      </c>
      <c r="G775" s="150"/>
      <c r="H775" s="59">
        <f t="shared" si="63"/>
        <v>0</v>
      </c>
      <c r="I775" s="145"/>
    </row>
    <row r="776" ht="22.5" customHeight="1">
      <c r="A776" s="147"/>
      <c r="B776" s="131"/>
      <c r="C776" s="148"/>
      <c r="D776" s="51" t="s">
        <v>66</v>
      </c>
      <c r="E776" s="149"/>
      <c r="F776" s="56" t="str">
        <f t="shared" si="1"/>
        <v/>
      </c>
      <c r="G776" s="150"/>
      <c r="H776" s="59">
        <f t="shared" si="63"/>
        <v>0</v>
      </c>
      <c r="I776" s="145"/>
    </row>
    <row r="777" ht="22.5" customHeight="1">
      <c r="A777" s="147"/>
      <c r="B777" s="131"/>
      <c r="C777" s="148"/>
      <c r="D777" s="51" t="s">
        <v>66</v>
      </c>
      <c r="E777" s="149"/>
      <c r="F777" s="56" t="str">
        <f t="shared" si="1"/>
        <v/>
      </c>
      <c r="G777" s="150"/>
      <c r="H777" s="59">
        <f t="shared" si="63"/>
        <v>0</v>
      </c>
      <c r="I777" s="145"/>
    </row>
    <row r="778" ht="22.5" customHeight="1">
      <c r="A778" s="147"/>
      <c r="B778" s="131"/>
      <c r="C778" s="148"/>
      <c r="D778" s="51" t="s">
        <v>66</v>
      </c>
      <c r="E778" s="149"/>
      <c r="F778" s="56" t="str">
        <f t="shared" si="1"/>
        <v/>
      </c>
      <c r="G778" s="150"/>
      <c r="H778" s="59">
        <f t="shared" si="63"/>
        <v>0</v>
      </c>
      <c r="I778" s="145"/>
    </row>
    <row r="779" ht="22.5" customHeight="1">
      <c r="A779" s="147"/>
      <c r="B779" s="131"/>
      <c r="C779" s="148"/>
      <c r="D779" s="51" t="s">
        <v>66</v>
      </c>
      <c r="E779" s="149"/>
      <c r="F779" s="56" t="str">
        <f t="shared" si="1"/>
        <v/>
      </c>
      <c r="G779" s="150"/>
      <c r="H779" s="59">
        <f t="shared" si="63"/>
        <v>0</v>
      </c>
      <c r="I779" s="145"/>
    </row>
    <row r="780" ht="22.5" customHeight="1">
      <c r="A780" s="147"/>
      <c r="B780" s="131"/>
      <c r="C780" s="148"/>
      <c r="D780" s="51" t="s">
        <v>66</v>
      </c>
      <c r="E780" s="149"/>
      <c r="F780" s="56" t="str">
        <f t="shared" si="1"/>
        <v/>
      </c>
      <c r="G780" s="150"/>
      <c r="H780" s="59">
        <f t="shared" si="63"/>
        <v>0</v>
      </c>
      <c r="I780" s="145"/>
    </row>
    <row r="781" ht="22.5" customHeight="1">
      <c r="A781" s="147"/>
      <c r="B781" s="131"/>
      <c r="C781" s="148"/>
      <c r="D781" s="51" t="s">
        <v>66</v>
      </c>
      <c r="E781" s="149"/>
      <c r="F781" s="56" t="str">
        <f t="shared" si="1"/>
        <v/>
      </c>
      <c r="G781" s="150"/>
      <c r="H781" s="59">
        <f t="shared" si="63"/>
        <v>0</v>
      </c>
      <c r="I781" s="145"/>
    </row>
    <row r="782" ht="22.5" customHeight="1">
      <c r="A782" s="147"/>
      <c r="B782" s="131"/>
      <c r="C782" s="148"/>
      <c r="D782" s="51" t="s">
        <v>66</v>
      </c>
      <c r="E782" s="149"/>
      <c r="F782" s="56" t="str">
        <f t="shared" si="1"/>
        <v/>
      </c>
      <c r="G782" s="150"/>
      <c r="H782" s="59">
        <f t="shared" si="63"/>
        <v>0</v>
      </c>
      <c r="I782" s="145"/>
    </row>
    <row r="783" ht="22.5" customHeight="1">
      <c r="A783" s="147"/>
      <c r="B783" s="131"/>
      <c r="C783" s="148"/>
      <c r="D783" s="51" t="s">
        <v>66</v>
      </c>
      <c r="E783" s="149"/>
      <c r="F783" s="56" t="str">
        <f t="shared" si="1"/>
        <v/>
      </c>
      <c r="G783" s="150"/>
      <c r="H783" s="59">
        <f t="shared" si="63"/>
        <v>0</v>
      </c>
      <c r="I783" s="145"/>
    </row>
    <row r="784" ht="22.5" customHeight="1">
      <c r="A784" s="147"/>
      <c r="B784" s="131"/>
      <c r="C784" s="148"/>
      <c r="D784" s="51" t="s">
        <v>66</v>
      </c>
      <c r="E784" s="149"/>
      <c r="F784" s="56" t="str">
        <f t="shared" si="1"/>
        <v/>
      </c>
      <c r="G784" s="150"/>
      <c r="H784" s="59">
        <f t="shared" si="63"/>
        <v>0</v>
      </c>
      <c r="I784" s="145"/>
    </row>
    <row r="785" ht="22.5" customHeight="1">
      <c r="A785" s="147"/>
      <c r="B785" s="131"/>
      <c r="C785" s="148"/>
      <c r="D785" s="51" t="s">
        <v>66</v>
      </c>
      <c r="E785" s="149"/>
      <c r="F785" s="56" t="str">
        <f t="shared" si="1"/>
        <v/>
      </c>
      <c r="G785" s="150"/>
      <c r="H785" s="59">
        <f t="shared" si="63"/>
        <v>0</v>
      </c>
      <c r="I785" s="145"/>
    </row>
    <row r="786" ht="22.5" customHeight="1">
      <c r="A786" s="147"/>
      <c r="B786" s="131"/>
      <c r="C786" s="148"/>
      <c r="D786" s="51" t="s">
        <v>66</v>
      </c>
      <c r="E786" s="149"/>
      <c r="F786" s="56" t="str">
        <f t="shared" si="1"/>
        <v/>
      </c>
      <c r="G786" s="150"/>
      <c r="H786" s="59">
        <f t="shared" si="63"/>
        <v>0</v>
      </c>
      <c r="I786" s="145"/>
    </row>
    <row r="787" ht="22.5" customHeight="1">
      <c r="A787" s="147"/>
      <c r="B787" s="131"/>
      <c r="C787" s="148"/>
      <c r="D787" s="51" t="s">
        <v>66</v>
      </c>
      <c r="E787" s="149"/>
      <c r="F787" s="56" t="str">
        <f t="shared" si="1"/>
        <v/>
      </c>
      <c r="G787" s="150"/>
      <c r="H787" s="59">
        <f t="shared" si="63"/>
        <v>0</v>
      </c>
      <c r="I787" s="145"/>
    </row>
    <row r="788" ht="22.5" customHeight="1">
      <c r="A788" s="147"/>
      <c r="B788" s="131"/>
      <c r="C788" s="148"/>
      <c r="D788" s="51" t="s">
        <v>66</v>
      </c>
      <c r="E788" s="149"/>
      <c r="F788" s="56" t="str">
        <f t="shared" si="1"/>
        <v/>
      </c>
      <c r="G788" s="150"/>
      <c r="H788" s="59">
        <f t="shared" si="63"/>
        <v>0</v>
      </c>
      <c r="I788" s="145"/>
    </row>
    <row r="789" ht="22.5" customHeight="1">
      <c r="A789" s="147"/>
      <c r="B789" s="131"/>
      <c r="C789" s="148"/>
      <c r="D789" s="51" t="s">
        <v>66</v>
      </c>
      <c r="E789" s="149"/>
      <c r="F789" s="56" t="str">
        <f t="shared" si="1"/>
        <v/>
      </c>
      <c r="G789" s="150"/>
      <c r="H789" s="59">
        <f t="shared" si="63"/>
        <v>0</v>
      </c>
      <c r="I789" s="145"/>
    </row>
    <row r="790" ht="22.5" customHeight="1">
      <c r="A790" s="147"/>
      <c r="B790" s="131"/>
      <c r="C790" s="148"/>
      <c r="D790" s="51" t="s">
        <v>66</v>
      </c>
      <c r="E790" s="149"/>
      <c r="F790" s="56" t="str">
        <f t="shared" si="1"/>
        <v/>
      </c>
      <c r="G790" s="150"/>
      <c r="H790" s="59">
        <f t="shared" si="63"/>
        <v>0</v>
      </c>
      <c r="I790" s="145"/>
    </row>
    <row r="791" ht="22.5" customHeight="1">
      <c r="A791" s="147"/>
      <c r="B791" s="131"/>
      <c r="C791" s="148"/>
      <c r="D791" s="51" t="s">
        <v>66</v>
      </c>
      <c r="E791" s="149"/>
      <c r="F791" s="56" t="str">
        <f t="shared" si="1"/>
        <v/>
      </c>
      <c r="G791" s="150"/>
      <c r="H791" s="59">
        <f t="shared" si="63"/>
        <v>0</v>
      </c>
      <c r="I791" s="145"/>
    </row>
    <row r="792" ht="22.5" customHeight="1">
      <c r="A792" s="147"/>
      <c r="B792" s="131"/>
      <c r="C792" s="148"/>
      <c r="D792" s="51" t="s">
        <v>66</v>
      </c>
      <c r="E792" s="149"/>
      <c r="F792" s="56" t="str">
        <f t="shared" si="1"/>
        <v/>
      </c>
      <c r="G792" s="150"/>
      <c r="H792" s="59">
        <f t="shared" si="63"/>
        <v>0</v>
      </c>
      <c r="I792" s="145"/>
    </row>
    <row r="793" ht="22.5" customHeight="1">
      <c r="A793" s="147"/>
      <c r="B793" s="131"/>
      <c r="C793" s="148"/>
      <c r="D793" s="51" t="s">
        <v>66</v>
      </c>
      <c r="E793" s="149"/>
      <c r="F793" s="56" t="str">
        <f t="shared" si="1"/>
        <v/>
      </c>
      <c r="G793" s="150"/>
      <c r="H793" s="59">
        <f t="shared" si="63"/>
        <v>0</v>
      </c>
      <c r="I793" s="145"/>
    </row>
    <row r="794" ht="22.5" customHeight="1">
      <c r="A794" s="147"/>
      <c r="B794" s="131"/>
      <c r="C794" s="148"/>
      <c r="D794" s="51" t="s">
        <v>66</v>
      </c>
      <c r="E794" s="149"/>
      <c r="F794" s="56" t="str">
        <f t="shared" si="1"/>
        <v/>
      </c>
      <c r="G794" s="150"/>
      <c r="H794" s="59">
        <f t="shared" si="63"/>
        <v>0</v>
      </c>
      <c r="I794" s="145"/>
    </row>
    <row r="795" ht="22.5" customHeight="1">
      <c r="A795" s="147"/>
      <c r="B795" s="131"/>
      <c r="C795" s="148"/>
      <c r="D795" s="51" t="s">
        <v>66</v>
      </c>
      <c r="E795" s="149"/>
      <c r="F795" s="56" t="str">
        <f t="shared" si="1"/>
        <v/>
      </c>
      <c r="G795" s="150"/>
      <c r="H795" s="59">
        <f t="shared" si="63"/>
        <v>0</v>
      </c>
      <c r="I795" s="145"/>
    </row>
    <row r="796" ht="22.5" customHeight="1">
      <c r="A796" s="147"/>
      <c r="B796" s="131"/>
      <c r="C796" s="148"/>
      <c r="D796" s="51" t="s">
        <v>66</v>
      </c>
      <c r="E796" s="149"/>
      <c r="F796" s="56" t="str">
        <f t="shared" si="1"/>
        <v/>
      </c>
      <c r="G796" s="150"/>
      <c r="H796" s="59">
        <f t="shared" si="63"/>
        <v>0</v>
      </c>
      <c r="I796" s="145"/>
    </row>
    <row r="797" ht="22.5" customHeight="1">
      <c r="A797" s="147"/>
      <c r="B797" s="131"/>
      <c r="C797" s="148"/>
      <c r="D797" s="51" t="s">
        <v>66</v>
      </c>
      <c r="E797" s="149"/>
      <c r="F797" s="56" t="str">
        <f t="shared" si="1"/>
        <v/>
      </c>
      <c r="G797" s="150"/>
      <c r="H797" s="59">
        <f t="shared" si="63"/>
        <v>0</v>
      </c>
      <c r="I797" s="145"/>
    </row>
    <row r="798" ht="22.5" customHeight="1">
      <c r="A798" s="147"/>
      <c r="B798" s="131"/>
      <c r="C798" s="148"/>
      <c r="D798" s="51" t="s">
        <v>66</v>
      </c>
      <c r="E798" s="149"/>
      <c r="F798" s="56" t="str">
        <f t="shared" si="1"/>
        <v/>
      </c>
      <c r="G798" s="150"/>
      <c r="H798" s="59">
        <f t="shared" si="63"/>
        <v>0</v>
      </c>
      <c r="I798" s="145"/>
    </row>
    <row r="799" ht="22.5" customHeight="1">
      <c r="A799" s="147"/>
      <c r="B799" s="131"/>
      <c r="C799" s="148"/>
      <c r="D799" s="51" t="s">
        <v>66</v>
      </c>
      <c r="E799" s="149"/>
      <c r="F799" s="56" t="str">
        <f t="shared" si="1"/>
        <v/>
      </c>
      <c r="G799" s="150"/>
      <c r="H799" s="59">
        <f t="shared" si="63"/>
        <v>0</v>
      </c>
      <c r="I799" s="145"/>
    </row>
    <row r="800" ht="22.5" customHeight="1">
      <c r="A800" s="147"/>
      <c r="B800" s="131"/>
      <c r="C800" s="148"/>
      <c r="D800" s="51" t="s">
        <v>66</v>
      </c>
      <c r="E800" s="149"/>
      <c r="F800" s="56" t="str">
        <f t="shared" si="1"/>
        <v/>
      </c>
      <c r="G800" s="150"/>
      <c r="H800" s="59">
        <f t="shared" si="63"/>
        <v>0</v>
      </c>
      <c r="I800" s="145"/>
    </row>
    <row r="801" ht="22.5" customHeight="1">
      <c r="A801" s="147"/>
      <c r="B801" s="131"/>
      <c r="C801" s="148"/>
      <c r="D801" s="51" t="s">
        <v>66</v>
      </c>
      <c r="E801" s="149"/>
      <c r="F801" s="56" t="str">
        <f t="shared" si="1"/>
        <v/>
      </c>
      <c r="G801" s="150"/>
      <c r="H801" s="59">
        <f t="shared" si="63"/>
        <v>0</v>
      </c>
      <c r="I801" s="145"/>
    </row>
    <row r="802" ht="22.5" customHeight="1">
      <c r="A802" s="147"/>
      <c r="B802" s="131"/>
      <c r="C802" s="148"/>
      <c r="D802" s="51" t="s">
        <v>66</v>
      </c>
      <c r="E802" s="149"/>
      <c r="F802" s="56" t="str">
        <f t="shared" si="1"/>
        <v/>
      </c>
      <c r="G802" s="150"/>
      <c r="H802" s="59">
        <f t="shared" si="63"/>
        <v>0</v>
      </c>
      <c r="I802" s="145"/>
    </row>
    <row r="803" ht="22.5" customHeight="1">
      <c r="A803" s="147"/>
      <c r="B803" s="131"/>
      <c r="C803" s="148"/>
      <c r="D803" s="51" t="s">
        <v>66</v>
      </c>
      <c r="E803" s="149"/>
      <c r="F803" s="56" t="str">
        <f t="shared" si="1"/>
        <v/>
      </c>
      <c r="G803" s="150"/>
      <c r="H803" s="59">
        <f t="shared" si="63"/>
        <v>0</v>
      </c>
      <c r="I803" s="145"/>
    </row>
    <row r="804" ht="22.5" customHeight="1">
      <c r="A804" s="147"/>
      <c r="B804" s="131"/>
      <c r="C804" s="148"/>
      <c r="D804" s="51" t="s">
        <v>66</v>
      </c>
      <c r="E804" s="149"/>
      <c r="F804" s="56" t="str">
        <f t="shared" si="1"/>
        <v/>
      </c>
      <c r="G804" s="150"/>
      <c r="H804" s="59">
        <f t="shared" si="63"/>
        <v>0</v>
      </c>
      <c r="I804" s="145"/>
    </row>
    <row r="805" ht="22.5" customHeight="1">
      <c r="A805" s="147"/>
      <c r="B805" s="131"/>
      <c r="C805" s="148"/>
      <c r="D805" s="51" t="s">
        <v>66</v>
      </c>
      <c r="E805" s="149"/>
      <c r="F805" s="56" t="str">
        <f t="shared" si="1"/>
        <v/>
      </c>
      <c r="G805" s="150"/>
      <c r="H805" s="59">
        <f t="shared" si="63"/>
        <v>0</v>
      </c>
      <c r="I805" s="145"/>
    </row>
    <row r="806" ht="22.5" customHeight="1">
      <c r="A806" s="147"/>
      <c r="B806" s="131"/>
      <c r="C806" s="148"/>
      <c r="D806" s="51" t="s">
        <v>66</v>
      </c>
      <c r="E806" s="149"/>
      <c r="F806" s="56" t="str">
        <f t="shared" si="1"/>
        <v/>
      </c>
      <c r="G806" s="150"/>
      <c r="H806" s="59">
        <f t="shared" si="63"/>
        <v>0</v>
      </c>
      <c r="I806" s="145"/>
    </row>
    <row r="807" ht="22.5" customHeight="1">
      <c r="A807" s="147"/>
      <c r="B807" s="131"/>
      <c r="C807" s="148"/>
      <c r="D807" s="51" t="s">
        <v>66</v>
      </c>
      <c r="E807" s="149"/>
      <c r="F807" s="56" t="str">
        <f t="shared" si="1"/>
        <v/>
      </c>
      <c r="G807" s="150"/>
      <c r="H807" s="59">
        <f t="shared" si="63"/>
        <v>0</v>
      </c>
      <c r="I807" s="145"/>
    </row>
    <row r="808" ht="22.5" customHeight="1">
      <c r="A808" s="147"/>
      <c r="B808" s="131"/>
      <c r="C808" s="148"/>
      <c r="D808" s="51" t="s">
        <v>66</v>
      </c>
      <c r="E808" s="149"/>
      <c r="F808" s="56" t="str">
        <f t="shared" si="1"/>
        <v/>
      </c>
      <c r="G808" s="150"/>
      <c r="H808" s="59">
        <f t="shared" si="63"/>
        <v>0</v>
      </c>
      <c r="I808" s="145"/>
    </row>
    <row r="809" ht="22.5" customHeight="1">
      <c r="A809" s="147"/>
      <c r="B809" s="131"/>
      <c r="C809" s="148"/>
      <c r="D809" s="51" t="s">
        <v>66</v>
      </c>
      <c r="E809" s="149"/>
      <c r="F809" s="56" t="str">
        <f t="shared" si="1"/>
        <v/>
      </c>
      <c r="G809" s="150"/>
      <c r="H809" s="59">
        <f t="shared" si="63"/>
        <v>0</v>
      </c>
      <c r="I809" s="145"/>
    </row>
    <row r="810" ht="22.5" customHeight="1">
      <c r="A810" s="147"/>
      <c r="B810" s="131"/>
      <c r="C810" s="148"/>
      <c r="D810" s="51" t="s">
        <v>66</v>
      </c>
      <c r="E810" s="149"/>
      <c r="F810" s="56" t="str">
        <f t="shared" si="1"/>
        <v/>
      </c>
      <c r="G810" s="150"/>
      <c r="H810" s="59">
        <f t="shared" si="63"/>
        <v>0</v>
      </c>
      <c r="I810" s="145"/>
    </row>
    <row r="811" ht="22.5" customHeight="1">
      <c r="A811" s="147"/>
      <c r="B811" s="131"/>
      <c r="C811" s="148"/>
      <c r="D811" s="51" t="s">
        <v>66</v>
      </c>
      <c r="E811" s="149"/>
      <c r="F811" s="56" t="str">
        <f t="shared" si="1"/>
        <v/>
      </c>
      <c r="G811" s="150"/>
      <c r="H811" s="59">
        <f t="shared" si="63"/>
        <v>0</v>
      </c>
      <c r="I811" s="145"/>
    </row>
    <row r="812" ht="22.5" customHeight="1">
      <c r="A812" s="147"/>
      <c r="B812" s="131"/>
      <c r="C812" s="148"/>
      <c r="D812" s="51" t="s">
        <v>66</v>
      </c>
      <c r="E812" s="149"/>
      <c r="F812" s="56" t="str">
        <f t="shared" si="1"/>
        <v/>
      </c>
      <c r="G812" s="150"/>
      <c r="H812" s="59">
        <f t="shared" si="63"/>
        <v>0</v>
      </c>
      <c r="I812" s="145"/>
    </row>
    <row r="813" ht="22.5" customHeight="1">
      <c r="A813" s="147"/>
      <c r="B813" s="131"/>
      <c r="C813" s="148"/>
      <c r="D813" s="51" t="s">
        <v>66</v>
      </c>
      <c r="E813" s="149"/>
      <c r="F813" s="56" t="str">
        <f t="shared" si="1"/>
        <v/>
      </c>
      <c r="G813" s="150"/>
      <c r="H813" s="59">
        <f t="shared" si="63"/>
        <v>0</v>
      </c>
      <c r="I813" s="145"/>
    </row>
    <row r="814" ht="22.5" customHeight="1">
      <c r="A814" s="147"/>
      <c r="B814" s="131"/>
      <c r="C814" s="148"/>
      <c r="D814" s="51" t="s">
        <v>66</v>
      </c>
      <c r="E814" s="149"/>
      <c r="F814" s="56" t="str">
        <f t="shared" si="1"/>
        <v/>
      </c>
      <c r="G814" s="150"/>
      <c r="H814" s="59">
        <f t="shared" si="63"/>
        <v>0</v>
      </c>
      <c r="I814" s="145"/>
    </row>
    <row r="815" ht="22.5" customHeight="1">
      <c r="A815" s="147"/>
      <c r="B815" s="131"/>
      <c r="C815" s="148"/>
      <c r="D815" s="51" t="s">
        <v>66</v>
      </c>
      <c r="E815" s="149"/>
      <c r="F815" s="56" t="str">
        <f t="shared" si="1"/>
        <v/>
      </c>
      <c r="G815" s="150"/>
      <c r="H815" s="59">
        <f t="shared" si="63"/>
        <v>0</v>
      </c>
      <c r="I815" s="145"/>
    </row>
    <row r="816" ht="22.5" customHeight="1">
      <c r="A816" s="147"/>
      <c r="B816" s="131"/>
      <c r="C816" s="148"/>
      <c r="D816" s="51" t="s">
        <v>66</v>
      </c>
      <c r="E816" s="149"/>
      <c r="F816" s="56" t="str">
        <f t="shared" si="1"/>
        <v/>
      </c>
      <c r="G816" s="150"/>
      <c r="H816" s="59">
        <f t="shared" si="63"/>
        <v>0</v>
      </c>
      <c r="I816" s="145"/>
    </row>
    <row r="817" ht="22.5" customHeight="1">
      <c r="A817" s="147"/>
      <c r="B817" s="131"/>
      <c r="C817" s="148"/>
      <c r="D817" s="51" t="s">
        <v>66</v>
      </c>
      <c r="E817" s="149"/>
      <c r="F817" s="56" t="str">
        <f t="shared" si="1"/>
        <v/>
      </c>
      <c r="G817" s="150"/>
      <c r="H817" s="59">
        <f t="shared" si="63"/>
        <v>0</v>
      </c>
      <c r="I817" s="145"/>
    </row>
    <row r="818" ht="22.5" customHeight="1">
      <c r="A818" s="147"/>
      <c r="B818" s="131"/>
      <c r="C818" s="148"/>
      <c r="D818" s="51" t="s">
        <v>66</v>
      </c>
      <c r="E818" s="149"/>
      <c r="F818" s="56" t="str">
        <f t="shared" si="1"/>
        <v/>
      </c>
      <c r="G818" s="150"/>
      <c r="H818" s="59">
        <f t="shared" si="63"/>
        <v>0</v>
      </c>
      <c r="I818" s="145"/>
    </row>
    <row r="819" ht="22.5" customHeight="1">
      <c r="A819" s="147"/>
      <c r="B819" s="131"/>
      <c r="C819" s="148"/>
      <c r="D819" s="51" t="s">
        <v>66</v>
      </c>
      <c r="E819" s="149"/>
      <c r="F819" s="56" t="str">
        <f t="shared" si="1"/>
        <v/>
      </c>
      <c r="G819" s="150"/>
      <c r="H819" s="59">
        <f t="shared" si="63"/>
        <v>0</v>
      </c>
      <c r="I819" s="145"/>
    </row>
    <row r="820" ht="22.5" customHeight="1">
      <c r="A820" s="147"/>
      <c r="B820" s="131"/>
      <c r="C820" s="148"/>
      <c r="D820" s="51" t="s">
        <v>66</v>
      </c>
      <c r="E820" s="149"/>
      <c r="F820" s="56" t="str">
        <f t="shared" si="1"/>
        <v/>
      </c>
      <c r="G820" s="150"/>
      <c r="H820" s="59">
        <f t="shared" si="63"/>
        <v>0</v>
      </c>
      <c r="I820" s="145"/>
    </row>
    <row r="821" ht="22.5" customHeight="1">
      <c r="A821" s="147"/>
      <c r="B821" s="131"/>
      <c r="C821" s="148"/>
      <c r="D821" s="51" t="s">
        <v>66</v>
      </c>
      <c r="E821" s="149"/>
      <c r="F821" s="56" t="str">
        <f t="shared" si="1"/>
        <v/>
      </c>
      <c r="G821" s="150"/>
      <c r="H821" s="59">
        <f t="shared" si="63"/>
        <v>0</v>
      </c>
      <c r="I821" s="145"/>
    </row>
    <row r="822" ht="22.5" customHeight="1">
      <c r="A822" s="147"/>
      <c r="B822" s="131"/>
      <c r="C822" s="148"/>
      <c r="D822" s="51" t="s">
        <v>66</v>
      </c>
      <c r="E822" s="149"/>
      <c r="F822" s="56" t="str">
        <f t="shared" si="1"/>
        <v/>
      </c>
      <c r="G822" s="150"/>
      <c r="H822" s="59">
        <f t="shared" si="63"/>
        <v>0</v>
      </c>
      <c r="I822" s="145"/>
    </row>
    <row r="823" ht="22.5" customHeight="1">
      <c r="A823" s="147"/>
      <c r="B823" s="131"/>
      <c r="C823" s="148"/>
      <c r="D823" s="51" t="s">
        <v>66</v>
      </c>
      <c r="E823" s="149"/>
      <c r="F823" s="56" t="str">
        <f t="shared" si="1"/>
        <v/>
      </c>
      <c r="G823" s="150"/>
      <c r="H823" s="59">
        <f t="shared" si="63"/>
        <v>0</v>
      </c>
      <c r="I823" s="145"/>
    </row>
    <row r="824" ht="22.5" customHeight="1">
      <c r="A824" s="147"/>
      <c r="B824" s="131"/>
      <c r="C824" s="148"/>
      <c r="D824" s="51" t="s">
        <v>66</v>
      </c>
      <c r="E824" s="149"/>
      <c r="F824" s="56" t="str">
        <f t="shared" si="1"/>
        <v/>
      </c>
      <c r="G824" s="150"/>
      <c r="H824" s="59">
        <f t="shared" si="63"/>
        <v>0</v>
      </c>
      <c r="I824" s="145"/>
    </row>
    <row r="825" ht="22.5" customHeight="1">
      <c r="A825" s="147"/>
      <c r="B825" s="131"/>
      <c r="C825" s="148"/>
      <c r="D825" s="51" t="s">
        <v>66</v>
      </c>
      <c r="E825" s="149"/>
      <c r="F825" s="56" t="str">
        <f t="shared" si="1"/>
        <v/>
      </c>
      <c r="G825" s="150"/>
      <c r="H825" s="59">
        <f t="shared" si="63"/>
        <v>0</v>
      </c>
      <c r="I825" s="145"/>
    </row>
    <row r="826" ht="22.5" customHeight="1">
      <c r="A826" s="147"/>
      <c r="B826" s="131"/>
      <c r="C826" s="148"/>
      <c r="D826" s="51" t="s">
        <v>66</v>
      </c>
      <c r="E826" s="149"/>
      <c r="F826" s="56" t="str">
        <f t="shared" si="1"/>
        <v/>
      </c>
      <c r="G826" s="150"/>
      <c r="H826" s="59">
        <f t="shared" si="63"/>
        <v>0</v>
      </c>
      <c r="I826" s="145"/>
    </row>
    <row r="827" ht="22.5" customHeight="1">
      <c r="A827" s="147"/>
      <c r="B827" s="131"/>
      <c r="C827" s="148"/>
      <c r="D827" s="51" t="s">
        <v>66</v>
      </c>
      <c r="E827" s="149"/>
      <c r="F827" s="56" t="str">
        <f t="shared" si="1"/>
        <v/>
      </c>
      <c r="G827" s="150"/>
      <c r="H827" s="59">
        <f t="shared" si="63"/>
        <v>0</v>
      </c>
      <c r="I827" s="145"/>
    </row>
    <row r="828" ht="22.5" customHeight="1">
      <c r="A828" s="147"/>
      <c r="B828" s="131"/>
      <c r="C828" s="148"/>
      <c r="D828" s="51" t="s">
        <v>66</v>
      </c>
      <c r="E828" s="149"/>
      <c r="F828" s="56" t="str">
        <f t="shared" si="1"/>
        <v/>
      </c>
      <c r="G828" s="150"/>
      <c r="H828" s="59">
        <f t="shared" si="63"/>
        <v>0</v>
      </c>
      <c r="I828" s="145"/>
    </row>
    <row r="829" ht="22.5" customHeight="1">
      <c r="A829" s="147"/>
      <c r="B829" s="131"/>
      <c r="C829" s="148"/>
      <c r="D829" s="51" t="s">
        <v>66</v>
      </c>
      <c r="E829" s="149"/>
      <c r="F829" s="56" t="str">
        <f t="shared" si="1"/>
        <v/>
      </c>
      <c r="G829" s="150"/>
      <c r="H829" s="59">
        <f t="shared" si="63"/>
        <v>0</v>
      </c>
      <c r="I829" s="145"/>
    </row>
    <row r="830" ht="22.5" customHeight="1">
      <c r="A830" s="147"/>
      <c r="B830" s="131"/>
      <c r="C830" s="148"/>
      <c r="D830" s="51" t="s">
        <v>66</v>
      </c>
      <c r="E830" s="149"/>
      <c r="F830" s="56" t="str">
        <f t="shared" si="1"/>
        <v/>
      </c>
      <c r="G830" s="150"/>
      <c r="H830" s="59">
        <f t="shared" si="63"/>
        <v>0</v>
      </c>
      <c r="I830" s="145"/>
    </row>
    <row r="831" ht="22.5" customHeight="1">
      <c r="A831" s="147"/>
      <c r="B831" s="131"/>
      <c r="C831" s="148"/>
      <c r="D831" s="51" t="s">
        <v>66</v>
      </c>
      <c r="E831" s="149"/>
      <c r="F831" s="56" t="str">
        <f t="shared" si="1"/>
        <v/>
      </c>
      <c r="G831" s="150"/>
      <c r="H831" s="59">
        <f t="shared" si="63"/>
        <v>0</v>
      </c>
      <c r="I831" s="145"/>
    </row>
    <row r="832" ht="22.5" customHeight="1">
      <c r="A832" s="147"/>
      <c r="B832" s="131"/>
      <c r="C832" s="148"/>
      <c r="D832" s="51" t="s">
        <v>66</v>
      </c>
      <c r="E832" s="149"/>
      <c r="F832" s="56" t="str">
        <f t="shared" si="1"/>
        <v/>
      </c>
      <c r="G832" s="150"/>
      <c r="H832" s="59">
        <f t="shared" si="63"/>
        <v>0</v>
      </c>
      <c r="I832" s="145"/>
    </row>
    <row r="833" ht="22.5" customHeight="1">
      <c r="A833" s="147"/>
      <c r="B833" s="131"/>
      <c r="C833" s="148"/>
      <c r="D833" s="51" t="s">
        <v>66</v>
      </c>
      <c r="E833" s="149"/>
      <c r="F833" s="56" t="str">
        <f t="shared" si="1"/>
        <v/>
      </c>
      <c r="G833" s="150"/>
      <c r="H833" s="59">
        <f t="shared" si="63"/>
        <v>0</v>
      </c>
      <c r="I833" s="145"/>
    </row>
    <row r="834" ht="22.5" customHeight="1">
      <c r="A834" s="147"/>
      <c r="B834" s="131"/>
      <c r="C834" s="148"/>
      <c r="D834" s="51" t="s">
        <v>66</v>
      </c>
      <c r="E834" s="149"/>
      <c r="F834" s="56" t="str">
        <f t="shared" si="1"/>
        <v/>
      </c>
      <c r="G834" s="150"/>
      <c r="H834" s="59">
        <f t="shared" si="63"/>
        <v>0</v>
      </c>
      <c r="I834" s="145"/>
    </row>
    <row r="835" ht="22.5" customHeight="1">
      <c r="A835" s="147"/>
      <c r="B835" s="131"/>
      <c r="C835" s="148"/>
      <c r="D835" s="51" t="s">
        <v>66</v>
      </c>
      <c r="E835" s="149"/>
      <c r="F835" s="56" t="str">
        <f t="shared" si="1"/>
        <v/>
      </c>
      <c r="G835" s="150"/>
      <c r="H835" s="59">
        <f t="shared" si="63"/>
        <v>0</v>
      </c>
      <c r="I835" s="145"/>
    </row>
    <row r="836" ht="22.5" customHeight="1">
      <c r="A836" s="147"/>
      <c r="B836" s="131"/>
      <c r="C836" s="148"/>
      <c r="D836" s="51" t="s">
        <v>66</v>
      </c>
      <c r="E836" s="149"/>
      <c r="F836" s="56" t="str">
        <f t="shared" si="1"/>
        <v/>
      </c>
      <c r="G836" s="150"/>
      <c r="H836" s="59">
        <f t="shared" si="63"/>
        <v>0</v>
      </c>
      <c r="I836" s="145"/>
    </row>
    <row r="837" ht="22.5" customHeight="1">
      <c r="A837" s="147"/>
      <c r="B837" s="131"/>
      <c r="C837" s="148"/>
      <c r="D837" s="51" t="s">
        <v>66</v>
      </c>
      <c r="E837" s="149"/>
      <c r="F837" s="56" t="str">
        <f t="shared" si="1"/>
        <v/>
      </c>
      <c r="G837" s="150"/>
      <c r="H837" s="59">
        <f t="shared" si="63"/>
        <v>0</v>
      </c>
      <c r="I837" s="145"/>
    </row>
    <row r="838" ht="22.5" customHeight="1">
      <c r="A838" s="147"/>
      <c r="B838" s="131"/>
      <c r="C838" s="148"/>
      <c r="D838" s="51" t="s">
        <v>66</v>
      </c>
      <c r="E838" s="149"/>
      <c r="F838" s="56" t="str">
        <f t="shared" si="1"/>
        <v/>
      </c>
      <c r="G838" s="150"/>
      <c r="H838" s="59">
        <f t="shared" si="63"/>
        <v>0</v>
      </c>
      <c r="I838" s="145"/>
    </row>
    <row r="839" ht="22.5" customHeight="1">
      <c r="A839" s="147"/>
      <c r="B839" s="131"/>
      <c r="C839" s="148"/>
      <c r="D839" s="51" t="s">
        <v>66</v>
      </c>
      <c r="E839" s="149"/>
      <c r="F839" s="56" t="str">
        <f t="shared" si="1"/>
        <v/>
      </c>
      <c r="G839" s="150"/>
      <c r="H839" s="59">
        <f t="shared" si="63"/>
        <v>0</v>
      </c>
      <c r="I839" s="145"/>
    </row>
    <row r="840" ht="22.5" customHeight="1">
      <c r="A840" s="147"/>
      <c r="B840" s="131"/>
      <c r="C840" s="148"/>
      <c r="D840" s="51" t="s">
        <v>66</v>
      </c>
      <c r="E840" s="149"/>
      <c r="F840" s="56" t="str">
        <f t="shared" si="1"/>
        <v/>
      </c>
      <c r="G840" s="150"/>
      <c r="H840" s="59">
        <f t="shared" si="63"/>
        <v>0</v>
      </c>
      <c r="I840" s="145"/>
    </row>
    <row r="841" ht="22.5" customHeight="1">
      <c r="A841" s="147"/>
      <c r="B841" s="131"/>
      <c r="C841" s="148"/>
      <c r="D841" s="51" t="s">
        <v>66</v>
      </c>
      <c r="E841" s="149"/>
      <c r="F841" s="56" t="str">
        <f t="shared" si="1"/>
        <v/>
      </c>
      <c r="G841" s="150"/>
      <c r="H841" s="59">
        <f t="shared" si="63"/>
        <v>0</v>
      </c>
      <c r="I841" s="145"/>
    </row>
    <row r="842" ht="22.5" customHeight="1">
      <c r="A842" s="147"/>
      <c r="B842" s="131"/>
      <c r="C842" s="148"/>
      <c r="D842" s="51" t="s">
        <v>66</v>
      </c>
      <c r="E842" s="149"/>
      <c r="F842" s="56" t="str">
        <f t="shared" si="1"/>
        <v/>
      </c>
      <c r="G842" s="150"/>
      <c r="H842" s="59">
        <f t="shared" si="63"/>
        <v>0</v>
      </c>
      <c r="I842" s="145"/>
    </row>
    <row r="843" ht="22.5" customHeight="1">
      <c r="A843" s="147"/>
      <c r="B843" s="131"/>
      <c r="C843" s="148"/>
      <c r="D843" s="51" t="s">
        <v>66</v>
      </c>
      <c r="E843" s="149"/>
      <c r="F843" s="56" t="str">
        <f t="shared" si="1"/>
        <v/>
      </c>
      <c r="G843" s="150"/>
      <c r="H843" s="59">
        <f t="shared" si="63"/>
        <v>0</v>
      </c>
      <c r="I843" s="145"/>
    </row>
    <row r="844" ht="22.5" customHeight="1">
      <c r="A844" s="147"/>
      <c r="B844" s="131"/>
      <c r="C844" s="148"/>
      <c r="D844" s="51" t="s">
        <v>66</v>
      </c>
      <c r="E844" s="149"/>
      <c r="F844" s="56" t="str">
        <f t="shared" si="1"/>
        <v/>
      </c>
      <c r="G844" s="150"/>
      <c r="H844" s="59">
        <f t="shared" si="63"/>
        <v>0</v>
      </c>
      <c r="I844" s="145"/>
    </row>
    <row r="845" ht="22.5" customHeight="1">
      <c r="A845" s="147"/>
      <c r="B845" s="131"/>
      <c r="C845" s="148"/>
      <c r="D845" s="51" t="s">
        <v>66</v>
      </c>
      <c r="E845" s="149"/>
      <c r="F845" s="56" t="str">
        <f t="shared" si="1"/>
        <v/>
      </c>
      <c r="G845" s="150"/>
      <c r="H845" s="59">
        <f t="shared" si="63"/>
        <v>0</v>
      </c>
      <c r="I845" s="145"/>
    </row>
    <row r="846" ht="22.5" customHeight="1">
      <c r="A846" s="147"/>
      <c r="B846" s="131"/>
      <c r="C846" s="148"/>
      <c r="D846" s="51" t="s">
        <v>66</v>
      </c>
      <c r="E846" s="149"/>
      <c r="F846" s="56" t="str">
        <f t="shared" si="1"/>
        <v/>
      </c>
      <c r="G846" s="150"/>
      <c r="H846" s="59">
        <f t="shared" si="63"/>
        <v>0</v>
      </c>
      <c r="I846" s="145"/>
    </row>
    <row r="847" ht="22.5" customHeight="1">
      <c r="A847" s="147"/>
      <c r="B847" s="131"/>
      <c r="C847" s="148"/>
      <c r="D847" s="51" t="s">
        <v>66</v>
      </c>
      <c r="E847" s="149"/>
      <c r="F847" s="56" t="str">
        <f t="shared" si="1"/>
        <v/>
      </c>
      <c r="G847" s="150"/>
      <c r="H847" s="59">
        <f t="shared" si="63"/>
        <v>0</v>
      </c>
      <c r="I847" s="145"/>
    </row>
    <row r="848" ht="22.5" customHeight="1">
      <c r="A848" s="147"/>
      <c r="B848" s="131"/>
      <c r="C848" s="148"/>
      <c r="D848" s="51" t="s">
        <v>66</v>
      </c>
      <c r="E848" s="149"/>
      <c r="F848" s="56" t="str">
        <f t="shared" si="1"/>
        <v/>
      </c>
      <c r="G848" s="150"/>
      <c r="H848" s="59">
        <f t="shared" si="63"/>
        <v>0</v>
      </c>
      <c r="I848" s="145"/>
    </row>
    <row r="849" ht="22.5" customHeight="1">
      <c r="A849" s="147"/>
      <c r="B849" s="131"/>
      <c r="C849" s="148"/>
      <c r="D849" s="51" t="s">
        <v>66</v>
      </c>
      <c r="E849" s="149"/>
      <c r="F849" s="56" t="str">
        <f t="shared" si="1"/>
        <v/>
      </c>
      <c r="G849" s="150"/>
      <c r="H849" s="59">
        <f t="shared" si="63"/>
        <v>0</v>
      </c>
      <c r="I849" s="145"/>
    </row>
    <row r="850" ht="22.5" customHeight="1">
      <c r="A850" s="147"/>
      <c r="B850" s="131"/>
      <c r="C850" s="148"/>
      <c r="D850" s="51" t="s">
        <v>66</v>
      </c>
      <c r="E850" s="149"/>
      <c r="F850" s="56" t="str">
        <f t="shared" si="1"/>
        <v/>
      </c>
      <c r="G850" s="150"/>
      <c r="H850" s="59">
        <f t="shared" si="63"/>
        <v>0</v>
      </c>
      <c r="I850" s="145"/>
    </row>
    <row r="851" ht="22.5" customHeight="1">
      <c r="A851" s="147"/>
      <c r="B851" s="131"/>
      <c r="C851" s="148"/>
      <c r="D851" s="51" t="s">
        <v>66</v>
      </c>
      <c r="E851" s="149"/>
      <c r="F851" s="56" t="str">
        <f t="shared" si="1"/>
        <v/>
      </c>
      <c r="G851" s="150"/>
      <c r="H851" s="59">
        <f t="shared" si="63"/>
        <v>0</v>
      </c>
      <c r="I851" s="145"/>
    </row>
    <row r="852" ht="22.5" customHeight="1">
      <c r="A852" s="147"/>
      <c r="B852" s="131"/>
      <c r="C852" s="148"/>
      <c r="D852" s="51" t="s">
        <v>66</v>
      </c>
      <c r="E852" s="149"/>
      <c r="F852" s="56" t="str">
        <f t="shared" si="1"/>
        <v/>
      </c>
      <c r="G852" s="150"/>
      <c r="H852" s="59">
        <f t="shared" si="63"/>
        <v>0</v>
      </c>
      <c r="I852" s="145"/>
    </row>
    <row r="853" ht="22.5" customHeight="1">
      <c r="A853" s="147"/>
      <c r="B853" s="131"/>
      <c r="C853" s="148"/>
      <c r="D853" s="51" t="s">
        <v>66</v>
      </c>
      <c r="E853" s="149"/>
      <c r="F853" s="56" t="str">
        <f t="shared" si="1"/>
        <v/>
      </c>
      <c r="G853" s="150"/>
      <c r="H853" s="59">
        <f t="shared" si="63"/>
        <v>0</v>
      </c>
      <c r="I853" s="145"/>
    </row>
    <row r="854" ht="22.5" customHeight="1">
      <c r="A854" s="147"/>
      <c r="B854" s="131"/>
      <c r="C854" s="148"/>
      <c r="D854" s="51" t="s">
        <v>66</v>
      </c>
      <c r="E854" s="149"/>
      <c r="F854" s="56" t="str">
        <f t="shared" si="1"/>
        <v/>
      </c>
      <c r="G854" s="150"/>
      <c r="H854" s="59">
        <f t="shared" si="63"/>
        <v>0</v>
      </c>
      <c r="I854" s="145"/>
    </row>
    <row r="855" ht="22.5" customHeight="1">
      <c r="A855" s="147"/>
      <c r="B855" s="131"/>
      <c r="C855" s="148"/>
      <c r="D855" s="51" t="s">
        <v>66</v>
      </c>
      <c r="E855" s="149"/>
      <c r="F855" s="56" t="str">
        <f t="shared" si="1"/>
        <v/>
      </c>
      <c r="G855" s="150"/>
      <c r="H855" s="59">
        <f t="shared" si="63"/>
        <v>0</v>
      </c>
      <c r="I855" s="145"/>
    </row>
    <row r="856" ht="22.5" customHeight="1">
      <c r="A856" s="147"/>
      <c r="B856" s="131"/>
      <c r="C856" s="148"/>
      <c r="D856" s="51" t="s">
        <v>66</v>
      </c>
      <c r="E856" s="149"/>
      <c r="F856" s="56" t="str">
        <f t="shared" si="1"/>
        <v/>
      </c>
      <c r="G856" s="150"/>
      <c r="H856" s="59">
        <f t="shared" si="63"/>
        <v>0</v>
      </c>
      <c r="I856" s="145"/>
    </row>
    <row r="857" ht="22.5" customHeight="1">
      <c r="A857" s="147"/>
      <c r="B857" s="131"/>
      <c r="C857" s="148"/>
      <c r="D857" s="51" t="s">
        <v>66</v>
      </c>
      <c r="E857" s="149"/>
      <c r="F857" s="56" t="str">
        <f t="shared" si="1"/>
        <v/>
      </c>
      <c r="G857" s="150"/>
      <c r="H857" s="59">
        <f t="shared" si="63"/>
        <v>0</v>
      </c>
      <c r="I857" s="145"/>
    </row>
    <row r="858" ht="22.5" customHeight="1">
      <c r="A858" s="147"/>
      <c r="B858" s="131"/>
      <c r="C858" s="148"/>
      <c r="D858" s="51" t="s">
        <v>66</v>
      </c>
      <c r="E858" s="149"/>
      <c r="F858" s="56" t="str">
        <f t="shared" si="1"/>
        <v/>
      </c>
      <c r="G858" s="150"/>
      <c r="H858" s="59">
        <f t="shared" si="63"/>
        <v>0</v>
      </c>
      <c r="I858" s="145"/>
    </row>
    <row r="859" ht="22.5" customHeight="1">
      <c r="A859" s="147"/>
      <c r="B859" s="131"/>
      <c r="C859" s="148"/>
      <c r="D859" s="51" t="s">
        <v>66</v>
      </c>
      <c r="E859" s="149"/>
      <c r="F859" s="56" t="str">
        <f t="shared" si="1"/>
        <v/>
      </c>
      <c r="G859" s="150"/>
      <c r="H859" s="59">
        <f t="shared" si="63"/>
        <v>0</v>
      </c>
      <c r="I859" s="145"/>
    </row>
    <row r="860" ht="22.5" customHeight="1">
      <c r="A860" s="147"/>
      <c r="B860" s="131"/>
      <c r="C860" s="148"/>
      <c r="D860" s="51" t="s">
        <v>66</v>
      </c>
      <c r="E860" s="149"/>
      <c r="F860" s="56" t="str">
        <f t="shared" si="1"/>
        <v/>
      </c>
      <c r="G860" s="150"/>
      <c r="H860" s="59">
        <f t="shared" si="63"/>
        <v>0</v>
      </c>
      <c r="I860" s="145"/>
    </row>
    <row r="861" ht="22.5" customHeight="1">
      <c r="A861" s="147"/>
      <c r="B861" s="131"/>
      <c r="C861" s="148"/>
      <c r="D861" s="51" t="s">
        <v>66</v>
      </c>
      <c r="E861" s="149"/>
      <c r="F861" s="56" t="str">
        <f t="shared" si="1"/>
        <v/>
      </c>
      <c r="G861" s="150"/>
      <c r="H861" s="59">
        <f t="shared" si="63"/>
        <v>0</v>
      </c>
      <c r="I861" s="145"/>
    </row>
    <row r="862" ht="22.5" customHeight="1">
      <c r="A862" s="147"/>
      <c r="B862" s="131"/>
      <c r="C862" s="148"/>
      <c r="D862" s="51" t="s">
        <v>66</v>
      </c>
      <c r="E862" s="149"/>
      <c r="F862" s="56" t="str">
        <f t="shared" si="1"/>
        <v/>
      </c>
      <c r="G862" s="150"/>
      <c r="H862" s="59">
        <f t="shared" si="63"/>
        <v>0</v>
      </c>
      <c r="I862" s="145"/>
    </row>
    <row r="863" ht="22.5" customHeight="1">
      <c r="A863" s="147"/>
      <c r="B863" s="131"/>
      <c r="C863" s="148"/>
      <c r="D863" s="51" t="s">
        <v>66</v>
      </c>
      <c r="E863" s="149"/>
      <c r="F863" s="56" t="str">
        <f t="shared" si="1"/>
        <v/>
      </c>
      <c r="G863" s="150"/>
      <c r="H863" s="59">
        <f t="shared" si="63"/>
        <v>0</v>
      </c>
      <c r="I863" s="145"/>
    </row>
    <row r="864" ht="22.5" customHeight="1">
      <c r="A864" s="147"/>
      <c r="B864" s="131"/>
      <c r="C864" s="148"/>
      <c r="D864" s="51" t="s">
        <v>66</v>
      </c>
      <c r="E864" s="149"/>
      <c r="F864" s="56" t="str">
        <f t="shared" si="1"/>
        <v/>
      </c>
      <c r="G864" s="150"/>
      <c r="H864" s="59">
        <f t="shared" si="63"/>
        <v>0</v>
      </c>
      <c r="I864" s="145"/>
    </row>
    <row r="865" ht="22.5" customHeight="1">
      <c r="A865" s="147"/>
      <c r="B865" s="131"/>
      <c r="C865" s="148"/>
      <c r="D865" s="51" t="s">
        <v>66</v>
      </c>
      <c r="E865" s="149"/>
      <c r="F865" s="56" t="str">
        <f t="shared" si="1"/>
        <v/>
      </c>
      <c r="G865" s="150"/>
      <c r="H865" s="59">
        <f t="shared" si="63"/>
        <v>0</v>
      </c>
      <c r="I865" s="145"/>
    </row>
    <row r="866" ht="22.5" customHeight="1">
      <c r="A866" s="147"/>
      <c r="B866" s="131"/>
      <c r="C866" s="148"/>
      <c r="D866" s="51" t="s">
        <v>66</v>
      </c>
      <c r="E866" s="149"/>
      <c r="F866" s="56" t="str">
        <f t="shared" si="1"/>
        <v/>
      </c>
      <c r="G866" s="150"/>
      <c r="H866" s="59">
        <f t="shared" si="63"/>
        <v>0</v>
      </c>
      <c r="I866" s="145"/>
    </row>
    <row r="867" ht="22.5" customHeight="1">
      <c r="A867" s="147"/>
      <c r="B867" s="131"/>
      <c r="C867" s="148"/>
      <c r="D867" s="51" t="s">
        <v>66</v>
      </c>
      <c r="E867" s="149"/>
      <c r="F867" s="56" t="str">
        <f t="shared" si="1"/>
        <v/>
      </c>
      <c r="G867" s="150"/>
      <c r="H867" s="59">
        <f t="shared" si="63"/>
        <v>0</v>
      </c>
      <c r="I867" s="145"/>
    </row>
    <row r="868" ht="22.5" customHeight="1">
      <c r="A868" s="147"/>
      <c r="B868" s="131"/>
      <c r="C868" s="148"/>
      <c r="D868" s="51" t="s">
        <v>66</v>
      </c>
      <c r="E868" s="149"/>
      <c r="F868" s="56" t="str">
        <f t="shared" si="1"/>
        <v/>
      </c>
      <c r="G868" s="150"/>
      <c r="H868" s="59">
        <f t="shared" si="63"/>
        <v>0</v>
      </c>
      <c r="I868" s="145"/>
    </row>
    <row r="869" ht="22.5" customHeight="1">
      <c r="A869" s="147"/>
      <c r="B869" s="131"/>
      <c r="C869" s="148"/>
      <c r="D869" s="51" t="s">
        <v>66</v>
      </c>
      <c r="E869" s="149"/>
      <c r="F869" s="56" t="str">
        <f t="shared" si="1"/>
        <v/>
      </c>
      <c r="G869" s="150"/>
      <c r="H869" s="59">
        <f t="shared" si="63"/>
        <v>0</v>
      </c>
      <c r="I869" s="145"/>
    </row>
    <row r="870" ht="22.5" customHeight="1">
      <c r="A870" s="147"/>
      <c r="B870" s="131"/>
      <c r="C870" s="148"/>
      <c r="D870" s="51" t="s">
        <v>66</v>
      </c>
      <c r="E870" s="149"/>
      <c r="F870" s="56" t="str">
        <f t="shared" si="1"/>
        <v/>
      </c>
      <c r="G870" s="150"/>
      <c r="H870" s="59">
        <f t="shared" si="63"/>
        <v>0</v>
      </c>
      <c r="I870" s="145"/>
    </row>
    <row r="871" ht="22.5" customHeight="1">
      <c r="A871" s="147"/>
      <c r="B871" s="131"/>
      <c r="C871" s="148"/>
      <c r="D871" s="51" t="s">
        <v>66</v>
      </c>
      <c r="E871" s="149"/>
      <c r="F871" s="56" t="str">
        <f t="shared" si="1"/>
        <v/>
      </c>
      <c r="G871" s="150"/>
      <c r="H871" s="59">
        <f t="shared" si="63"/>
        <v>0</v>
      </c>
      <c r="I871" s="145"/>
    </row>
    <row r="872" ht="22.5" customHeight="1">
      <c r="A872" s="147"/>
      <c r="B872" s="131"/>
      <c r="C872" s="148"/>
      <c r="D872" s="51" t="s">
        <v>66</v>
      </c>
      <c r="E872" s="149"/>
      <c r="F872" s="56" t="str">
        <f t="shared" si="1"/>
        <v/>
      </c>
      <c r="G872" s="150"/>
      <c r="H872" s="59">
        <f t="shared" si="63"/>
        <v>0</v>
      </c>
      <c r="I872" s="145"/>
    </row>
    <row r="873" ht="22.5" customHeight="1">
      <c r="A873" s="147"/>
      <c r="B873" s="131"/>
      <c r="C873" s="148"/>
      <c r="D873" s="51" t="s">
        <v>66</v>
      </c>
      <c r="E873" s="149"/>
      <c r="F873" s="56" t="str">
        <f t="shared" si="1"/>
        <v/>
      </c>
      <c r="G873" s="150"/>
      <c r="H873" s="59">
        <f t="shared" si="63"/>
        <v>0</v>
      </c>
      <c r="I873" s="145"/>
    </row>
    <row r="874" ht="22.5" customHeight="1">
      <c r="A874" s="147"/>
      <c r="B874" s="131"/>
      <c r="C874" s="148"/>
      <c r="D874" s="51" t="s">
        <v>66</v>
      </c>
      <c r="E874" s="149"/>
      <c r="F874" s="56" t="str">
        <f t="shared" si="1"/>
        <v/>
      </c>
      <c r="G874" s="150"/>
      <c r="H874" s="59">
        <f t="shared" si="63"/>
        <v>0</v>
      </c>
      <c r="I874" s="145"/>
    </row>
    <row r="875" ht="22.5" customHeight="1">
      <c r="A875" s="147"/>
      <c r="B875" s="131"/>
      <c r="C875" s="148"/>
      <c r="D875" s="51" t="s">
        <v>66</v>
      </c>
      <c r="E875" s="149"/>
      <c r="F875" s="56" t="str">
        <f t="shared" si="1"/>
        <v/>
      </c>
      <c r="G875" s="150"/>
      <c r="H875" s="59">
        <f t="shared" si="63"/>
        <v>0</v>
      </c>
      <c r="I875" s="145"/>
    </row>
    <row r="876" ht="22.5" customHeight="1">
      <c r="A876" s="147"/>
      <c r="B876" s="131"/>
      <c r="C876" s="148"/>
      <c r="D876" s="51" t="s">
        <v>66</v>
      </c>
      <c r="E876" s="149"/>
      <c r="F876" s="56" t="str">
        <f t="shared" si="1"/>
        <v/>
      </c>
      <c r="G876" s="150"/>
      <c r="H876" s="59">
        <f t="shared" si="63"/>
        <v>0</v>
      </c>
      <c r="I876" s="145"/>
    </row>
    <row r="877" ht="22.5" customHeight="1">
      <c r="A877" s="147"/>
      <c r="B877" s="131"/>
      <c r="C877" s="148"/>
      <c r="D877" s="51" t="s">
        <v>66</v>
      </c>
      <c r="E877" s="149"/>
      <c r="F877" s="56" t="str">
        <f t="shared" si="1"/>
        <v/>
      </c>
      <c r="G877" s="150"/>
      <c r="H877" s="59">
        <f t="shared" si="63"/>
        <v>0</v>
      </c>
      <c r="I877" s="145"/>
    </row>
    <row r="878" ht="22.5" customHeight="1">
      <c r="A878" s="147"/>
      <c r="B878" s="131"/>
      <c r="C878" s="148"/>
      <c r="D878" s="51" t="s">
        <v>66</v>
      </c>
      <c r="E878" s="149"/>
      <c r="F878" s="56" t="str">
        <f t="shared" si="1"/>
        <v/>
      </c>
      <c r="G878" s="150"/>
      <c r="H878" s="59">
        <f t="shared" si="63"/>
        <v>0</v>
      </c>
      <c r="I878" s="145"/>
    </row>
    <row r="879" ht="22.5" customHeight="1">
      <c r="A879" s="147"/>
      <c r="B879" s="131"/>
      <c r="C879" s="148"/>
      <c r="D879" s="51" t="s">
        <v>66</v>
      </c>
      <c r="E879" s="149"/>
      <c r="F879" s="56" t="str">
        <f t="shared" si="1"/>
        <v/>
      </c>
      <c r="G879" s="150"/>
      <c r="H879" s="59">
        <f t="shared" si="63"/>
        <v>0</v>
      </c>
      <c r="I879" s="145"/>
    </row>
    <row r="880" ht="22.5" customHeight="1">
      <c r="A880" s="147"/>
      <c r="B880" s="131"/>
      <c r="C880" s="148"/>
      <c r="D880" s="51" t="s">
        <v>66</v>
      </c>
      <c r="E880" s="149"/>
      <c r="F880" s="56" t="str">
        <f t="shared" si="1"/>
        <v/>
      </c>
      <c r="G880" s="150"/>
      <c r="H880" s="59">
        <f t="shared" si="63"/>
        <v>0</v>
      </c>
      <c r="I880" s="145"/>
    </row>
    <row r="881" ht="22.5" customHeight="1">
      <c r="A881" s="147"/>
      <c r="B881" s="131"/>
      <c r="C881" s="148"/>
      <c r="D881" s="51" t="s">
        <v>66</v>
      </c>
      <c r="E881" s="149"/>
      <c r="F881" s="56" t="str">
        <f t="shared" si="1"/>
        <v/>
      </c>
      <c r="G881" s="150"/>
      <c r="H881" s="59">
        <f t="shared" si="63"/>
        <v>0</v>
      </c>
      <c r="I881" s="145"/>
    </row>
    <row r="882" ht="22.5" customHeight="1">
      <c r="A882" s="147"/>
      <c r="B882" s="131"/>
      <c r="C882" s="148"/>
      <c r="D882" s="51" t="s">
        <v>66</v>
      </c>
      <c r="E882" s="149"/>
      <c r="F882" s="56" t="str">
        <f t="shared" si="1"/>
        <v/>
      </c>
      <c r="G882" s="150"/>
      <c r="H882" s="59">
        <f t="shared" si="63"/>
        <v>0</v>
      </c>
      <c r="I882" s="145"/>
    </row>
    <row r="883" ht="22.5" customHeight="1">
      <c r="A883" s="147"/>
      <c r="B883" s="131"/>
      <c r="C883" s="148"/>
      <c r="D883" s="51" t="s">
        <v>66</v>
      </c>
      <c r="E883" s="149"/>
      <c r="F883" s="56" t="str">
        <f t="shared" si="1"/>
        <v/>
      </c>
      <c r="G883" s="150"/>
      <c r="H883" s="59">
        <f t="shared" si="63"/>
        <v>0</v>
      </c>
      <c r="I883" s="145"/>
    </row>
    <row r="884" ht="22.5" customHeight="1">
      <c r="A884" s="147"/>
      <c r="B884" s="131"/>
      <c r="C884" s="148"/>
      <c r="D884" s="51" t="s">
        <v>66</v>
      </c>
      <c r="E884" s="149"/>
      <c r="F884" s="56" t="str">
        <f t="shared" si="1"/>
        <v/>
      </c>
      <c r="G884" s="150"/>
      <c r="H884" s="59">
        <f t="shared" si="63"/>
        <v>0</v>
      </c>
      <c r="I884" s="145"/>
    </row>
    <row r="885" ht="22.5" customHeight="1">
      <c r="A885" s="147"/>
      <c r="B885" s="131"/>
      <c r="C885" s="148"/>
      <c r="D885" s="51" t="s">
        <v>66</v>
      </c>
      <c r="E885" s="149"/>
      <c r="F885" s="56" t="str">
        <f t="shared" si="1"/>
        <v/>
      </c>
      <c r="G885" s="150"/>
      <c r="H885" s="59">
        <f t="shared" si="63"/>
        <v>0</v>
      </c>
      <c r="I885" s="145"/>
    </row>
    <row r="886" ht="22.5" customHeight="1">
      <c r="A886" s="147"/>
      <c r="B886" s="131"/>
      <c r="C886" s="148"/>
      <c r="D886" s="51" t="s">
        <v>66</v>
      </c>
      <c r="E886" s="149"/>
      <c r="F886" s="56" t="str">
        <f t="shared" si="1"/>
        <v/>
      </c>
      <c r="G886" s="150"/>
      <c r="H886" s="59">
        <f t="shared" si="63"/>
        <v>0</v>
      </c>
      <c r="I886" s="145"/>
    </row>
    <row r="887" ht="22.5" customHeight="1">
      <c r="A887" s="147"/>
      <c r="B887" s="131"/>
      <c r="C887" s="148"/>
      <c r="D887" s="51" t="s">
        <v>66</v>
      </c>
      <c r="E887" s="149"/>
      <c r="F887" s="56" t="str">
        <f t="shared" si="1"/>
        <v/>
      </c>
      <c r="G887" s="150"/>
      <c r="H887" s="59">
        <f t="shared" si="63"/>
        <v>0</v>
      </c>
      <c r="I887" s="145"/>
    </row>
    <row r="888" ht="22.5" customHeight="1">
      <c r="A888" s="147"/>
      <c r="B888" s="131"/>
      <c r="C888" s="148"/>
      <c r="D888" s="51" t="s">
        <v>66</v>
      </c>
      <c r="E888" s="149"/>
      <c r="F888" s="56" t="str">
        <f t="shared" si="1"/>
        <v/>
      </c>
      <c r="G888" s="150"/>
      <c r="H888" s="59">
        <f t="shared" si="63"/>
        <v>0</v>
      </c>
      <c r="I888" s="145"/>
    </row>
    <row r="889" ht="22.5" customHeight="1">
      <c r="A889" s="147"/>
      <c r="B889" s="131"/>
      <c r="C889" s="148"/>
      <c r="D889" s="51" t="s">
        <v>66</v>
      </c>
      <c r="E889" s="149"/>
      <c r="F889" s="56" t="str">
        <f t="shared" si="1"/>
        <v/>
      </c>
      <c r="G889" s="150"/>
      <c r="H889" s="59">
        <f t="shared" si="63"/>
        <v>0</v>
      </c>
      <c r="I889" s="145"/>
    </row>
    <row r="890" ht="22.5" customHeight="1">
      <c r="A890" s="147"/>
      <c r="B890" s="131"/>
      <c r="C890" s="148"/>
      <c r="D890" s="51" t="s">
        <v>66</v>
      </c>
      <c r="E890" s="149"/>
      <c r="F890" s="56" t="str">
        <f t="shared" si="1"/>
        <v/>
      </c>
      <c r="G890" s="150"/>
      <c r="H890" s="59">
        <f t="shared" si="63"/>
        <v>0</v>
      </c>
      <c r="I890" s="145"/>
    </row>
    <row r="891" ht="22.5" customHeight="1">
      <c r="A891" s="147"/>
      <c r="B891" s="131"/>
      <c r="C891" s="148"/>
      <c r="D891" s="51" t="s">
        <v>66</v>
      </c>
      <c r="E891" s="149"/>
      <c r="F891" s="56" t="str">
        <f t="shared" si="1"/>
        <v/>
      </c>
      <c r="G891" s="150"/>
      <c r="H891" s="59">
        <f t="shared" si="63"/>
        <v>0</v>
      </c>
      <c r="I891" s="145"/>
    </row>
    <row r="892" ht="22.5" customHeight="1">
      <c r="A892" s="147"/>
      <c r="B892" s="131"/>
      <c r="C892" s="148"/>
      <c r="D892" s="51" t="s">
        <v>66</v>
      </c>
      <c r="E892" s="149"/>
      <c r="F892" s="56" t="str">
        <f t="shared" si="1"/>
        <v/>
      </c>
      <c r="G892" s="150"/>
      <c r="H892" s="59">
        <f t="shared" si="63"/>
        <v>0</v>
      </c>
      <c r="I892" s="145"/>
    </row>
    <row r="893" ht="22.5" customHeight="1">
      <c r="A893" s="147"/>
      <c r="B893" s="131"/>
      <c r="C893" s="148"/>
      <c r="D893" s="51" t="s">
        <v>66</v>
      </c>
      <c r="E893" s="149"/>
      <c r="F893" s="56" t="str">
        <f t="shared" si="1"/>
        <v/>
      </c>
      <c r="G893" s="150"/>
      <c r="H893" s="59">
        <f t="shared" si="63"/>
        <v>0</v>
      </c>
      <c r="I893" s="145"/>
    </row>
    <row r="894" ht="22.5" customHeight="1">
      <c r="A894" s="147"/>
      <c r="B894" s="131"/>
      <c r="C894" s="148"/>
      <c r="D894" s="51" t="s">
        <v>66</v>
      </c>
      <c r="E894" s="149"/>
      <c r="F894" s="56" t="str">
        <f t="shared" si="1"/>
        <v/>
      </c>
      <c r="G894" s="150"/>
      <c r="H894" s="59">
        <f t="shared" si="63"/>
        <v>0</v>
      </c>
      <c r="I894" s="145"/>
    </row>
    <row r="895" ht="22.5" customHeight="1">
      <c r="A895" s="147"/>
      <c r="B895" s="131"/>
      <c r="C895" s="148"/>
      <c r="D895" s="51" t="s">
        <v>66</v>
      </c>
      <c r="E895" s="149"/>
      <c r="F895" s="56" t="str">
        <f t="shared" si="1"/>
        <v/>
      </c>
      <c r="G895" s="150"/>
      <c r="H895" s="59">
        <f t="shared" si="63"/>
        <v>0</v>
      </c>
      <c r="I895" s="145"/>
    </row>
    <row r="896" ht="22.5" customHeight="1">
      <c r="A896" s="147"/>
      <c r="B896" s="131"/>
      <c r="C896" s="148"/>
      <c r="D896" s="51" t="s">
        <v>66</v>
      </c>
      <c r="E896" s="149"/>
      <c r="F896" s="56" t="str">
        <f t="shared" si="1"/>
        <v/>
      </c>
      <c r="G896" s="150"/>
      <c r="H896" s="59">
        <f t="shared" si="63"/>
        <v>0</v>
      </c>
      <c r="I896" s="145"/>
    </row>
    <row r="897" ht="22.5" customHeight="1">
      <c r="A897" s="147"/>
      <c r="B897" s="131"/>
      <c r="C897" s="148"/>
      <c r="D897" s="51" t="s">
        <v>66</v>
      </c>
      <c r="E897" s="149"/>
      <c r="F897" s="56" t="str">
        <f t="shared" si="1"/>
        <v/>
      </c>
      <c r="G897" s="150"/>
      <c r="H897" s="59">
        <f t="shared" si="63"/>
        <v>0</v>
      </c>
      <c r="I897" s="145"/>
    </row>
    <row r="898" ht="22.5" customHeight="1">
      <c r="A898" s="147"/>
      <c r="B898" s="131"/>
      <c r="C898" s="148"/>
      <c r="D898" s="51" t="s">
        <v>66</v>
      </c>
      <c r="E898" s="149"/>
      <c r="F898" s="56" t="str">
        <f t="shared" si="1"/>
        <v/>
      </c>
      <c r="G898" s="150"/>
      <c r="H898" s="59">
        <f t="shared" si="63"/>
        <v>0</v>
      </c>
      <c r="I898" s="145"/>
    </row>
    <row r="899" ht="22.5" customHeight="1">
      <c r="A899" s="147"/>
      <c r="B899" s="131"/>
      <c r="C899" s="148"/>
      <c r="D899" s="51" t="s">
        <v>66</v>
      </c>
      <c r="E899" s="149"/>
      <c r="F899" s="56" t="str">
        <f t="shared" si="1"/>
        <v/>
      </c>
      <c r="G899" s="150"/>
      <c r="H899" s="59">
        <f t="shared" si="63"/>
        <v>0</v>
      </c>
      <c r="I899" s="145"/>
    </row>
    <row r="900" ht="22.5" customHeight="1">
      <c r="A900" s="147"/>
      <c r="B900" s="131"/>
      <c r="C900" s="148"/>
      <c r="D900" s="51" t="s">
        <v>66</v>
      </c>
      <c r="E900" s="149"/>
      <c r="F900" s="56" t="str">
        <f t="shared" si="1"/>
        <v/>
      </c>
      <c r="G900" s="150"/>
      <c r="H900" s="59">
        <f t="shared" si="63"/>
        <v>0</v>
      </c>
      <c r="I900" s="145"/>
    </row>
    <row r="901" ht="22.5" customHeight="1">
      <c r="A901" s="147"/>
      <c r="B901" s="131"/>
      <c r="C901" s="148"/>
      <c r="D901" s="51" t="s">
        <v>66</v>
      </c>
      <c r="E901" s="149"/>
      <c r="F901" s="56" t="str">
        <f t="shared" si="1"/>
        <v/>
      </c>
      <c r="G901" s="150"/>
      <c r="H901" s="59">
        <f t="shared" si="63"/>
        <v>0</v>
      </c>
      <c r="I901" s="145"/>
    </row>
    <row r="902" ht="22.5" customHeight="1">
      <c r="A902" s="147"/>
      <c r="B902" s="131"/>
      <c r="C902" s="148"/>
      <c r="D902" s="51" t="s">
        <v>66</v>
      </c>
      <c r="E902" s="149"/>
      <c r="F902" s="56" t="str">
        <f t="shared" si="1"/>
        <v/>
      </c>
      <c r="G902" s="150"/>
      <c r="H902" s="59">
        <f t="shared" si="63"/>
        <v>0</v>
      </c>
      <c r="I902" s="145"/>
    </row>
    <row r="903" ht="22.5" customHeight="1">
      <c r="A903" s="147"/>
      <c r="B903" s="131"/>
      <c r="C903" s="148"/>
      <c r="D903" s="51" t="s">
        <v>66</v>
      </c>
      <c r="E903" s="149"/>
      <c r="F903" s="56" t="str">
        <f t="shared" si="1"/>
        <v/>
      </c>
      <c r="G903" s="150"/>
      <c r="H903" s="59">
        <f t="shared" si="63"/>
        <v>0</v>
      </c>
      <c r="I903" s="145"/>
    </row>
    <row r="904" ht="22.5" customHeight="1">
      <c r="A904" s="147"/>
      <c r="B904" s="131"/>
      <c r="C904" s="148"/>
      <c r="D904" s="51" t="s">
        <v>66</v>
      </c>
      <c r="E904" s="149"/>
      <c r="F904" s="56" t="str">
        <f t="shared" si="1"/>
        <v/>
      </c>
      <c r="G904" s="150"/>
      <c r="H904" s="59">
        <f t="shared" si="63"/>
        <v>0</v>
      </c>
      <c r="I904" s="145"/>
    </row>
    <row r="905" ht="22.5" customHeight="1">
      <c r="A905" s="147"/>
      <c r="B905" s="131"/>
      <c r="C905" s="148"/>
      <c r="D905" s="51" t="s">
        <v>66</v>
      </c>
      <c r="E905" s="149"/>
      <c r="F905" s="56" t="str">
        <f t="shared" si="1"/>
        <v/>
      </c>
      <c r="G905" s="150"/>
      <c r="H905" s="59">
        <f t="shared" si="63"/>
        <v>0</v>
      </c>
      <c r="I905" s="145"/>
    </row>
    <row r="906" ht="22.5" customHeight="1">
      <c r="A906" s="147"/>
      <c r="B906" s="131"/>
      <c r="C906" s="148"/>
      <c r="D906" s="51" t="s">
        <v>66</v>
      </c>
      <c r="E906" s="149"/>
      <c r="F906" s="56" t="str">
        <f t="shared" si="1"/>
        <v/>
      </c>
      <c r="G906" s="150"/>
      <c r="H906" s="59">
        <f t="shared" si="63"/>
        <v>0</v>
      </c>
      <c r="I906" s="145"/>
    </row>
    <row r="907" ht="22.5" customHeight="1">
      <c r="A907" s="147"/>
      <c r="B907" s="131"/>
      <c r="C907" s="148"/>
      <c r="D907" s="51" t="s">
        <v>66</v>
      </c>
      <c r="E907" s="149"/>
      <c r="F907" s="56" t="str">
        <f t="shared" si="1"/>
        <v/>
      </c>
      <c r="G907" s="150"/>
      <c r="H907" s="59">
        <f t="shared" si="63"/>
        <v>0</v>
      </c>
      <c r="I907" s="145"/>
    </row>
    <row r="908" ht="22.5" customHeight="1">
      <c r="A908" s="147"/>
      <c r="B908" s="131"/>
      <c r="C908" s="148"/>
      <c r="D908" s="51" t="s">
        <v>66</v>
      </c>
      <c r="E908" s="149"/>
      <c r="F908" s="56" t="str">
        <f t="shared" si="1"/>
        <v/>
      </c>
      <c r="G908" s="150"/>
      <c r="H908" s="59">
        <f t="shared" si="63"/>
        <v>0</v>
      </c>
      <c r="I908" s="145"/>
    </row>
    <row r="909" ht="22.5" customHeight="1">
      <c r="A909" s="147"/>
      <c r="B909" s="131"/>
      <c r="C909" s="148"/>
      <c r="D909" s="51" t="s">
        <v>66</v>
      </c>
      <c r="E909" s="149"/>
      <c r="F909" s="56" t="str">
        <f t="shared" si="1"/>
        <v/>
      </c>
      <c r="G909" s="150"/>
      <c r="H909" s="59">
        <f t="shared" si="63"/>
        <v>0</v>
      </c>
      <c r="I909" s="145"/>
    </row>
    <row r="910" ht="22.5" customHeight="1">
      <c r="A910" s="147"/>
      <c r="B910" s="131"/>
      <c r="C910" s="148"/>
      <c r="D910" s="51" t="s">
        <v>66</v>
      </c>
      <c r="E910" s="149"/>
      <c r="F910" s="56" t="str">
        <f t="shared" si="1"/>
        <v/>
      </c>
      <c r="G910" s="150"/>
      <c r="H910" s="59">
        <f t="shared" si="63"/>
        <v>0</v>
      </c>
      <c r="I910" s="145"/>
    </row>
    <row r="911" ht="22.5" customHeight="1">
      <c r="A911" s="147"/>
      <c r="B911" s="131"/>
      <c r="C911" s="148"/>
      <c r="D911" s="51" t="s">
        <v>66</v>
      </c>
      <c r="E911" s="149"/>
      <c r="F911" s="56" t="str">
        <f t="shared" si="1"/>
        <v/>
      </c>
      <c r="G911" s="150"/>
      <c r="H911" s="59">
        <f t="shared" si="63"/>
        <v>0</v>
      </c>
      <c r="I911" s="145"/>
    </row>
    <row r="912" ht="22.5" customHeight="1">
      <c r="A912" s="147"/>
      <c r="B912" s="131"/>
      <c r="C912" s="148"/>
      <c r="D912" s="51" t="s">
        <v>66</v>
      </c>
      <c r="E912" s="149"/>
      <c r="F912" s="56" t="str">
        <f t="shared" si="1"/>
        <v/>
      </c>
      <c r="G912" s="150"/>
      <c r="H912" s="59">
        <f t="shared" si="63"/>
        <v>0</v>
      </c>
      <c r="I912" s="145"/>
    </row>
    <row r="913" ht="22.5" customHeight="1">
      <c r="A913" s="147"/>
      <c r="B913" s="131"/>
      <c r="C913" s="148"/>
      <c r="D913" s="51" t="s">
        <v>66</v>
      </c>
      <c r="E913" s="149"/>
      <c r="F913" s="56" t="str">
        <f t="shared" si="1"/>
        <v/>
      </c>
      <c r="G913" s="150"/>
      <c r="H913" s="59">
        <f t="shared" si="63"/>
        <v>0</v>
      </c>
      <c r="I913" s="145"/>
    </row>
    <row r="914" ht="22.5" customHeight="1">
      <c r="A914" s="147"/>
      <c r="B914" s="131"/>
      <c r="C914" s="148"/>
      <c r="D914" s="51" t="s">
        <v>66</v>
      </c>
      <c r="E914" s="149"/>
      <c r="F914" s="56" t="str">
        <f t="shared" si="1"/>
        <v/>
      </c>
      <c r="G914" s="150"/>
      <c r="H914" s="59">
        <f t="shared" si="63"/>
        <v>0</v>
      </c>
      <c r="I914" s="145"/>
    </row>
    <row r="915" ht="22.5" customHeight="1">
      <c r="A915" s="147"/>
      <c r="B915" s="131"/>
      <c r="C915" s="148"/>
      <c r="D915" s="51" t="s">
        <v>66</v>
      </c>
      <c r="E915" s="149"/>
      <c r="F915" s="56" t="str">
        <f t="shared" si="1"/>
        <v/>
      </c>
      <c r="G915" s="150"/>
      <c r="H915" s="59">
        <f t="shared" si="63"/>
        <v>0</v>
      </c>
      <c r="I915" s="145"/>
    </row>
    <row r="916" ht="22.5" customHeight="1">
      <c r="A916" s="147"/>
      <c r="B916" s="131"/>
      <c r="C916" s="148"/>
      <c r="D916" s="51" t="s">
        <v>66</v>
      </c>
      <c r="E916" s="149"/>
      <c r="F916" s="56" t="str">
        <f t="shared" si="1"/>
        <v/>
      </c>
      <c r="G916" s="150"/>
      <c r="H916" s="59">
        <f t="shared" si="63"/>
        <v>0</v>
      </c>
      <c r="I916" s="145"/>
    </row>
    <row r="917" ht="22.5" customHeight="1">
      <c r="A917" s="147"/>
      <c r="B917" s="131"/>
      <c r="C917" s="148"/>
      <c r="D917" s="51" t="s">
        <v>66</v>
      </c>
      <c r="E917" s="149"/>
      <c r="F917" s="56" t="str">
        <f t="shared" si="1"/>
        <v/>
      </c>
      <c r="G917" s="150"/>
      <c r="H917" s="59">
        <f t="shared" si="63"/>
        <v>0</v>
      </c>
      <c r="I917" s="145"/>
    </row>
    <row r="918" ht="22.5" customHeight="1">
      <c r="A918" s="147"/>
      <c r="B918" s="131"/>
      <c r="C918" s="148"/>
      <c r="D918" s="51" t="s">
        <v>66</v>
      </c>
      <c r="E918" s="149"/>
      <c r="F918" s="56" t="str">
        <f t="shared" si="1"/>
        <v/>
      </c>
      <c r="G918" s="150"/>
      <c r="H918" s="59">
        <f t="shared" si="63"/>
        <v>0</v>
      </c>
      <c r="I918" s="145"/>
    </row>
    <row r="919" ht="22.5" customHeight="1">
      <c r="A919" s="147"/>
      <c r="B919" s="131"/>
      <c r="C919" s="148"/>
      <c r="D919" s="51" t="s">
        <v>66</v>
      </c>
      <c r="E919" s="149"/>
      <c r="F919" s="56" t="str">
        <f t="shared" si="1"/>
        <v/>
      </c>
      <c r="G919" s="150"/>
      <c r="H919" s="59">
        <f t="shared" si="63"/>
        <v>0</v>
      </c>
      <c r="I919" s="145"/>
    </row>
    <row r="920" ht="22.5" customHeight="1">
      <c r="A920" s="147"/>
      <c r="B920" s="131"/>
      <c r="C920" s="148"/>
      <c r="D920" s="51" t="s">
        <v>66</v>
      </c>
      <c r="E920" s="149"/>
      <c r="F920" s="56" t="str">
        <f t="shared" si="1"/>
        <v/>
      </c>
      <c r="G920" s="150"/>
      <c r="H920" s="59">
        <f t="shared" si="63"/>
        <v>0</v>
      </c>
      <c r="I920" s="145"/>
    </row>
    <row r="921" ht="22.5" customHeight="1">
      <c r="A921" s="147"/>
      <c r="B921" s="131"/>
      <c r="C921" s="148"/>
      <c r="D921" s="51" t="s">
        <v>66</v>
      </c>
      <c r="E921" s="149"/>
      <c r="F921" s="56" t="str">
        <f t="shared" si="1"/>
        <v/>
      </c>
      <c r="G921" s="150"/>
      <c r="H921" s="59">
        <f t="shared" si="63"/>
        <v>0</v>
      </c>
      <c r="I921" s="145"/>
    </row>
    <row r="922" ht="22.5" customHeight="1">
      <c r="A922" s="147"/>
      <c r="B922" s="131"/>
      <c r="C922" s="148"/>
      <c r="D922" s="51" t="s">
        <v>66</v>
      </c>
      <c r="E922" s="149"/>
      <c r="F922" s="56" t="str">
        <f t="shared" si="1"/>
        <v/>
      </c>
      <c r="G922" s="150"/>
      <c r="H922" s="59">
        <f t="shared" si="63"/>
        <v>0</v>
      </c>
      <c r="I922" s="145"/>
    </row>
    <row r="923" ht="22.5" customHeight="1">
      <c r="A923" s="147"/>
      <c r="B923" s="131"/>
      <c r="C923" s="148"/>
      <c r="D923" s="51" t="s">
        <v>66</v>
      </c>
      <c r="E923" s="149"/>
      <c r="F923" s="56" t="str">
        <f t="shared" si="1"/>
        <v/>
      </c>
      <c r="G923" s="150"/>
      <c r="H923" s="59">
        <f t="shared" si="63"/>
        <v>0</v>
      </c>
      <c r="I923" s="145"/>
    </row>
    <row r="924" ht="22.5" customHeight="1">
      <c r="A924" s="147"/>
      <c r="B924" s="131"/>
      <c r="C924" s="148"/>
      <c r="D924" s="51" t="s">
        <v>66</v>
      </c>
      <c r="E924" s="149"/>
      <c r="F924" s="56" t="str">
        <f t="shared" si="1"/>
        <v/>
      </c>
      <c r="G924" s="150"/>
      <c r="H924" s="59">
        <f t="shared" si="63"/>
        <v>0</v>
      </c>
      <c r="I924" s="145"/>
    </row>
    <row r="925" ht="22.5" customHeight="1">
      <c r="A925" s="147"/>
      <c r="B925" s="131"/>
      <c r="C925" s="148"/>
      <c r="D925" s="51" t="s">
        <v>66</v>
      </c>
      <c r="E925" s="149"/>
      <c r="F925" s="56" t="str">
        <f t="shared" si="1"/>
        <v/>
      </c>
      <c r="G925" s="150"/>
      <c r="H925" s="59">
        <f t="shared" si="63"/>
        <v>0</v>
      </c>
      <c r="I925" s="145"/>
    </row>
    <row r="926" ht="22.5" customHeight="1">
      <c r="A926" s="147"/>
      <c r="B926" s="131"/>
      <c r="C926" s="148"/>
      <c r="D926" s="51" t="s">
        <v>66</v>
      </c>
      <c r="E926" s="149"/>
      <c r="F926" s="56" t="str">
        <f t="shared" si="1"/>
        <v/>
      </c>
      <c r="G926" s="150"/>
      <c r="H926" s="59">
        <f t="shared" si="63"/>
        <v>0</v>
      </c>
      <c r="I926" s="145"/>
    </row>
    <row r="927" ht="22.5" customHeight="1">
      <c r="A927" s="147"/>
      <c r="B927" s="131"/>
      <c r="C927" s="148"/>
      <c r="D927" s="51" t="s">
        <v>66</v>
      </c>
      <c r="E927" s="149"/>
      <c r="F927" s="56" t="str">
        <f t="shared" si="1"/>
        <v/>
      </c>
      <c r="G927" s="150"/>
      <c r="H927" s="59">
        <f t="shared" si="63"/>
        <v>0</v>
      </c>
      <c r="I927" s="145"/>
    </row>
    <row r="928" ht="22.5" customHeight="1">
      <c r="A928" s="147"/>
      <c r="B928" s="131"/>
      <c r="C928" s="148"/>
      <c r="D928" s="51" t="s">
        <v>66</v>
      </c>
      <c r="E928" s="149"/>
      <c r="F928" s="56" t="str">
        <f t="shared" si="1"/>
        <v/>
      </c>
      <c r="G928" s="150"/>
      <c r="H928" s="59">
        <f t="shared" si="63"/>
        <v>0</v>
      </c>
      <c r="I928" s="145"/>
    </row>
    <row r="929" ht="22.5" customHeight="1">
      <c r="A929" s="147"/>
      <c r="B929" s="131"/>
      <c r="C929" s="148"/>
      <c r="D929" s="51" t="s">
        <v>66</v>
      </c>
      <c r="E929" s="149"/>
      <c r="F929" s="56" t="str">
        <f t="shared" si="1"/>
        <v/>
      </c>
      <c r="G929" s="150"/>
      <c r="H929" s="59">
        <f t="shared" si="63"/>
        <v>0</v>
      </c>
      <c r="I929" s="145"/>
    </row>
    <row r="930" ht="22.5" customHeight="1">
      <c r="A930" s="147"/>
      <c r="B930" s="131"/>
      <c r="C930" s="148"/>
      <c r="D930" s="51" t="s">
        <v>66</v>
      </c>
      <c r="E930" s="149"/>
      <c r="F930" s="56" t="str">
        <f t="shared" si="1"/>
        <v/>
      </c>
      <c r="G930" s="150"/>
      <c r="H930" s="59">
        <f t="shared" si="63"/>
        <v>0</v>
      </c>
      <c r="I930" s="145"/>
    </row>
    <row r="931" ht="22.5" customHeight="1">
      <c r="A931" s="147"/>
      <c r="B931" s="131"/>
      <c r="C931" s="148"/>
      <c r="D931" s="51" t="s">
        <v>66</v>
      </c>
      <c r="E931" s="149"/>
      <c r="F931" s="56" t="str">
        <f t="shared" si="1"/>
        <v/>
      </c>
      <c r="G931" s="150"/>
      <c r="H931" s="59">
        <f t="shared" si="63"/>
        <v>0</v>
      </c>
      <c r="I931" s="145"/>
    </row>
    <row r="932" ht="22.5" customHeight="1">
      <c r="A932" s="147"/>
      <c r="B932" s="131"/>
      <c r="C932" s="148"/>
      <c r="D932" s="51" t="s">
        <v>66</v>
      </c>
      <c r="E932" s="149"/>
      <c r="F932" s="56" t="str">
        <f t="shared" si="1"/>
        <v/>
      </c>
      <c r="G932" s="150"/>
      <c r="H932" s="59">
        <f t="shared" si="63"/>
        <v>0</v>
      </c>
      <c r="I932" s="145"/>
    </row>
    <row r="933" ht="22.5" customHeight="1">
      <c r="A933" s="147"/>
      <c r="B933" s="131"/>
      <c r="C933" s="148"/>
      <c r="D933" s="51" t="s">
        <v>66</v>
      </c>
      <c r="E933" s="149"/>
      <c r="F933" s="56" t="str">
        <f t="shared" si="1"/>
        <v/>
      </c>
      <c r="G933" s="150"/>
      <c r="H933" s="59">
        <f t="shared" si="63"/>
        <v>0</v>
      </c>
      <c r="I933" s="145"/>
    </row>
    <row r="934" ht="22.5" customHeight="1">
      <c r="A934" s="147"/>
      <c r="B934" s="131"/>
      <c r="C934" s="148"/>
      <c r="D934" s="51" t="s">
        <v>66</v>
      </c>
      <c r="E934" s="149"/>
      <c r="F934" s="56" t="str">
        <f t="shared" si="1"/>
        <v/>
      </c>
      <c r="G934" s="150"/>
      <c r="H934" s="59">
        <f t="shared" si="63"/>
        <v>0</v>
      </c>
      <c r="I934" s="145"/>
    </row>
    <row r="935" ht="22.5" customHeight="1">
      <c r="A935" s="147"/>
      <c r="B935" s="131"/>
      <c r="C935" s="148"/>
      <c r="D935" s="51" t="s">
        <v>66</v>
      </c>
      <c r="E935" s="149"/>
      <c r="F935" s="56" t="str">
        <f t="shared" si="1"/>
        <v/>
      </c>
      <c r="G935" s="150"/>
      <c r="H935" s="59">
        <f t="shared" si="63"/>
        <v>0</v>
      </c>
      <c r="I935" s="145"/>
    </row>
    <row r="936" ht="22.5" customHeight="1">
      <c r="A936" s="147"/>
      <c r="B936" s="131"/>
      <c r="C936" s="148"/>
      <c r="D936" s="51" t="s">
        <v>66</v>
      </c>
      <c r="E936" s="149"/>
      <c r="F936" s="56" t="str">
        <f t="shared" si="1"/>
        <v/>
      </c>
      <c r="G936" s="150"/>
      <c r="H936" s="59">
        <f t="shared" si="63"/>
        <v>0</v>
      </c>
      <c r="I936" s="145"/>
    </row>
    <row r="937" ht="22.5" customHeight="1">
      <c r="A937" s="147"/>
      <c r="B937" s="131"/>
      <c r="C937" s="148"/>
      <c r="D937" s="51" t="s">
        <v>66</v>
      </c>
      <c r="E937" s="149"/>
      <c r="F937" s="56" t="str">
        <f t="shared" si="1"/>
        <v/>
      </c>
      <c r="G937" s="150"/>
      <c r="H937" s="59">
        <f t="shared" si="63"/>
        <v>0</v>
      </c>
      <c r="I937" s="145"/>
    </row>
    <row r="938" ht="22.5" customHeight="1">
      <c r="A938" s="147"/>
      <c r="B938" s="131"/>
      <c r="C938" s="148"/>
      <c r="D938" s="51" t="s">
        <v>66</v>
      </c>
      <c r="E938" s="149"/>
      <c r="F938" s="56" t="str">
        <f t="shared" si="1"/>
        <v/>
      </c>
      <c r="G938" s="150"/>
      <c r="H938" s="59">
        <f t="shared" si="63"/>
        <v>0</v>
      </c>
      <c r="I938" s="145"/>
    </row>
    <row r="939" ht="22.5" customHeight="1">
      <c r="A939" s="147"/>
      <c r="B939" s="131"/>
      <c r="C939" s="148"/>
      <c r="D939" s="51" t="s">
        <v>66</v>
      </c>
      <c r="E939" s="149"/>
      <c r="F939" s="56" t="str">
        <f t="shared" si="1"/>
        <v/>
      </c>
      <c r="G939" s="150"/>
      <c r="H939" s="59">
        <f t="shared" si="63"/>
        <v>0</v>
      </c>
      <c r="I939" s="145"/>
    </row>
    <row r="940" ht="22.5" customHeight="1">
      <c r="A940" s="147"/>
      <c r="B940" s="131"/>
      <c r="C940" s="148"/>
      <c r="D940" s="51" t="s">
        <v>66</v>
      </c>
      <c r="E940" s="149"/>
      <c r="F940" s="56" t="str">
        <f t="shared" si="1"/>
        <v/>
      </c>
      <c r="G940" s="150"/>
      <c r="H940" s="59">
        <f t="shared" si="63"/>
        <v>0</v>
      </c>
      <c r="I940" s="145"/>
    </row>
    <row r="941" ht="22.5" customHeight="1">
      <c r="A941" s="147"/>
      <c r="B941" s="131"/>
      <c r="C941" s="148"/>
      <c r="D941" s="51" t="s">
        <v>66</v>
      </c>
      <c r="E941" s="149"/>
      <c r="F941" s="56" t="str">
        <f t="shared" si="1"/>
        <v/>
      </c>
      <c r="G941" s="150"/>
      <c r="H941" s="59">
        <f t="shared" si="63"/>
        <v>0</v>
      </c>
      <c r="I941" s="145"/>
    </row>
    <row r="942" ht="22.5" customHeight="1">
      <c r="A942" s="147"/>
      <c r="B942" s="131"/>
      <c r="C942" s="148"/>
      <c r="D942" s="51" t="s">
        <v>66</v>
      </c>
      <c r="E942" s="149"/>
      <c r="F942" s="56" t="str">
        <f t="shared" si="1"/>
        <v/>
      </c>
      <c r="G942" s="150"/>
      <c r="H942" s="59">
        <f t="shared" si="63"/>
        <v>0</v>
      </c>
      <c r="I942" s="145"/>
    </row>
    <row r="943" ht="22.5" customHeight="1">
      <c r="A943" s="147"/>
      <c r="B943" s="131"/>
      <c r="C943" s="148"/>
      <c r="D943" s="51" t="s">
        <v>66</v>
      </c>
      <c r="E943" s="149"/>
      <c r="F943" s="56" t="str">
        <f t="shared" si="1"/>
        <v/>
      </c>
      <c r="G943" s="150"/>
      <c r="H943" s="59">
        <f t="shared" si="63"/>
        <v>0</v>
      </c>
      <c r="I943" s="145"/>
    </row>
    <row r="944" ht="22.5" customHeight="1">
      <c r="A944" s="147"/>
      <c r="B944" s="131"/>
      <c r="C944" s="148"/>
      <c r="D944" s="51" t="s">
        <v>66</v>
      </c>
      <c r="E944" s="149"/>
      <c r="F944" s="56" t="str">
        <f t="shared" si="1"/>
        <v/>
      </c>
      <c r="G944" s="150"/>
      <c r="H944" s="59">
        <f t="shared" si="63"/>
        <v>0</v>
      </c>
      <c r="I944" s="145"/>
    </row>
    <row r="945" ht="22.5" customHeight="1">
      <c r="A945" s="147"/>
      <c r="B945" s="131"/>
      <c r="C945" s="148"/>
      <c r="D945" s="51" t="s">
        <v>66</v>
      </c>
      <c r="E945" s="149"/>
      <c r="F945" s="56" t="str">
        <f t="shared" si="1"/>
        <v/>
      </c>
      <c r="G945" s="150"/>
      <c r="H945" s="59">
        <f t="shared" si="63"/>
        <v>0</v>
      </c>
      <c r="I945" s="145"/>
    </row>
    <row r="946" ht="22.5" customHeight="1">
      <c r="A946" s="147"/>
      <c r="B946" s="131"/>
      <c r="C946" s="148"/>
      <c r="D946" s="51" t="s">
        <v>66</v>
      </c>
      <c r="E946" s="149"/>
      <c r="F946" s="56" t="str">
        <f t="shared" si="1"/>
        <v/>
      </c>
      <c r="G946" s="150"/>
      <c r="H946" s="59">
        <f t="shared" si="63"/>
        <v>0</v>
      </c>
      <c r="I946" s="145"/>
    </row>
    <row r="947" ht="22.5" customHeight="1">
      <c r="A947" s="147"/>
      <c r="B947" s="131"/>
      <c r="C947" s="148"/>
      <c r="D947" s="51" t="s">
        <v>66</v>
      </c>
      <c r="E947" s="149"/>
      <c r="F947" s="56" t="str">
        <f t="shared" si="1"/>
        <v/>
      </c>
      <c r="G947" s="150"/>
      <c r="H947" s="59">
        <f t="shared" si="63"/>
        <v>0</v>
      </c>
      <c r="I947" s="145"/>
    </row>
    <row r="948" ht="22.5" customHeight="1">
      <c r="A948" s="147"/>
      <c r="B948" s="131"/>
      <c r="C948" s="148"/>
      <c r="D948" s="51" t="s">
        <v>66</v>
      </c>
      <c r="E948" s="149"/>
      <c r="F948" s="56" t="str">
        <f t="shared" si="1"/>
        <v/>
      </c>
      <c r="G948" s="150"/>
      <c r="H948" s="59">
        <f t="shared" si="63"/>
        <v>0</v>
      </c>
      <c r="I948" s="145"/>
    </row>
    <row r="949" ht="22.5" customHeight="1">
      <c r="A949" s="147"/>
      <c r="B949" s="131"/>
      <c r="C949" s="148"/>
      <c r="D949" s="51" t="s">
        <v>66</v>
      </c>
      <c r="E949" s="149"/>
      <c r="F949" s="56" t="str">
        <f t="shared" si="1"/>
        <v/>
      </c>
      <c r="G949" s="150"/>
      <c r="H949" s="59">
        <f t="shared" si="63"/>
        <v>0</v>
      </c>
      <c r="I949" s="145"/>
    </row>
    <row r="950" ht="22.5" customHeight="1">
      <c r="A950" s="147"/>
      <c r="B950" s="131"/>
      <c r="C950" s="148"/>
      <c r="D950" s="51" t="s">
        <v>66</v>
      </c>
      <c r="E950" s="149"/>
      <c r="F950" s="56" t="str">
        <f t="shared" si="1"/>
        <v/>
      </c>
      <c r="G950" s="150"/>
      <c r="H950" s="59">
        <f t="shared" si="63"/>
        <v>0</v>
      </c>
      <c r="I950" s="145"/>
    </row>
    <row r="951" ht="22.5" customHeight="1">
      <c r="A951" s="147"/>
      <c r="B951" s="131"/>
      <c r="C951" s="148"/>
      <c r="D951" s="51" t="s">
        <v>66</v>
      </c>
      <c r="E951" s="149"/>
      <c r="F951" s="56" t="str">
        <f t="shared" si="1"/>
        <v/>
      </c>
      <c r="G951" s="150"/>
      <c r="H951" s="59">
        <f t="shared" si="63"/>
        <v>0</v>
      </c>
      <c r="I951" s="145"/>
    </row>
    <row r="952" ht="22.5" customHeight="1">
      <c r="A952" s="147"/>
      <c r="B952" s="131"/>
      <c r="C952" s="148"/>
      <c r="D952" s="51" t="s">
        <v>66</v>
      </c>
      <c r="E952" s="149"/>
      <c r="F952" s="56" t="str">
        <f t="shared" si="1"/>
        <v/>
      </c>
      <c r="G952" s="150"/>
      <c r="H952" s="59">
        <f t="shared" si="63"/>
        <v>0</v>
      </c>
      <c r="I952" s="145"/>
    </row>
    <row r="953" ht="22.5" customHeight="1">
      <c r="A953" s="147"/>
      <c r="B953" s="131"/>
      <c r="C953" s="148"/>
      <c r="D953" s="51" t="s">
        <v>66</v>
      </c>
      <c r="E953" s="149"/>
      <c r="F953" s="56" t="str">
        <f t="shared" si="1"/>
        <v/>
      </c>
      <c r="G953" s="150"/>
      <c r="H953" s="59">
        <f t="shared" si="63"/>
        <v>0</v>
      </c>
      <c r="I953" s="145"/>
    </row>
    <row r="954" ht="22.5" customHeight="1">
      <c r="A954" s="147"/>
      <c r="B954" s="131"/>
      <c r="C954" s="148"/>
      <c r="D954" s="51" t="s">
        <v>66</v>
      </c>
      <c r="E954" s="149"/>
      <c r="F954" s="56" t="str">
        <f t="shared" si="1"/>
        <v/>
      </c>
      <c r="G954" s="150"/>
      <c r="H954" s="59">
        <f t="shared" si="63"/>
        <v>0</v>
      </c>
      <c r="I954" s="145"/>
    </row>
    <row r="955" ht="22.5" customHeight="1">
      <c r="A955" s="147"/>
      <c r="B955" s="131"/>
      <c r="C955" s="148"/>
      <c r="D955" s="51" t="s">
        <v>66</v>
      </c>
      <c r="E955" s="149"/>
      <c r="F955" s="56" t="str">
        <f t="shared" si="1"/>
        <v/>
      </c>
      <c r="G955" s="150"/>
      <c r="H955" s="59">
        <f t="shared" si="63"/>
        <v>0</v>
      </c>
      <c r="I955" s="145"/>
    </row>
    <row r="956" ht="22.5" customHeight="1">
      <c r="A956" s="147"/>
      <c r="B956" s="131"/>
      <c r="C956" s="148"/>
      <c r="D956" s="51" t="s">
        <v>66</v>
      </c>
      <c r="E956" s="149"/>
      <c r="F956" s="56" t="str">
        <f t="shared" si="1"/>
        <v/>
      </c>
      <c r="G956" s="150"/>
      <c r="H956" s="59">
        <f t="shared" si="63"/>
        <v>0</v>
      </c>
      <c r="I956" s="145"/>
    </row>
    <row r="957" ht="22.5" customHeight="1">
      <c r="A957" s="147"/>
      <c r="B957" s="131"/>
      <c r="C957" s="148"/>
      <c r="D957" s="51" t="s">
        <v>66</v>
      </c>
      <c r="E957" s="149"/>
      <c r="F957" s="56" t="str">
        <f t="shared" si="1"/>
        <v/>
      </c>
      <c r="G957" s="150"/>
      <c r="H957" s="59">
        <f t="shared" si="63"/>
        <v>0</v>
      </c>
      <c r="I957" s="145"/>
    </row>
    <row r="958" ht="22.5" customHeight="1">
      <c r="A958" s="147"/>
      <c r="B958" s="131"/>
      <c r="C958" s="148"/>
      <c r="D958" s="51" t="s">
        <v>66</v>
      </c>
      <c r="E958" s="149"/>
      <c r="F958" s="56" t="str">
        <f t="shared" si="1"/>
        <v/>
      </c>
      <c r="G958" s="150"/>
      <c r="H958" s="59">
        <f t="shared" si="63"/>
        <v>0</v>
      </c>
      <c r="I958" s="145"/>
    </row>
    <row r="959" ht="22.5" customHeight="1">
      <c r="A959" s="147"/>
      <c r="B959" s="131"/>
      <c r="C959" s="148"/>
      <c r="D959" s="51" t="s">
        <v>66</v>
      </c>
      <c r="E959" s="149"/>
      <c r="F959" s="56" t="str">
        <f t="shared" si="1"/>
        <v/>
      </c>
      <c r="G959" s="150"/>
      <c r="H959" s="59">
        <f t="shared" si="63"/>
        <v>0</v>
      </c>
      <c r="I959" s="145"/>
    </row>
    <row r="960" ht="22.5" customHeight="1">
      <c r="A960" s="147"/>
      <c r="B960" s="131"/>
      <c r="C960" s="148"/>
      <c r="D960" s="51" t="s">
        <v>66</v>
      </c>
      <c r="E960" s="149"/>
      <c r="F960" s="56" t="str">
        <f t="shared" si="1"/>
        <v/>
      </c>
      <c r="G960" s="150"/>
      <c r="H960" s="59">
        <f t="shared" si="63"/>
        <v>0</v>
      </c>
      <c r="I960" s="145"/>
    </row>
    <row r="961" ht="22.5" customHeight="1">
      <c r="A961" s="147"/>
      <c r="B961" s="131"/>
      <c r="C961" s="148"/>
      <c r="D961" s="51" t="s">
        <v>66</v>
      </c>
      <c r="E961" s="149"/>
      <c r="F961" s="56" t="str">
        <f t="shared" si="1"/>
        <v/>
      </c>
      <c r="G961" s="150"/>
      <c r="H961" s="59">
        <f t="shared" si="63"/>
        <v>0</v>
      </c>
      <c r="I961" s="145"/>
    </row>
    <row r="962" ht="22.5" customHeight="1">
      <c r="A962" s="147"/>
      <c r="B962" s="131"/>
      <c r="C962" s="148"/>
      <c r="D962" s="51" t="s">
        <v>66</v>
      </c>
      <c r="E962" s="149"/>
      <c r="F962" s="56" t="str">
        <f t="shared" si="1"/>
        <v/>
      </c>
      <c r="G962" s="150"/>
      <c r="H962" s="59">
        <f t="shared" si="63"/>
        <v>0</v>
      </c>
      <c r="I962" s="145"/>
    </row>
    <row r="963" ht="22.5" customHeight="1">
      <c r="A963" s="147"/>
      <c r="B963" s="131"/>
      <c r="C963" s="148"/>
      <c r="D963" s="51" t="s">
        <v>66</v>
      </c>
      <c r="E963" s="149"/>
      <c r="F963" s="56" t="str">
        <f t="shared" si="1"/>
        <v/>
      </c>
      <c r="G963" s="150"/>
      <c r="H963" s="59">
        <f t="shared" si="63"/>
        <v>0</v>
      </c>
      <c r="I963" s="145"/>
    </row>
    <row r="964" ht="22.5" customHeight="1">
      <c r="A964" s="147"/>
      <c r="B964" s="131"/>
      <c r="C964" s="148"/>
      <c r="D964" s="51" t="s">
        <v>66</v>
      </c>
      <c r="E964" s="149"/>
      <c r="F964" s="56" t="str">
        <f t="shared" si="1"/>
        <v/>
      </c>
      <c r="G964" s="150"/>
      <c r="H964" s="59">
        <f t="shared" si="63"/>
        <v>0</v>
      </c>
      <c r="I964" s="145"/>
    </row>
    <row r="965" ht="22.5" customHeight="1">
      <c r="A965" s="147"/>
      <c r="B965" s="131"/>
      <c r="C965" s="148"/>
      <c r="D965" s="51" t="s">
        <v>66</v>
      </c>
      <c r="E965" s="149"/>
      <c r="F965" s="56" t="str">
        <f t="shared" si="1"/>
        <v/>
      </c>
      <c r="G965" s="150"/>
      <c r="H965" s="59">
        <f t="shared" si="63"/>
        <v>0</v>
      </c>
      <c r="I965" s="145"/>
    </row>
    <row r="966" ht="22.5" customHeight="1">
      <c r="A966" s="147"/>
      <c r="B966" s="131"/>
      <c r="C966" s="148"/>
      <c r="D966" s="51" t="s">
        <v>66</v>
      </c>
      <c r="E966" s="149"/>
      <c r="F966" s="56" t="str">
        <f t="shared" si="1"/>
        <v/>
      </c>
      <c r="G966" s="150"/>
      <c r="H966" s="59">
        <f t="shared" si="63"/>
        <v>0</v>
      </c>
      <c r="I966" s="145"/>
    </row>
    <row r="967" ht="22.5" customHeight="1">
      <c r="A967" s="147"/>
      <c r="B967" s="131"/>
      <c r="C967" s="148"/>
      <c r="D967" s="51" t="s">
        <v>66</v>
      </c>
      <c r="E967" s="149"/>
      <c r="F967" s="56" t="str">
        <f t="shared" si="1"/>
        <v/>
      </c>
      <c r="G967" s="150"/>
      <c r="H967" s="59">
        <f t="shared" si="63"/>
        <v>0</v>
      </c>
      <c r="I967" s="145"/>
    </row>
    <row r="968" ht="22.5" customHeight="1">
      <c r="A968" s="147"/>
      <c r="B968" s="131"/>
      <c r="C968" s="148"/>
      <c r="D968" s="51" t="s">
        <v>66</v>
      </c>
      <c r="E968" s="149"/>
      <c r="F968" s="56" t="str">
        <f t="shared" si="1"/>
        <v/>
      </c>
      <c r="G968" s="150"/>
      <c r="H968" s="59">
        <f t="shared" si="63"/>
        <v>0</v>
      </c>
      <c r="I968" s="145"/>
    </row>
    <row r="969" ht="22.5" customHeight="1">
      <c r="A969" s="147"/>
      <c r="B969" s="131"/>
      <c r="C969" s="148"/>
      <c r="D969" s="51" t="s">
        <v>66</v>
      </c>
      <c r="E969" s="149"/>
      <c r="F969" s="56" t="str">
        <f t="shared" si="1"/>
        <v/>
      </c>
      <c r="G969" s="150"/>
      <c r="H969" s="59">
        <f t="shared" si="63"/>
        <v>0</v>
      </c>
      <c r="I969" s="145"/>
    </row>
    <row r="970" ht="22.5" customHeight="1">
      <c r="A970" s="147"/>
      <c r="B970" s="131"/>
      <c r="C970" s="148"/>
      <c r="D970" s="51" t="s">
        <v>66</v>
      </c>
      <c r="E970" s="149"/>
      <c r="F970" s="56" t="str">
        <f t="shared" si="1"/>
        <v/>
      </c>
      <c r="G970" s="150"/>
      <c r="H970" s="59">
        <f t="shared" si="63"/>
        <v>0</v>
      </c>
      <c r="I970" s="145"/>
    </row>
    <row r="971" ht="22.5" customHeight="1">
      <c r="A971" s="147"/>
      <c r="B971" s="131"/>
      <c r="C971" s="148"/>
      <c r="D971" s="51" t="s">
        <v>66</v>
      </c>
      <c r="E971" s="149"/>
      <c r="F971" s="56" t="str">
        <f t="shared" si="1"/>
        <v/>
      </c>
      <c r="G971" s="150"/>
      <c r="H971" s="59">
        <f t="shared" si="63"/>
        <v>0</v>
      </c>
      <c r="I971" s="145"/>
    </row>
    <row r="972" ht="22.5" customHeight="1">
      <c r="A972" s="147"/>
      <c r="B972" s="131"/>
      <c r="C972" s="148"/>
      <c r="D972" s="51"/>
      <c r="E972" s="149"/>
      <c r="F972" s="56"/>
      <c r="G972" s="150"/>
      <c r="H972" s="59">
        <f t="shared" si="63"/>
        <v>0</v>
      </c>
      <c r="I972" s="145"/>
    </row>
    <row r="973" ht="22.5" customHeight="1">
      <c r="A973" s="147"/>
      <c r="B973" s="131"/>
      <c r="C973" s="148"/>
      <c r="D973" s="51"/>
      <c r="E973" s="149"/>
      <c r="F973" s="56"/>
      <c r="G973" s="150"/>
      <c r="H973" s="59">
        <f t="shared" si="63"/>
        <v>0</v>
      </c>
      <c r="I973" s="145"/>
    </row>
    <row r="974" ht="22.5" customHeight="1">
      <c r="A974" s="147"/>
      <c r="B974" s="131"/>
      <c r="C974" s="148"/>
      <c r="D974" s="51"/>
      <c r="E974" s="149"/>
      <c r="F974" s="56"/>
      <c r="G974" s="150"/>
      <c r="H974" s="59">
        <f t="shared" si="63"/>
        <v>0</v>
      </c>
      <c r="I974" s="145"/>
    </row>
    <row r="975" ht="22.5" customHeight="1">
      <c r="A975" s="147"/>
      <c r="B975" s="131"/>
      <c r="C975" s="148"/>
      <c r="D975" s="51"/>
      <c r="E975" s="149"/>
      <c r="F975" s="56"/>
      <c r="G975" s="150"/>
      <c r="H975" s="59">
        <f t="shared" si="63"/>
        <v>0</v>
      </c>
      <c r="I975" s="145"/>
    </row>
    <row r="976" ht="22.5" customHeight="1">
      <c r="A976" s="147"/>
      <c r="B976" s="131"/>
      <c r="C976" s="148"/>
      <c r="D976" s="51"/>
      <c r="E976" s="149"/>
      <c r="F976" s="56"/>
      <c r="G976" s="150"/>
      <c r="H976" s="59">
        <f t="shared" si="63"/>
        <v>0</v>
      </c>
      <c r="I976" s="145"/>
    </row>
    <row r="977" ht="22.5" customHeight="1">
      <c r="A977" s="147"/>
      <c r="B977" s="131"/>
      <c r="C977" s="148"/>
      <c r="D977" s="51"/>
      <c r="E977" s="149"/>
      <c r="F977" s="56"/>
      <c r="G977" s="150"/>
      <c r="H977" s="59">
        <f t="shared" si="63"/>
        <v>0</v>
      </c>
      <c r="I977" s="145"/>
    </row>
    <row r="978" ht="22.5" customHeight="1">
      <c r="A978" s="147"/>
      <c r="B978" s="131"/>
      <c r="C978" s="148"/>
      <c r="D978" s="51"/>
      <c r="E978" s="149"/>
      <c r="F978" s="56"/>
      <c r="G978" s="150"/>
      <c r="H978" s="59">
        <f t="shared" si="63"/>
        <v>0</v>
      </c>
      <c r="I978" s="145"/>
    </row>
    <row r="979" ht="22.5" customHeight="1">
      <c r="A979" s="147"/>
      <c r="B979" s="131"/>
      <c r="C979" s="148"/>
      <c r="D979" s="51"/>
      <c r="E979" s="149"/>
      <c r="F979" s="56"/>
      <c r="G979" s="150"/>
      <c r="H979" s="59">
        <f t="shared" si="63"/>
        <v>0</v>
      </c>
      <c r="I979" s="145"/>
    </row>
    <row r="980" ht="22.5" customHeight="1">
      <c r="A980" s="147"/>
      <c r="B980" s="131"/>
      <c r="C980" s="148"/>
      <c r="D980" s="51"/>
      <c r="E980" s="149"/>
      <c r="F980" s="56"/>
      <c r="G980" s="150"/>
      <c r="H980" s="59">
        <f t="shared" si="63"/>
        <v>0</v>
      </c>
      <c r="I980" s="145"/>
    </row>
    <row r="981" ht="22.5" customHeight="1">
      <c r="A981" s="147"/>
      <c r="B981" s="131"/>
      <c r="C981" s="148"/>
      <c r="D981" s="51"/>
      <c r="E981" s="149"/>
      <c r="F981" s="56"/>
      <c r="G981" s="150"/>
      <c r="H981" s="59">
        <f t="shared" si="63"/>
        <v>0</v>
      </c>
      <c r="I981" s="145"/>
    </row>
    <row r="982" ht="22.5" customHeight="1">
      <c r="A982" s="147"/>
      <c r="B982" s="131"/>
      <c r="C982" s="148"/>
      <c r="D982" s="51"/>
      <c r="E982" s="149"/>
      <c r="F982" s="56"/>
      <c r="G982" s="150"/>
      <c r="H982" s="59">
        <f t="shared" si="63"/>
        <v>0</v>
      </c>
      <c r="I982" s="145"/>
    </row>
    <row r="983" ht="22.5" customHeight="1">
      <c r="A983" s="147"/>
      <c r="B983" s="131"/>
      <c r="C983" s="148"/>
      <c r="D983" s="51"/>
      <c r="E983" s="149"/>
      <c r="F983" s="56"/>
      <c r="G983" s="150"/>
      <c r="H983" s="59">
        <f t="shared" si="63"/>
        <v>0</v>
      </c>
      <c r="I983" s="145"/>
    </row>
    <row r="984" ht="22.5" customHeight="1">
      <c r="A984" s="147"/>
      <c r="B984" s="131"/>
      <c r="C984" s="148"/>
      <c r="D984" s="51"/>
      <c r="E984" s="149"/>
      <c r="F984" s="56"/>
      <c r="G984" s="150"/>
      <c r="H984" s="59">
        <f t="shared" si="63"/>
        <v>0</v>
      </c>
      <c r="I984" s="145"/>
    </row>
    <row r="985" ht="22.5" customHeight="1">
      <c r="A985" s="147"/>
      <c r="B985" s="131"/>
      <c r="C985" s="148"/>
      <c r="D985" s="51"/>
      <c r="E985" s="149"/>
      <c r="F985" s="56"/>
      <c r="G985" s="150"/>
      <c r="H985" s="59">
        <f t="shared" si="63"/>
        <v>0</v>
      </c>
      <c r="I985" s="145"/>
    </row>
    <row r="986" ht="22.5" customHeight="1">
      <c r="A986" s="147"/>
      <c r="B986" s="131"/>
      <c r="C986" s="148"/>
      <c r="D986" s="51"/>
      <c r="E986" s="149"/>
      <c r="F986" s="56"/>
      <c r="G986" s="150"/>
      <c r="H986" s="59">
        <f t="shared" si="63"/>
        <v>0</v>
      </c>
      <c r="I986" s="145"/>
    </row>
    <row r="987" ht="22.5" customHeight="1">
      <c r="A987" s="147"/>
      <c r="B987" s="131"/>
      <c r="C987" s="148"/>
      <c r="D987" s="51"/>
      <c r="E987" s="149"/>
      <c r="F987" s="56"/>
      <c r="G987" s="150"/>
      <c r="H987" s="59">
        <f t="shared" si="63"/>
        <v>0</v>
      </c>
      <c r="I987" s="145"/>
    </row>
    <row r="988" ht="22.5" customHeight="1">
      <c r="A988" s="147"/>
      <c r="B988" s="131"/>
      <c r="C988" s="148"/>
      <c r="D988" s="51"/>
      <c r="E988" s="149"/>
      <c r="F988" s="56"/>
      <c r="G988" s="150"/>
      <c r="H988" s="59">
        <f t="shared" si="63"/>
        <v>0</v>
      </c>
      <c r="I988" s="145"/>
    </row>
    <row r="989" ht="22.5" customHeight="1">
      <c r="A989" s="147"/>
      <c r="B989" s="131"/>
      <c r="C989" s="148"/>
      <c r="D989" s="51"/>
      <c r="E989" s="149"/>
      <c r="F989" s="56"/>
      <c r="G989" s="150"/>
      <c r="H989" s="59">
        <f t="shared" si="63"/>
        <v>0</v>
      </c>
      <c r="I989" s="145"/>
    </row>
    <row r="990" ht="22.5" customHeight="1">
      <c r="A990" s="147"/>
      <c r="B990" s="131"/>
      <c r="C990" s="148"/>
      <c r="D990" s="51"/>
      <c r="E990" s="149"/>
      <c r="F990" s="56"/>
      <c r="G990" s="150"/>
      <c r="H990" s="59">
        <f t="shared" si="63"/>
        <v>0</v>
      </c>
      <c r="I990" s="145"/>
    </row>
    <row r="991" ht="22.5" customHeight="1">
      <c r="A991" s="147"/>
      <c r="B991" s="131"/>
      <c r="C991" s="148"/>
      <c r="D991" s="51"/>
      <c r="E991" s="149"/>
      <c r="F991" s="56"/>
      <c r="G991" s="150"/>
      <c r="H991" s="59">
        <f t="shared" si="63"/>
        <v>0</v>
      </c>
      <c r="I991" s="145"/>
    </row>
    <row r="992" ht="22.5" customHeight="1">
      <c r="A992" s="147"/>
      <c r="B992" s="131"/>
      <c r="C992" s="148"/>
      <c r="D992" s="51"/>
      <c r="E992" s="149"/>
      <c r="F992" s="56"/>
      <c r="G992" s="150"/>
      <c r="H992" s="59">
        <f t="shared" si="63"/>
        <v>0</v>
      </c>
      <c r="I992" s="145"/>
    </row>
    <row r="993" ht="22.5" customHeight="1">
      <c r="A993" s="147"/>
      <c r="B993" s="131"/>
      <c r="C993" s="148"/>
      <c r="D993" s="51"/>
      <c r="E993" s="149"/>
      <c r="F993" s="56"/>
      <c r="G993" s="150"/>
      <c r="H993" s="59">
        <f t="shared" si="63"/>
        <v>0</v>
      </c>
      <c r="I993" s="145"/>
    </row>
    <row r="994" ht="22.5" customHeight="1">
      <c r="A994" s="147"/>
      <c r="B994" s="131"/>
      <c r="C994" s="148"/>
      <c r="D994" s="51"/>
      <c r="E994" s="149"/>
      <c r="F994" s="56"/>
      <c r="G994" s="150"/>
      <c r="H994" s="59">
        <f t="shared" si="63"/>
        <v>0</v>
      </c>
      <c r="I994" s="145"/>
    </row>
    <row r="995" ht="22.5" customHeight="1">
      <c r="A995" s="147"/>
      <c r="B995" s="131"/>
      <c r="C995" s="148"/>
      <c r="D995" s="51"/>
      <c r="E995" s="149"/>
      <c r="F995" s="56"/>
      <c r="G995" s="150"/>
      <c r="H995" s="59">
        <f t="shared" si="63"/>
        <v>0</v>
      </c>
      <c r="I995" s="145"/>
    </row>
    <row r="996" ht="22.5" customHeight="1">
      <c r="A996" s="147"/>
      <c r="B996" s="131"/>
      <c r="C996" s="148"/>
      <c r="D996" s="51"/>
      <c r="E996" s="149"/>
      <c r="F996" s="56"/>
      <c r="G996" s="150"/>
      <c r="H996" s="59">
        <f t="shared" si="63"/>
        <v>0</v>
      </c>
      <c r="I996" s="145"/>
    </row>
    <row r="997" ht="22.5" customHeight="1">
      <c r="A997" s="147"/>
      <c r="B997" s="131"/>
      <c r="C997" s="148"/>
      <c r="D997" s="51"/>
      <c r="E997" s="149"/>
      <c r="F997" s="56"/>
      <c r="G997" s="150"/>
      <c r="H997" s="59">
        <f t="shared" si="63"/>
        <v>0</v>
      </c>
      <c r="I997" s="145"/>
    </row>
    <row r="998" ht="22.5" customHeight="1">
      <c r="A998" s="147"/>
      <c r="B998" s="131"/>
      <c r="C998" s="148"/>
      <c r="D998" s="51"/>
      <c r="E998" s="149"/>
      <c r="F998" s="56"/>
      <c r="G998" s="150"/>
      <c r="H998" s="59">
        <f t="shared" si="63"/>
        <v>0</v>
      </c>
      <c r="I998" s="145"/>
    </row>
    <row r="999" ht="22.5" customHeight="1">
      <c r="A999" s="147"/>
      <c r="B999" s="131"/>
      <c r="C999" s="148"/>
      <c r="D999" s="51"/>
      <c r="E999" s="149"/>
      <c r="F999" s="56"/>
      <c r="G999" s="150"/>
      <c r="H999" s="59">
        <f t="shared" si="63"/>
        <v>0</v>
      </c>
      <c r="I999" s="145"/>
    </row>
    <row r="1000" ht="22.5" customHeight="1">
      <c r="A1000" s="147"/>
      <c r="B1000" s="131"/>
      <c r="C1000" s="148"/>
      <c r="D1000" s="51"/>
      <c r="E1000" s="149"/>
      <c r="F1000" s="56"/>
      <c r="G1000" s="150"/>
      <c r="H1000" s="59">
        <f t="shared" si="63"/>
        <v>0</v>
      </c>
      <c r="I1000" s="145"/>
    </row>
    <row r="1001" ht="22.5" customHeight="1">
      <c r="A1001" s="147"/>
      <c r="B1001" s="131"/>
      <c r="C1001" s="148"/>
      <c r="D1001" s="51"/>
      <c r="E1001" s="149"/>
      <c r="F1001" s="56"/>
      <c r="G1001" s="150"/>
      <c r="H1001" s="59">
        <f t="shared" si="63"/>
        <v>0</v>
      </c>
      <c r="I1001" s="145"/>
    </row>
    <row r="1002" ht="22.5" customHeight="1">
      <c r="A1002" s="147"/>
      <c r="B1002" s="131"/>
      <c r="C1002" s="148"/>
      <c r="D1002" s="51"/>
      <c r="E1002" s="149"/>
      <c r="F1002" s="56"/>
      <c r="G1002" s="150"/>
      <c r="H1002" s="59">
        <f t="shared" si="63"/>
        <v>0</v>
      </c>
      <c r="I1002" s="145"/>
    </row>
    <row r="1003" ht="22.5" customHeight="1">
      <c r="A1003" s="147"/>
      <c r="B1003" s="131"/>
      <c r="C1003" s="148"/>
      <c r="D1003" s="51"/>
      <c r="E1003" s="149"/>
      <c r="F1003" s="56"/>
      <c r="G1003" s="150"/>
      <c r="H1003" s="59">
        <f t="shared" si="63"/>
        <v>0</v>
      </c>
      <c r="I1003" s="145"/>
    </row>
    <row r="1004" ht="22.5" customHeight="1">
      <c r="A1004" s="147"/>
      <c r="B1004" s="131"/>
      <c r="C1004" s="148"/>
      <c r="D1004" s="51"/>
      <c r="E1004" s="149"/>
      <c r="F1004" s="56"/>
      <c r="G1004" s="150"/>
      <c r="H1004" s="59">
        <f t="shared" si="63"/>
        <v>0</v>
      </c>
      <c r="I1004" s="145"/>
    </row>
    <row r="1005" ht="22.5" customHeight="1">
      <c r="A1005" s="147"/>
      <c r="B1005" s="131"/>
      <c r="C1005" s="148"/>
      <c r="D1005" s="51"/>
      <c r="E1005" s="149"/>
      <c r="F1005" s="56"/>
      <c r="G1005" s="150"/>
      <c r="H1005" s="59">
        <f t="shared" si="63"/>
        <v>0</v>
      </c>
      <c r="I1005" s="145"/>
    </row>
    <row r="1006" ht="22.5" customHeight="1">
      <c r="A1006" s="147"/>
      <c r="B1006" s="131"/>
      <c r="C1006" s="148"/>
      <c r="D1006" s="51"/>
      <c r="E1006" s="149"/>
      <c r="F1006" s="56"/>
      <c r="G1006" s="150"/>
      <c r="H1006" s="59">
        <f t="shared" si="63"/>
        <v>0</v>
      </c>
      <c r="I1006" s="145"/>
    </row>
    <row r="1007" ht="22.5" customHeight="1">
      <c r="A1007" s="147"/>
      <c r="B1007" s="131"/>
      <c r="C1007" s="148"/>
      <c r="D1007" s="51"/>
      <c r="E1007" s="149"/>
      <c r="F1007" s="56"/>
      <c r="G1007" s="150"/>
      <c r="H1007" s="59">
        <f t="shared" si="63"/>
        <v>0</v>
      </c>
      <c r="I1007" s="145"/>
    </row>
    <row r="1008" ht="22.5" customHeight="1">
      <c r="A1008" s="147"/>
      <c r="B1008" s="131"/>
      <c r="C1008" s="148"/>
      <c r="D1008" s="51"/>
      <c r="E1008" s="149"/>
      <c r="F1008" s="56"/>
      <c r="G1008" s="150"/>
      <c r="H1008" s="59">
        <f t="shared" si="63"/>
        <v>0</v>
      </c>
      <c r="I1008" s="145"/>
    </row>
    <row r="1009" ht="22.5" customHeight="1">
      <c r="A1009" s="147"/>
      <c r="B1009" s="131"/>
      <c r="C1009" s="148"/>
      <c r="D1009" s="51"/>
      <c r="E1009" s="149"/>
      <c r="F1009" s="56"/>
      <c r="G1009" s="150"/>
      <c r="H1009" s="59">
        <f t="shared" si="63"/>
        <v>0</v>
      </c>
      <c r="I1009" s="145"/>
    </row>
    <row r="1010" ht="22.5" customHeight="1">
      <c r="A1010" s="147"/>
      <c r="B1010" s="131"/>
      <c r="C1010" s="148"/>
      <c r="D1010" s="51"/>
      <c r="E1010" s="149"/>
      <c r="F1010" s="56"/>
      <c r="G1010" s="150"/>
      <c r="H1010" s="59">
        <f t="shared" si="63"/>
        <v>0</v>
      </c>
      <c r="I1010" s="145"/>
    </row>
    <row r="1011" ht="22.5" customHeight="1">
      <c r="A1011" s="147"/>
      <c r="B1011" s="131"/>
      <c r="C1011" s="148"/>
      <c r="D1011" s="51"/>
      <c r="E1011" s="149"/>
      <c r="F1011" s="56"/>
      <c r="G1011" s="150"/>
      <c r="H1011" s="59">
        <f t="shared" si="63"/>
        <v>0</v>
      </c>
      <c r="I1011" s="145"/>
    </row>
    <row r="1012" ht="22.5" customHeight="1">
      <c r="A1012" s="147"/>
      <c r="B1012" s="131"/>
      <c r="C1012" s="148"/>
      <c r="D1012" s="51"/>
      <c r="E1012" s="149"/>
      <c r="F1012" s="56"/>
      <c r="G1012" s="150"/>
      <c r="H1012" s="59">
        <f t="shared" si="63"/>
        <v>0</v>
      </c>
      <c r="I1012" s="145"/>
    </row>
    <row r="1013" ht="22.5" customHeight="1">
      <c r="A1013" s="147"/>
      <c r="B1013" s="131"/>
      <c r="C1013" s="148"/>
      <c r="D1013" s="51"/>
      <c r="E1013" s="149"/>
      <c r="F1013" s="56"/>
      <c r="G1013" s="150"/>
      <c r="H1013" s="59">
        <f t="shared" si="63"/>
        <v>0</v>
      </c>
      <c r="I1013" s="145"/>
    </row>
    <row r="1014" ht="22.5" customHeight="1">
      <c r="A1014" s="147"/>
      <c r="B1014" s="131"/>
      <c r="C1014" s="148"/>
      <c r="D1014" s="51"/>
      <c r="E1014" s="149"/>
      <c r="F1014" s="56"/>
      <c r="G1014" s="150"/>
      <c r="H1014" s="59">
        <f t="shared" si="63"/>
        <v>0</v>
      </c>
      <c r="I1014" s="145"/>
    </row>
    <row r="1015" ht="22.5" customHeight="1">
      <c r="A1015" s="147"/>
      <c r="B1015" s="131"/>
      <c r="C1015" s="148"/>
      <c r="D1015" s="51"/>
      <c r="E1015" s="149"/>
      <c r="F1015" s="56"/>
      <c r="G1015" s="150"/>
      <c r="H1015" s="59">
        <f t="shared" si="63"/>
        <v>0</v>
      </c>
      <c r="I1015" s="145"/>
    </row>
    <row r="1016" ht="22.5" customHeight="1">
      <c r="A1016" s="147"/>
      <c r="B1016" s="131"/>
      <c r="C1016" s="148"/>
      <c r="D1016" s="51"/>
      <c r="E1016" s="149"/>
      <c r="F1016" s="56"/>
      <c r="G1016" s="150"/>
      <c r="H1016" s="59">
        <f t="shared" si="63"/>
        <v>0</v>
      </c>
      <c r="I1016" s="145"/>
    </row>
    <row r="1017" ht="22.5" customHeight="1">
      <c r="A1017" s="147"/>
      <c r="B1017" s="131"/>
      <c r="C1017" s="148"/>
      <c r="D1017" s="51"/>
      <c r="E1017" s="149"/>
      <c r="F1017" s="56"/>
      <c r="G1017" s="150"/>
      <c r="H1017" s="59">
        <f t="shared" si="63"/>
        <v>0</v>
      </c>
      <c r="I1017" s="145"/>
    </row>
    <row r="1018" ht="22.5" customHeight="1">
      <c r="A1018" s="147"/>
      <c r="B1018" s="131"/>
      <c r="C1018" s="148"/>
      <c r="D1018" s="51"/>
      <c r="E1018" s="149"/>
      <c r="F1018" s="56"/>
      <c r="G1018" s="150"/>
      <c r="H1018" s="59">
        <f t="shared" si="63"/>
        <v>0</v>
      </c>
      <c r="I1018" s="145"/>
    </row>
    <row r="1019" ht="22.5" customHeight="1">
      <c r="A1019" s="147"/>
      <c r="B1019" s="131"/>
      <c r="C1019" s="148"/>
      <c r="D1019" s="51"/>
      <c r="E1019" s="149"/>
      <c r="F1019" s="56"/>
      <c r="G1019" s="150"/>
      <c r="H1019" s="59">
        <f t="shared" si="63"/>
        <v>0</v>
      </c>
      <c r="I1019" s="145"/>
    </row>
    <row r="1020" ht="22.5" customHeight="1">
      <c r="A1020" s="147"/>
      <c r="B1020" s="131"/>
      <c r="C1020" s="148"/>
      <c r="D1020" s="51"/>
      <c r="E1020" s="149"/>
      <c r="F1020" s="56"/>
      <c r="G1020" s="150"/>
      <c r="H1020" s="59">
        <f t="shared" si="63"/>
        <v>0</v>
      </c>
      <c r="I1020" s="145"/>
    </row>
    <row r="1021" ht="22.5" customHeight="1">
      <c r="A1021" s="147"/>
      <c r="B1021" s="131"/>
      <c r="C1021" s="148"/>
      <c r="D1021" s="51"/>
      <c r="E1021" s="149"/>
      <c r="F1021" s="56"/>
      <c r="G1021" s="150"/>
      <c r="H1021" s="59">
        <f t="shared" si="63"/>
        <v>0</v>
      </c>
      <c r="I1021" s="145"/>
    </row>
    <row r="1022" ht="22.5" customHeight="1">
      <c r="A1022" s="147"/>
      <c r="B1022" s="131"/>
      <c r="C1022" s="148"/>
      <c r="D1022" s="51"/>
      <c r="E1022" s="149"/>
      <c r="F1022" s="56"/>
      <c r="G1022" s="150"/>
      <c r="H1022" s="59">
        <f t="shared" si="63"/>
        <v>0</v>
      </c>
      <c r="I1022" s="145"/>
    </row>
    <row r="1023" ht="22.5" customHeight="1">
      <c r="A1023" s="147"/>
      <c r="B1023" s="131"/>
      <c r="C1023" s="148"/>
      <c r="D1023" s="51"/>
      <c r="E1023" s="149"/>
      <c r="F1023" s="56"/>
      <c r="G1023" s="150"/>
      <c r="H1023" s="59">
        <f t="shared" si="63"/>
        <v>0</v>
      </c>
      <c r="I1023" s="145"/>
    </row>
    <row r="1024" ht="22.5" customHeight="1">
      <c r="A1024" s="147"/>
      <c r="B1024" s="131"/>
      <c r="C1024" s="148"/>
      <c r="D1024" s="51"/>
      <c r="E1024" s="149"/>
      <c r="F1024" s="56"/>
      <c r="G1024" s="150"/>
      <c r="H1024" s="59">
        <f t="shared" si="63"/>
        <v>0</v>
      </c>
      <c r="I1024" s="145"/>
    </row>
    <row r="1025" ht="22.5" customHeight="1">
      <c r="A1025" s="147"/>
      <c r="B1025" s="131"/>
      <c r="C1025" s="148"/>
      <c r="D1025" s="51"/>
      <c r="E1025" s="149"/>
      <c r="F1025" s="56"/>
      <c r="G1025" s="150"/>
      <c r="H1025" s="59">
        <f t="shared" si="63"/>
        <v>0</v>
      </c>
      <c r="I1025" s="145"/>
    </row>
    <row r="1026" ht="22.5" customHeight="1">
      <c r="A1026" s="147"/>
      <c r="B1026" s="131"/>
      <c r="C1026" s="148"/>
      <c r="D1026" s="51"/>
      <c r="E1026" s="149"/>
      <c r="F1026" s="56"/>
      <c r="G1026" s="150"/>
      <c r="H1026" s="59">
        <f t="shared" si="63"/>
        <v>0</v>
      </c>
      <c r="I1026" s="145"/>
    </row>
    <row r="1027" ht="22.5" customHeight="1">
      <c r="A1027" s="147"/>
      <c r="B1027" s="131"/>
      <c r="C1027" s="148"/>
      <c r="D1027" s="51"/>
      <c r="E1027" s="149"/>
      <c r="F1027" s="56"/>
      <c r="G1027" s="150"/>
      <c r="H1027" s="59">
        <f t="shared" si="63"/>
        <v>0</v>
      </c>
      <c r="I1027" s="145"/>
    </row>
    <row r="1028" ht="22.5" customHeight="1">
      <c r="A1028" s="147"/>
      <c r="B1028" s="131"/>
      <c r="C1028" s="148"/>
      <c r="D1028" s="51"/>
      <c r="E1028" s="149"/>
      <c r="F1028" s="56"/>
      <c r="G1028" s="150"/>
      <c r="H1028" s="59">
        <f t="shared" si="63"/>
        <v>0</v>
      </c>
      <c r="I1028" s="145"/>
    </row>
    <row r="1029" ht="22.5" customHeight="1">
      <c r="A1029" s="147"/>
      <c r="B1029" s="131"/>
      <c r="C1029" s="148"/>
      <c r="D1029" s="51"/>
      <c r="E1029" s="149"/>
      <c r="F1029" s="56"/>
      <c r="G1029" s="150"/>
      <c r="H1029" s="59">
        <f t="shared" si="63"/>
        <v>0</v>
      </c>
      <c r="I1029" s="145"/>
    </row>
    <row r="1030" ht="22.5" customHeight="1">
      <c r="A1030" s="147"/>
      <c r="B1030" s="131"/>
      <c r="C1030" s="148"/>
      <c r="D1030" s="51"/>
      <c r="E1030" s="149"/>
      <c r="F1030" s="56"/>
      <c r="G1030" s="150"/>
      <c r="H1030" s="59">
        <f t="shared" si="63"/>
        <v>0</v>
      </c>
      <c r="I1030" s="145"/>
    </row>
    <row r="1031" ht="22.5" customHeight="1">
      <c r="A1031" s="147"/>
      <c r="B1031" s="131"/>
      <c r="C1031" s="148"/>
      <c r="D1031" s="51"/>
      <c r="E1031" s="149"/>
      <c r="F1031" s="56"/>
      <c r="G1031" s="150"/>
      <c r="H1031" s="59">
        <f t="shared" si="63"/>
        <v>0</v>
      </c>
      <c r="I1031" s="145"/>
    </row>
    <row r="1032" ht="22.5" customHeight="1">
      <c r="A1032" s="147"/>
      <c r="B1032" s="131"/>
      <c r="C1032" s="148"/>
      <c r="D1032" s="51"/>
      <c r="E1032" s="149"/>
      <c r="F1032" s="56"/>
      <c r="G1032" s="150"/>
      <c r="H1032" s="59">
        <f t="shared" si="63"/>
        <v>0</v>
      </c>
      <c r="I1032" s="145"/>
    </row>
    <row r="1033" ht="22.5" customHeight="1">
      <c r="A1033" s="147"/>
      <c r="B1033" s="131"/>
      <c r="C1033" s="148"/>
      <c r="D1033" s="51"/>
      <c r="E1033" s="149"/>
      <c r="F1033" s="56"/>
      <c r="G1033" s="150"/>
      <c r="H1033" s="59">
        <f t="shared" si="63"/>
        <v>0</v>
      </c>
      <c r="I1033" s="145"/>
    </row>
    <row r="1034" ht="22.5" customHeight="1">
      <c r="A1034" s="147"/>
      <c r="B1034" s="131"/>
      <c r="C1034" s="148"/>
      <c r="D1034" s="51"/>
      <c r="E1034" s="149"/>
      <c r="F1034" s="56"/>
      <c r="G1034" s="150"/>
      <c r="H1034" s="59">
        <f t="shared" si="63"/>
        <v>0</v>
      </c>
      <c r="I1034" s="145"/>
    </row>
    <row r="1035" ht="22.5" customHeight="1">
      <c r="A1035" s="147"/>
      <c r="B1035" s="131"/>
      <c r="C1035" s="148"/>
      <c r="D1035" s="51"/>
      <c r="E1035" s="149"/>
      <c r="F1035" s="56"/>
      <c r="G1035" s="150"/>
      <c r="H1035" s="59">
        <f t="shared" si="63"/>
        <v>0</v>
      </c>
      <c r="I1035" s="145"/>
    </row>
    <row r="1036" ht="22.5" customHeight="1">
      <c r="A1036" s="147"/>
      <c r="B1036" s="131"/>
      <c r="C1036" s="148"/>
      <c r="D1036" s="51"/>
      <c r="E1036" s="149"/>
      <c r="F1036" s="56"/>
      <c r="G1036" s="150"/>
      <c r="H1036" s="59">
        <f t="shared" si="63"/>
        <v>0</v>
      </c>
      <c r="I1036" s="145"/>
    </row>
    <row r="1037" ht="22.5" customHeight="1">
      <c r="A1037" s="147"/>
      <c r="B1037" s="131"/>
      <c r="C1037" s="148"/>
      <c r="D1037" s="51"/>
      <c r="E1037" s="149"/>
      <c r="F1037" s="56"/>
      <c r="G1037" s="150"/>
      <c r="H1037" s="59">
        <f t="shared" si="63"/>
        <v>0</v>
      </c>
      <c r="I1037" s="145"/>
    </row>
    <row r="1038" ht="22.5" customHeight="1">
      <c r="A1038" s="147"/>
      <c r="B1038" s="131"/>
      <c r="C1038" s="148"/>
      <c r="D1038" s="51"/>
      <c r="E1038" s="149"/>
      <c r="F1038" s="56"/>
      <c r="G1038" s="150"/>
      <c r="H1038" s="59">
        <f t="shared" si="63"/>
        <v>0</v>
      </c>
      <c r="I1038" s="145"/>
    </row>
    <row r="1039" ht="22.5" customHeight="1">
      <c r="A1039" s="147"/>
      <c r="B1039" s="131"/>
      <c r="C1039" s="148"/>
      <c r="D1039" s="51"/>
      <c r="E1039" s="149"/>
      <c r="F1039" s="56"/>
      <c r="G1039" s="150"/>
      <c r="H1039" s="59">
        <f t="shared" si="63"/>
        <v>0</v>
      </c>
      <c r="I1039" s="145"/>
    </row>
    <row r="1040" ht="22.5" customHeight="1">
      <c r="A1040" s="147"/>
      <c r="B1040" s="131"/>
      <c r="C1040" s="148"/>
      <c r="D1040" s="51"/>
      <c r="E1040" s="149"/>
      <c r="F1040" s="56"/>
      <c r="G1040" s="150"/>
      <c r="H1040" s="59">
        <f t="shared" si="63"/>
        <v>0</v>
      </c>
      <c r="I1040" s="145"/>
    </row>
    <row r="1041" ht="22.5" customHeight="1">
      <c r="A1041" s="147"/>
      <c r="B1041" s="131"/>
      <c r="C1041" s="148"/>
      <c r="D1041" s="51"/>
      <c r="E1041" s="149"/>
      <c r="F1041" s="56"/>
      <c r="G1041" s="150"/>
      <c r="H1041" s="59">
        <f t="shared" si="63"/>
        <v>0</v>
      </c>
      <c r="I1041" s="145"/>
    </row>
    <row r="1042" ht="22.5" customHeight="1">
      <c r="A1042" s="147"/>
      <c r="B1042" s="131"/>
      <c r="C1042" s="148"/>
      <c r="D1042" s="51"/>
      <c r="E1042" s="149"/>
      <c r="F1042" s="56"/>
      <c r="G1042" s="150"/>
      <c r="H1042" s="59">
        <f t="shared" si="63"/>
        <v>0</v>
      </c>
      <c r="I1042" s="145"/>
    </row>
    <row r="1043" ht="22.5" customHeight="1">
      <c r="A1043" s="147"/>
      <c r="B1043" s="131"/>
      <c r="C1043" s="148"/>
      <c r="D1043" s="51"/>
      <c r="E1043" s="149"/>
      <c r="F1043" s="56"/>
      <c r="G1043" s="150"/>
      <c r="H1043" s="59">
        <f t="shared" si="63"/>
        <v>0</v>
      </c>
      <c r="I1043" s="145"/>
    </row>
    <row r="1044" ht="22.5" customHeight="1">
      <c r="A1044" s="147"/>
      <c r="B1044" s="131"/>
      <c r="C1044" s="148"/>
      <c r="D1044" s="51"/>
      <c r="E1044" s="149"/>
      <c r="F1044" s="56"/>
      <c r="G1044" s="150"/>
      <c r="H1044" s="59">
        <f t="shared" si="63"/>
        <v>0</v>
      </c>
      <c r="I1044" s="145"/>
    </row>
    <row r="1045" ht="22.5" customHeight="1">
      <c r="A1045" s="147"/>
      <c r="B1045" s="131"/>
      <c r="C1045" s="148"/>
      <c r="D1045" s="51"/>
      <c r="E1045" s="149"/>
      <c r="F1045" s="56"/>
      <c r="G1045" s="150"/>
      <c r="H1045" s="59">
        <f t="shared" si="63"/>
        <v>0</v>
      </c>
      <c r="I1045" s="145"/>
    </row>
    <row r="1046" ht="22.5" customHeight="1">
      <c r="A1046" s="147"/>
      <c r="B1046" s="131"/>
      <c r="C1046" s="148"/>
      <c r="D1046" s="51"/>
      <c r="E1046" s="149"/>
      <c r="F1046" s="56"/>
      <c r="G1046" s="150"/>
      <c r="H1046" s="59">
        <f t="shared" si="63"/>
        <v>0</v>
      </c>
      <c r="I1046" s="145"/>
    </row>
    <row r="1047" ht="22.5" customHeight="1">
      <c r="A1047" s="147"/>
      <c r="B1047" s="131"/>
      <c r="C1047" s="148"/>
      <c r="D1047" s="51"/>
      <c r="E1047" s="149"/>
      <c r="F1047" s="56"/>
      <c r="G1047" s="150"/>
      <c r="H1047" s="59">
        <f t="shared" si="63"/>
        <v>0</v>
      </c>
      <c r="I1047" s="145"/>
    </row>
    <row r="1048" ht="22.5" customHeight="1">
      <c r="A1048" s="147"/>
      <c r="B1048" s="131"/>
      <c r="C1048" s="148"/>
      <c r="D1048" s="51"/>
      <c r="E1048" s="149"/>
      <c r="F1048" s="56"/>
      <c r="G1048" s="150"/>
      <c r="H1048" s="59">
        <f t="shared" si="63"/>
        <v>0</v>
      </c>
      <c r="I1048" s="145"/>
    </row>
    <row r="1049" ht="22.5" customHeight="1">
      <c r="A1049" s="147"/>
      <c r="B1049" s="131"/>
      <c r="C1049" s="148"/>
      <c r="D1049" s="51"/>
      <c r="E1049" s="149"/>
      <c r="F1049" s="56"/>
      <c r="G1049" s="150"/>
      <c r="H1049" s="59">
        <f t="shared" si="63"/>
        <v>0</v>
      </c>
      <c r="I1049" s="145"/>
    </row>
    <row r="1050" ht="22.5" customHeight="1">
      <c r="A1050" s="147"/>
      <c r="B1050" s="131"/>
      <c r="C1050" s="148"/>
      <c r="D1050" s="51"/>
      <c r="E1050" s="149"/>
      <c r="F1050" s="56"/>
      <c r="G1050" s="150"/>
      <c r="H1050" s="59">
        <f t="shared" si="63"/>
        <v>0</v>
      </c>
      <c r="I1050" s="145"/>
    </row>
    <row r="1051" ht="22.5" customHeight="1">
      <c r="A1051" s="147"/>
      <c r="B1051" s="131"/>
      <c r="C1051" s="148"/>
      <c r="D1051" s="51"/>
      <c r="E1051" s="149"/>
      <c r="F1051" s="56"/>
      <c r="G1051" s="150"/>
      <c r="H1051" s="59">
        <f t="shared" si="63"/>
        <v>0</v>
      </c>
      <c r="I1051" s="145"/>
    </row>
    <row r="1052" ht="22.5" customHeight="1">
      <c r="A1052" s="147"/>
      <c r="B1052" s="131"/>
      <c r="C1052" s="148"/>
      <c r="D1052" s="51"/>
      <c r="E1052" s="149"/>
      <c r="F1052" s="56"/>
      <c r="G1052" s="150"/>
      <c r="H1052" s="59">
        <f t="shared" si="63"/>
        <v>0</v>
      </c>
      <c r="I1052" s="145"/>
    </row>
    <row r="1053" ht="22.5" customHeight="1">
      <c r="A1053" s="147"/>
      <c r="B1053" s="131"/>
      <c r="C1053" s="148"/>
      <c r="D1053" s="51"/>
      <c r="E1053" s="149"/>
      <c r="F1053" s="56"/>
      <c r="G1053" s="150"/>
      <c r="H1053" s="59">
        <f t="shared" si="63"/>
        <v>0</v>
      </c>
      <c r="I1053" s="145"/>
    </row>
    <row r="1054" ht="22.5" customHeight="1">
      <c r="A1054" s="147"/>
      <c r="B1054" s="131"/>
      <c r="C1054" s="148"/>
      <c r="D1054" s="51"/>
      <c r="E1054" s="149"/>
      <c r="F1054" s="56"/>
      <c r="G1054" s="150"/>
      <c r="H1054" s="59">
        <f t="shared" si="63"/>
        <v>0</v>
      </c>
      <c r="I1054" s="145"/>
    </row>
    <row r="1055" ht="22.5" customHeight="1">
      <c r="A1055" s="147"/>
      <c r="B1055" s="131"/>
      <c r="C1055" s="148"/>
      <c r="D1055" s="51"/>
      <c r="E1055" s="149"/>
      <c r="F1055" s="56"/>
      <c r="G1055" s="150"/>
      <c r="H1055" s="59">
        <f t="shared" si="63"/>
        <v>0</v>
      </c>
      <c r="I1055" s="145"/>
    </row>
    <row r="1056" ht="22.5" customHeight="1">
      <c r="A1056" s="147"/>
      <c r="B1056" s="131"/>
      <c r="C1056" s="148"/>
      <c r="D1056" s="51"/>
      <c r="E1056" s="149"/>
      <c r="F1056" s="56"/>
      <c r="G1056" s="150"/>
      <c r="H1056" s="59">
        <f t="shared" si="63"/>
        <v>0</v>
      </c>
      <c r="I1056" s="145"/>
    </row>
    <row r="1057" ht="22.5" customHeight="1">
      <c r="A1057" s="147"/>
      <c r="B1057" s="131"/>
      <c r="C1057" s="148"/>
      <c r="D1057" s="51"/>
      <c r="E1057" s="149"/>
      <c r="F1057" s="56"/>
      <c r="G1057" s="150"/>
      <c r="H1057" s="59">
        <f t="shared" si="63"/>
        <v>0</v>
      </c>
      <c r="I1057" s="145"/>
    </row>
    <row r="1058" ht="22.5" customHeight="1">
      <c r="A1058" s="147"/>
      <c r="B1058" s="131"/>
      <c r="C1058" s="148"/>
      <c r="D1058" s="51"/>
      <c r="E1058" s="149"/>
      <c r="F1058" s="56"/>
      <c r="G1058" s="150"/>
      <c r="H1058" s="59">
        <f t="shared" si="63"/>
        <v>0</v>
      </c>
      <c r="I1058" s="145"/>
    </row>
    <row r="1059" ht="22.5" customHeight="1">
      <c r="A1059" s="147"/>
      <c r="B1059" s="131"/>
      <c r="C1059" s="148"/>
      <c r="D1059" s="51"/>
      <c r="E1059" s="149"/>
      <c r="F1059" s="56"/>
      <c r="G1059" s="150"/>
      <c r="H1059" s="59">
        <f t="shared" si="63"/>
        <v>0</v>
      </c>
      <c r="I1059" s="145"/>
    </row>
    <row r="1060" ht="22.5" customHeight="1">
      <c r="A1060" s="147"/>
      <c r="B1060" s="131"/>
      <c r="C1060" s="148"/>
      <c r="D1060" s="51"/>
      <c r="E1060" s="149"/>
      <c r="F1060" s="56"/>
      <c r="G1060" s="150"/>
      <c r="H1060" s="59">
        <f t="shared" si="63"/>
        <v>0</v>
      </c>
      <c r="I1060" s="145"/>
    </row>
    <row r="1061" ht="22.5" customHeight="1">
      <c r="A1061" s="147"/>
      <c r="B1061" s="131"/>
      <c r="C1061" s="148"/>
      <c r="D1061" s="51"/>
      <c r="E1061" s="149"/>
      <c r="F1061" s="56"/>
      <c r="G1061" s="150"/>
      <c r="H1061" s="59">
        <f t="shared" si="63"/>
        <v>0</v>
      </c>
      <c r="I1061" s="145"/>
    </row>
    <row r="1062" ht="22.5" customHeight="1">
      <c r="A1062" s="147"/>
      <c r="B1062" s="131"/>
      <c r="C1062" s="148"/>
      <c r="D1062" s="51"/>
      <c r="E1062" s="149"/>
      <c r="F1062" s="56"/>
      <c r="G1062" s="150"/>
      <c r="H1062" s="59">
        <f t="shared" si="63"/>
        <v>0</v>
      </c>
      <c r="I1062" s="145"/>
    </row>
    <row r="1063" ht="22.5" customHeight="1">
      <c r="A1063" s="147"/>
      <c r="B1063" s="131"/>
      <c r="C1063" s="148"/>
      <c r="D1063" s="51"/>
      <c r="E1063" s="149"/>
      <c r="F1063" s="56"/>
      <c r="G1063" s="150"/>
      <c r="H1063" s="59">
        <f t="shared" si="63"/>
        <v>0</v>
      </c>
      <c r="I1063" s="145"/>
    </row>
    <row r="1064" ht="22.5" customHeight="1">
      <c r="A1064" s="147"/>
      <c r="B1064" s="131"/>
      <c r="C1064" s="148"/>
      <c r="D1064" s="51"/>
      <c r="E1064" s="149"/>
      <c r="F1064" s="56"/>
      <c r="G1064" s="150"/>
      <c r="H1064" s="59">
        <f t="shared" si="63"/>
        <v>0</v>
      </c>
      <c r="I1064" s="145"/>
    </row>
    <row r="1065" ht="22.5" customHeight="1">
      <c r="A1065" s="147"/>
      <c r="B1065" s="131"/>
      <c r="C1065" s="148"/>
      <c r="D1065" s="51"/>
      <c r="E1065" s="149"/>
      <c r="F1065" s="56"/>
      <c r="G1065" s="150"/>
      <c r="H1065" s="59">
        <f t="shared" si="63"/>
        <v>0</v>
      </c>
      <c r="I1065" s="145"/>
    </row>
    <row r="1066" ht="22.5" customHeight="1">
      <c r="A1066" s="147"/>
      <c r="B1066" s="131"/>
      <c r="C1066" s="148"/>
      <c r="D1066" s="51"/>
      <c r="E1066" s="149"/>
      <c r="F1066" s="56"/>
      <c r="G1066" s="150"/>
      <c r="H1066" s="59">
        <f t="shared" si="63"/>
        <v>0</v>
      </c>
      <c r="I1066" s="145"/>
    </row>
    <row r="1067" ht="22.5" customHeight="1">
      <c r="A1067" s="147"/>
      <c r="B1067" s="131"/>
      <c r="C1067" s="148"/>
      <c r="D1067" s="51"/>
      <c r="E1067" s="149"/>
      <c r="F1067" s="56"/>
      <c r="G1067" s="150"/>
      <c r="H1067" s="59">
        <f t="shared" si="63"/>
        <v>0</v>
      </c>
      <c r="I1067" s="145"/>
    </row>
    <row r="1068" ht="22.5" customHeight="1">
      <c r="A1068" s="147"/>
      <c r="B1068" s="131"/>
      <c r="C1068" s="148"/>
      <c r="D1068" s="51"/>
      <c r="E1068" s="149"/>
      <c r="F1068" s="56"/>
      <c r="G1068" s="150"/>
      <c r="H1068" s="59">
        <f t="shared" si="63"/>
        <v>0</v>
      </c>
      <c r="I1068" s="145"/>
    </row>
    <row r="1069" ht="22.5" customHeight="1">
      <c r="A1069" s="147"/>
      <c r="B1069" s="131"/>
      <c r="C1069" s="148"/>
      <c r="D1069" s="51"/>
      <c r="E1069" s="149"/>
      <c r="F1069" s="56"/>
      <c r="G1069" s="150"/>
      <c r="H1069" s="59">
        <f t="shared" si="63"/>
        <v>0</v>
      </c>
      <c r="I1069" s="145"/>
    </row>
    <row r="1070" ht="22.5" customHeight="1">
      <c r="A1070" s="147"/>
      <c r="B1070" s="131"/>
      <c r="C1070" s="148"/>
      <c r="D1070" s="51"/>
      <c r="E1070" s="149"/>
      <c r="F1070" s="56"/>
      <c r="G1070" s="150"/>
      <c r="H1070" s="59">
        <f t="shared" si="63"/>
        <v>0</v>
      </c>
      <c r="I1070" s="145"/>
    </row>
    <row r="1071" ht="22.5" customHeight="1">
      <c r="A1071" s="147"/>
      <c r="B1071" s="131"/>
      <c r="C1071" s="148"/>
      <c r="D1071" s="51"/>
      <c r="E1071" s="149"/>
      <c r="F1071" s="56"/>
      <c r="G1071" s="150"/>
      <c r="H1071" s="59">
        <f t="shared" si="63"/>
        <v>0</v>
      </c>
      <c r="I1071" s="145"/>
    </row>
    <row r="1072" ht="22.5" customHeight="1">
      <c r="A1072" s="147"/>
      <c r="B1072" s="131"/>
      <c r="C1072" s="148"/>
      <c r="D1072" s="51"/>
      <c r="E1072" s="149"/>
      <c r="F1072" s="56"/>
      <c r="G1072" s="150"/>
      <c r="H1072" s="59">
        <f t="shared" si="63"/>
        <v>0</v>
      </c>
      <c r="I1072" s="145"/>
    </row>
    <row r="1073" ht="22.5" customHeight="1">
      <c r="A1073" s="147"/>
      <c r="B1073" s="131"/>
      <c r="C1073" s="148"/>
      <c r="D1073" s="51"/>
      <c r="E1073" s="149"/>
      <c r="F1073" s="56"/>
      <c r="G1073" s="150"/>
      <c r="H1073" s="59">
        <f t="shared" si="63"/>
        <v>0</v>
      </c>
      <c r="I1073" s="145"/>
    </row>
    <row r="1074" ht="22.5" customHeight="1">
      <c r="A1074" s="147"/>
      <c r="B1074" s="131"/>
      <c r="C1074" s="148"/>
      <c r="D1074" s="51"/>
      <c r="E1074" s="149"/>
      <c r="F1074" s="56"/>
      <c r="G1074" s="150"/>
      <c r="H1074" s="59">
        <f t="shared" si="63"/>
        <v>0</v>
      </c>
      <c r="I1074" s="145"/>
    </row>
    <row r="1075" ht="22.5" customHeight="1">
      <c r="A1075" s="147"/>
      <c r="B1075" s="131"/>
      <c r="C1075" s="148"/>
      <c r="D1075" s="51"/>
      <c r="E1075" s="149"/>
      <c r="F1075" s="56"/>
      <c r="G1075" s="150"/>
      <c r="H1075" s="59">
        <f t="shared" si="63"/>
        <v>0</v>
      </c>
      <c r="I1075" s="145"/>
    </row>
    <row r="1076" ht="22.5" customHeight="1">
      <c r="A1076" s="147"/>
      <c r="B1076" s="131"/>
      <c r="C1076" s="148"/>
      <c r="D1076" s="51"/>
      <c r="E1076" s="149"/>
      <c r="F1076" s="56"/>
      <c r="G1076" s="150"/>
      <c r="H1076" s="59">
        <f t="shared" si="63"/>
        <v>0</v>
      </c>
      <c r="I1076" s="145"/>
    </row>
    <row r="1077" ht="22.5" customHeight="1">
      <c r="A1077" s="147"/>
      <c r="B1077" s="131"/>
      <c r="C1077" s="148"/>
      <c r="D1077" s="51"/>
      <c r="E1077" s="149"/>
      <c r="F1077" s="56"/>
      <c r="G1077" s="150"/>
      <c r="H1077" s="59">
        <f t="shared" si="63"/>
        <v>0</v>
      </c>
      <c r="I1077" s="145"/>
    </row>
    <row r="1078" ht="22.5" customHeight="1">
      <c r="A1078" s="147"/>
      <c r="B1078" s="131"/>
      <c r="C1078" s="148"/>
      <c r="D1078" s="51"/>
      <c r="E1078" s="149"/>
      <c r="F1078" s="56"/>
      <c r="G1078" s="150"/>
      <c r="H1078" s="59">
        <f t="shared" si="63"/>
        <v>0</v>
      </c>
      <c r="I1078" s="145"/>
    </row>
    <row r="1079" ht="22.5" customHeight="1">
      <c r="A1079" s="147"/>
      <c r="B1079" s="131"/>
      <c r="C1079" s="148"/>
      <c r="D1079" s="51"/>
      <c r="E1079" s="149"/>
      <c r="F1079" s="56"/>
      <c r="G1079" s="150"/>
      <c r="H1079" s="59">
        <f t="shared" si="63"/>
        <v>0</v>
      </c>
      <c r="I1079" s="145"/>
    </row>
    <row r="1080" ht="22.5" customHeight="1">
      <c r="A1080" s="147"/>
      <c r="B1080" s="131"/>
      <c r="C1080" s="148"/>
      <c r="D1080" s="51"/>
      <c r="E1080" s="149"/>
      <c r="F1080" s="56"/>
      <c r="G1080" s="150"/>
      <c r="H1080" s="59">
        <f t="shared" si="63"/>
        <v>0</v>
      </c>
      <c r="I1080" s="145"/>
    </row>
    <row r="1081" ht="22.5" customHeight="1">
      <c r="A1081" s="147"/>
      <c r="B1081" s="131"/>
      <c r="C1081" s="148"/>
      <c r="D1081" s="51"/>
      <c r="E1081" s="149"/>
      <c r="F1081" s="56"/>
      <c r="G1081" s="150"/>
      <c r="H1081" s="59">
        <f t="shared" si="63"/>
        <v>0</v>
      </c>
      <c r="I1081" s="145"/>
    </row>
    <row r="1082" ht="22.5" customHeight="1">
      <c r="A1082" s="147"/>
      <c r="B1082" s="131"/>
      <c r="C1082" s="148"/>
      <c r="D1082" s="51"/>
      <c r="E1082" s="149"/>
      <c r="F1082" s="56"/>
      <c r="G1082" s="150"/>
      <c r="H1082" s="59">
        <f t="shared" si="63"/>
        <v>0</v>
      </c>
      <c r="I1082" s="145"/>
    </row>
    <row r="1083" ht="22.5" customHeight="1">
      <c r="A1083" s="147"/>
      <c r="B1083" s="131"/>
      <c r="C1083" s="148"/>
      <c r="D1083" s="51"/>
      <c r="E1083" s="149"/>
      <c r="F1083" s="56"/>
      <c r="G1083" s="150"/>
      <c r="H1083" s="59">
        <f t="shared" si="63"/>
        <v>0</v>
      </c>
      <c r="I1083" s="145"/>
    </row>
    <row r="1084" ht="22.5" customHeight="1">
      <c r="A1084" s="147"/>
      <c r="B1084" s="131"/>
      <c r="C1084" s="148"/>
      <c r="D1084" s="51"/>
      <c r="E1084" s="149"/>
      <c r="F1084" s="56"/>
      <c r="G1084" s="150"/>
      <c r="H1084" s="59">
        <f t="shared" si="63"/>
        <v>0</v>
      </c>
      <c r="I1084" s="145"/>
    </row>
    <row r="1085" ht="22.5" customHeight="1">
      <c r="A1085" s="147"/>
      <c r="B1085" s="131"/>
      <c r="C1085" s="148"/>
      <c r="D1085" s="51"/>
      <c r="E1085" s="149"/>
      <c r="F1085" s="56"/>
      <c r="G1085" s="150"/>
      <c r="H1085" s="59">
        <f t="shared" si="63"/>
        <v>0</v>
      </c>
      <c r="I1085" s="145"/>
    </row>
    <row r="1086" ht="22.5" customHeight="1">
      <c r="A1086" s="147"/>
      <c r="B1086" s="131"/>
      <c r="C1086" s="148"/>
      <c r="D1086" s="51"/>
      <c r="E1086" s="149"/>
      <c r="F1086" s="56"/>
      <c r="G1086" s="150"/>
      <c r="H1086" s="59">
        <f t="shared" si="63"/>
        <v>0</v>
      </c>
      <c r="I1086" s="145"/>
    </row>
    <row r="1087" ht="22.5" customHeight="1">
      <c r="A1087" s="147"/>
      <c r="B1087" s="131"/>
      <c r="C1087" s="148"/>
      <c r="D1087" s="51"/>
      <c r="E1087" s="149"/>
      <c r="F1087" s="56"/>
      <c r="G1087" s="150"/>
      <c r="H1087" s="59">
        <f t="shared" si="63"/>
        <v>0</v>
      </c>
      <c r="I1087" s="145"/>
    </row>
    <row r="1088" ht="22.5" customHeight="1">
      <c r="A1088" s="147"/>
      <c r="B1088" s="131"/>
      <c r="C1088" s="148"/>
      <c r="D1088" s="51"/>
      <c r="E1088" s="149"/>
      <c r="F1088" s="56"/>
      <c r="G1088" s="150"/>
      <c r="H1088" s="59">
        <f t="shared" si="63"/>
        <v>0</v>
      </c>
      <c r="I1088" s="145"/>
    </row>
    <row r="1089" ht="22.5" customHeight="1">
      <c r="A1089" s="147"/>
      <c r="B1089" s="131"/>
      <c r="C1089" s="148"/>
      <c r="D1089" s="51"/>
      <c r="E1089" s="149"/>
      <c r="F1089" s="56"/>
      <c r="G1089" s="150"/>
      <c r="H1089" s="59">
        <f t="shared" si="63"/>
        <v>0</v>
      </c>
      <c r="I1089" s="145"/>
    </row>
    <row r="1090" ht="22.5" customHeight="1">
      <c r="A1090" s="147"/>
      <c r="B1090" s="131"/>
      <c r="C1090" s="148"/>
      <c r="D1090" s="51"/>
      <c r="E1090" s="149"/>
      <c r="F1090" s="56"/>
      <c r="G1090" s="150"/>
      <c r="H1090" s="59">
        <f t="shared" si="63"/>
        <v>0</v>
      </c>
      <c r="I1090" s="145"/>
    </row>
    <row r="1091" ht="22.5" customHeight="1">
      <c r="A1091" s="147"/>
      <c r="B1091" s="131"/>
      <c r="C1091" s="148"/>
      <c r="D1091" s="51"/>
      <c r="E1091" s="149"/>
      <c r="F1091" s="56"/>
      <c r="G1091" s="150"/>
      <c r="H1091" s="59">
        <f t="shared" si="63"/>
        <v>0</v>
      </c>
      <c r="I1091" s="145"/>
    </row>
    <row r="1092" ht="22.5" customHeight="1">
      <c r="A1092" s="147"/>
      <c r="B1092" s="131"/>
      <c r="C1092" s="148"/>
      <c r="D1092" s="51"/>
      <c r="E1092" s="149"/>
      <c r="F1092" s="56"/>
      <c r="G1092" s="150"/>
      <c r="H1092" s="59">
        <f t="shared" si="63"/>
        <v>0</v>
      </c>
      <c r="I1092" s="145"/>
    </row>
    <row r="1093" ht="22.5" customHeight="1">
      <c r="A1093" s="147"/>
      <c r="B1093" s="131"/>
      <c r="C1093" s="148"/>
      <c r="D1093" s="51"/>
      <c r="E1093" s="149"/>
      <c r="F1093" s="56"/>
      <c r="G1093" s="150"/>
      <c r="H1093" s="59">
        <f t="shared" si="63"/>
        <v>0</v>
      </c>
      <c r="I1093" s="145"/>
    </row>
    <row r="1094" ht="22.5" customHeight="1">
      <c r="A1094" s="147"/>
      <c r="B1094" s="131"/>
      <c r="C1094" s="148"/>
      <c r="D1094" s="51"/>
      <c r="E1094" s="149"/>
      <c r="F1094" s="56"/>
      <c r="G1094" s="150"/>
      <c r="H1094" s="59">
        <f t="shared" si="63"/>
        <v>0</v>
      </c>
      <c r="I1094" s="145"/>
    </row>
    <row r="1095" ht="22.5" customHeight="1">
      <c r="A1095" s="147"/>
      <c r="B1095" s="131"/>
      <c r="C1095" s="148"/>
      <c r="D1095" s="51"/>
      <c r="E1095" s="149"/>
      <c r="F1095" s="56"/>
      <c r="G1095" s="150"/>
      <c r="H1095" s="59">
        <f t="shared" si="63"/>
        <v>0</v>
      </c>
      <c r="I1095" s="145"/>
    </row>
    <row r="1096" ht="22.5" customHeight="1">
      <c r="A1096" s="147"/>
      <c r="B1096" s="131"/>
      <c r="C1096" s="148"/>
      <c r="D1096" s="51"/>
      <c r="E1096" s="149"/>
      <c r="F1096" s="56"/>
      <c r="G1096" s="150"/>
      <c r="H1096" s="59">
        <f t="shared" si="63"/>
        <v>0</v>
      </c>
      <c r="I1096" s="145"/>
    </row>
    <row r="1097" ht="22.5" customHeight="1">
      <c r="A1097" s="147"/>
      <c r="B1097" s="131"/>
      <c r="C1097" s="148"/>
      <c r="D1097" s="51"/>
      <c r="E1097" s="149"/>
      <c r="F1097" s="56"/>
      <c r="G1097" s="150"/>
      <c r="H1097" s="59">
        <f t="shared" si="63"/>
        <v>0</v>
      </c>
      <c r="I1097" s="145"/>
    </row>
    <row r="1098" ht="22.5" customHeight="1">
      <c r="A1098" s="147"/>
      <c r="B1098" s="131"/>
      <c r="C1098" s="148"/>
      <c r="D1098" s="51"/>
      <c r="E1098" s="149"/>
      <c r="F1098" s="56"/>
      <c r="G1098" s="150"/>
      <c r="H1098" s="59">
        <f t="shared" si="63"/>
        <v>0</v>
      </c>
      <c r="I1098" s="145"/>
    </row>
    <row r="1099" ht="22.5" customHeight="1">
      <c r="A1099" s="147"/>
      <c r="B1099" s="131"/>
      <c r="C1099" s="148"/>
      <c r="D1099" s="51"/>
      <c r="E1099" s="149"/>
      <c r="F1099" s="56"/>
      <c r="G1099" s="150"/>
      <c r="H1099" s="59">
        <f t="shared" si="63"/>
        <v>0</v>
      </c>
      <c r="I1099" s="145"/>
    </row>
    <row r="1100" ht="22.5" customHeight="1">
      <c r="A1100" s="147"/>
      <c r="B1100" s="131"/>
      <c r="C1100" s="148"/>
      <c r="D1100" s="51"/>
      <c r="E1100" s="149"/>
      <c r="F1100" s="56"/>
      <c r="G1100" s="150"/>
      <c r="H1100" s="59">
        <f t="shared" si="63"/>
        <v>0</v>
      </c>
      <c r="I1100" s="145"/>
    </row>
    <row r="1101" ht="22.5" customHeight="1">
      <c r="A1101" s="147"/>
      <c r="B1101" s="131"/>
      <c r="C1101" s="148"/>
      <c r="D1101" s="51"/>
      <c r="E1101" s="149"/>
      <c r="F1101" s="56"/>
      <c r="G1101" s="150"/>
      <c r="H1101" s="59">
        <f t="shared" si="63"/>
        <v>0</v>
      </c>
      <c r="I1101" s="145"/>
    </row>
    <row r="1102" ht="22.5" customHeight="1">
      <c r="A1102" s="147"/>
      <c r="B1102" s="131"/>
      <c r="C1102" s="148"/>
      <c r="D1102" s="51"/>
      <c r="E1102" s="149"/>
      <c r="F1102" s="56"/>
      <c r="G1102" s="150"/>
      <c r="H1102" s="59">
        <f t="shared" si="63"/>
        <v>0</v>
      </c>
      <c r="I1102" s="145"/>
    </row>
    <row r="1103" ht="22.5" customHeight="1">
      <c r="A1103" s="147"/>
      <c r="B1103" s="131"/>
      <c r="C1103" s="148"/>
      <c r="D1103" s="51"/>
      <c r="E1103" s="149"/>
      <c r="F1103" s="56"/>
      <c r="G1103" s="150"/>
      <c r="H1103" s="59">
        <f t="shared" si="63"/>
        <v>0</v>
      </c>
      <c r="I1103" s="145"/>
    </row>
    <row r="1104" ht="22.5" customHeight="1">
      <c r="A1104" s="147"/>
      <c r="B1104" s="131"/>
      <c r="C1104" s="148"/>
      <c r="D1104" s="51"/>
      <c r="E1104" s="149"/>
      <c r="F1104" s="56"/>
      <c r="G1104" s="150"/>
      <c r="H1104" s="59">
        <f t="shared" si="63"/>
        <v>0</v>
      </c>
      <c r="I1104" s="145"/>
    </row>
    <row r="1105" ht="22.5" customHeight="1">
      <c r="A1105" s="147"/>
      <c r="B1105" s="131"/>
      <c r="C1105" s="148"/>
      <c r="D1105" s="51"/>
      <c r="E1105" s="149"/>
      <c r="F1105" s="56"/>
      <c r="G1105" s="150"/>
      <c r="H1105" s="59">
        <f t="shared" si="63"/>
        <v>0</v>
      </c>
      <c r="I1105" s="145"/>
    </row>
    <row r="1106" ht="22.5" customHeight="1">
      <c r="A1106" s="147"/>
      <c r="B1106" s="131"/>
      <c r="C1106" s="148"/>
      <c r="D1106" s="51"/>
      <c r="E1106" s="149"/>
      <c r="F1106" s="56"/>
      <c r="G1106" s="150"/>
      <c r="H1106" s="59">
        <f t="shared" si="63"/>
        <v>0</v>
      </c>
      <c r="I1106" s="145"/>
    </row>
    <row r="1107" ht="22.5" customHeight="1">
      <c r="A1107" s="147"/>
      <c r="B1107" s="131"/>
      <c r="C1107" s="148"/>
      <c r="D1107" s="51"/>
      <c r="E1107" s="149"/>
      <c r="F1107" s="56"/>
      <c r="G1107" s="150"/>
      <c r="H1107" s="59">
        <f t="shared" si="63"/>
        <v>0</v>
      </c>
      <c r="I1107" s="145"/>
    </row>
    <row r="1108" ht="22.5" customHeight="1">
      <c r="A1108" s="147"/>
      <c r="B1108" s="131"/>
      <c r="C1108" s="148"/>
      <c r="D1108" s="51"/>
      <c r="E1108" s="149"/>
      <c r="F1108" s="56"/>
      <c r="G1108" s="150"/>
      <c r="H1108" s="59">
        <f t="shared" si="63"/>
        <v>0</v>
      </c>
      <c r="I1108" s="145"/>
    </row>
    <row r="1109" ht="22.5" customHeight="1">
      <c r="A1109" s="147"/>
      <c r="B1109" s="131"/>
      <c r="C1109" s="148"/>
      <c r="D1109" s="51"/>
      <c r="E1109" s="149"/>
      <c r="F1109" s="56"/>
      <c r="G1109" s="150"/>
      <c r="H1109" s="59">
        <f t="shared" si="63"/>
        <v>0</v>
      </c>
      <c r="I1109" s="145"/>
    </row>
    <row r="1110" ht="22.5" customHeight="1">
      <c r="A1110" s="147"/>
      <c r="B1110" s="131"/>
      <c r="C1110" s="148"/>
      <c r="D1110" s="51"/>
      <c r="E1110" s="149"/>
      <c r="F1110" s="56"/>
      <c r="G1110" s="150"/>
      <c r="H1110" s="59">
        <f t="shared" si="63"/>
        <v>0</v>
      </c>
      <c r="I1110" s="145"/>
    </row>
    <row r="1111" ht="22.5" customHeight="1">
      <c r="A1111" s="147"/>
      <c r="B1111" s="131"/>
      <c r="C1111" s="148"/>
      <c r="D1111" s="51"/>
      <c r="E1111" s="149"/>
      <c r="F1111" s="56"/>
      <c r="G1111" s="150"/>
      <c r="H1111" s="59">
        <f t="shared" si="63"/>
        <v>0</v>
      </c>
      <c r="I1111" s="145"/>
    </row>
    <row r="1112" ht="22.5" customHeight="1">
      <c r="A1112" s="147"/>
      <c r="B1112" s="131"/>
      <c r="C1112" s="148"/>
      <c r="D1112" s="51"/>
      <c r="E1112" s="149"/>
      <c r="F1112" s="56"/>
      <c r="G1112" s="150"/>
      <c r="H1112" s="59">
        <f t="shared" si="63"/>
        <v>0</v>
      </c>
      <c r="I1112" s="145"/>
    </row>
    <row r="1113" ht="22.5" customHeight="1">
      <c r="A1113" s="147"/>
      <c r="B1113" s="131"/>
      <c r="C1113" s="148"/>
      <c r="D1113" s="51"/>
      <c r="E1113" s="149"/>
      <c r="F1113" s="56"/>
      <c r="G1113" s="150"/>
      <c r="H1113" s="59">
        <f t="shared" si="63"/>
        <v>0</v>
      </c>
      <c r="I1113" s="145"/>
    </row>
    <row r="1114" ht="22.5" customHeight="1">
      <c r="A1114" s="147"/>
      <c r="B1114" s="131"/>
      <c r="C1114" s="148"/>
      <c r="D1114" s="51"/>
      <c r="E1114" s="149"/>
      <c r="F1114" s="56"/>
      <c r="G1114" s="150"/>
      <c r="H1114" s="59">
        <f t="shared" si="63"/>
        <v>0</v>
      </c>
      <c r="I1114" s="145"/>
    </row>
    <row r="1115" ht="22.5" customHeight="1">
      <c r="A1115" s="147"/>
      <c r="B1115" s="131"/>
      <c r="C1115" s="148"/>
      <c r="D1115" s="51"/>
      <c r="E1115" s="149"/>
      <c r="F1115" s="56"/>
      <c r="G1115" s="150"/>
      <c r="H1115" s="59">
        <f t="shared" si="63"/>
        <v>0</v>
      </c>
      <c r="I1115" s="145"/>
    </row>
    <row r="1116" ht="22.5" customHeight="1">
      <c r="A1116" s="147"/>
      <c r="B1116" s="131"/>
      <c r="C1116" s="148"/>
      <c r="D1116" s="51"/>
      <c r="E1116" s="149"/>
      <c r="F1116" s="56"/>
      <c r="G1116" s="150"/>
      <c r="H1116" s="59">
        <f t="shared" si="63"/>
        <v>0</v>
      </c>
      <c r="I1116" s="145"/>
    </row>
    <row r="1117" ht="22.5" customHeight="1">
      <c r="A1117" s="147"/>
      <c r="B1117" s="131"/>
      <c r="C1117" s="148"/>
      <c r="D1117" s="51"/>
      <c r="E1117" s="149"/>
      <c r="F1117" s="56"/>
      <c r="G1117" s="150"/>
      <c r="H1117" s="59">
        <f t="shared" si="63"/>
        <v>0</v>
      </c>
      <c r="I1117" s="145"/>
    </row>
    <row r="1118" ht="22.5" customHeight="1">
      <c r="A1118" s="147"/>
      <c r="B1118" s="131"/>
      <c r="C1118" s="148"/>
      <c r="D1118" s="51"/>
      <c r="E1118" s="149"/>
      <c r="F1118" s="56"/>
      <c r="G1118" s="150"/>
      <c r="H1118" s="59">
        <f t="shared" si="63"/>
        <v>0</v>
      </c>
      <c r="I1118" s="145"/>
    </row>
    <row r="1119" ht="22.5" customHeight="1">
      <c r="A1119" s="147"/>
      <c r="B1119" s="131"/>
      <c r="C1119" s="148"/>
      <c r="D1119" s="51"/>
      <c r="E1119" s="149"/>
      <c r="F1119" s="56"/>
      <c r="G1119" s="150"/>
      <c r="H1119" s="59">
        <f t="shared" si="63"/>
        <v>0</v>
      </c>
      <c r="I1119" s="145"/>
    </row>
    <row r="1120" ht="22.5" customHeight="1">
      <c r="A1120" s="147"/>
      <c r="B1120" s="131"/>
      <c r="C1120" s="148"/>
      <c r="D1120" s="51"/>
      <c r="E1120" s="149"/>
      <c r="F1120" s="56"/>
      <c r="G1120" s="150"/>
      <c r="H1120" s="59">
        <f t="shared" si="63"/>
        <v>0</v>
      </c>
      <c r="I1120" s="145"/>
    </row>
    <row r="1121" ht="22.5" customHeight="1">
      <c r="A1121" s="147"/>
      <c r="B1121" s="131"/>
      <c r="C1121" s="148"/>
      <c r="D1121" s="51"/>
      <c r="E1121" s="149"/>
      <c r="F1121" s="56"/>
      <c r="G1121" s="150"/>
      <c r="H1121" s="59">
        <f t="shared" si="63"/>
        <v>0</v>
      </c>
      <c r="I1121" s="145"/>
    </row>
    <row r="1122" ht="22.5" customHeight="1">
      <c r="A1122" s="147"/>
      <c r="B1122" s="131"/>
      <c r="C1122" s="148"/>
      <c r="D1122" s="51"/>
      <c r="E1122" s="149"/>
      <c r="F1122" s="56"/>
      <c r="G1122" s="150"/>
      <c r="H1122" s="59">
        <f t="shared" si="63"/>
        <v>0</v>
      </c>
      <c r="I1122" s="145"/>
    </row>
    <row r="1123" ht="22.5" customHeight="1">
      <c r="A1123" s="147"/>
      <c r="B1123" s="131"/>
      <c r="C1123" s="148"/>
      <c r="D1123" s="51"/>
      <c r="E1123" s="149"/>
      <c r="F1123" s="56"/>
      <c r="G1123" s="150"/>
      <c r="H1123" s="59">
        <f t="shared" si="63"/>
        <v>0</v>
      </c>
      <c r="I1123" s="145"/>
    </row>
    <row r="1124" ht="22.5" customHeight="1">
      <c r="A1124" s="147"/>
      <c r="B1124" s="131"/>
      <c r="C1124" s="148"/>
      <c r="D1124" s="51"/>
      <c r="E1124" s="149"/>
      <c r="F1124" s="56"/>
      <c r="G1124" s="150"/>
      <c r="H1124" s="59">
        <f t="shared" si="63"/>
        <v>0</v>
      </c>
      <c r="I1124" s="145"/>
    </row>
    <row r="1125" ht="22.5" customHeight="1">
      <c r="A1125" s="147"/>
      <c r="B1125" s="131"/>
      <c r="C1125" s="148"/>
      <c r="D1125" s="51"/>
      <c r="E1125" s="149"/>
      <c r="F1125" s="56"/>
      <c r="G1125" s="150"/>
      <c r="H1125" s="59">
        <f t="shared" si="63"/>
        <v>0</v>
      </c>
      <c r="I1125" s="145"/>
    </row>
    <row r="1126" ht="22.5" customHeight="1">
      <c r="A1126" s="147"/>
      <c r="B1126" s="131"/>
      <c r="C1126" s="148"/>
      <c r="D1126" s="51"/>
      <c r="E1126" s="149"/>
      <c r="F1126" s="56"/>
      <c r="G1126" s="150"/>
      <c r="H1126" s="59">
        <f t="shared" si="63"/>
        <v>0</v>
      </c>
      <c r="I1126" s="145"/>
    </row>
    <row r="1127" ht="22.5" customHeight="1">
      <c r="A1127" s="147"/>
      <c r="B1127" s="131"/>
      <c r="C1127" s="148"/>
      <c r="D1127" s="51"/>
      <c r="E1127" s="149"/>
      <c r="F1127" s="56"/>
      <c r="G1127" s="150"/>
      <c r="H1127" s="59">
        <f t="shared" si="63"/>
        <v>0</v>
      </c>
      <c r="I1127" s="145"/>
    </row>
    <row r="1128" ht="22.5" customHeight="1">
      <c r="A1128" s="147"/>
      <c r="B1128" s="131"/>
      <c r="C1128" s="148"/>
      <c r="D1128" s="51"/>
      <c r="E1128" s="149"/>
      <c r="F1128" s="56"/>
      <c r="G1128" s="150"/>
      <c r="H1128" s="59">
        <f t="shared" si="63"/>
        <v>0</v>
      </c>
      <c r="I1128" s="145"/>
    </row>
    <row r="1129" ht="22.5" customHeight="1">
      <c r="A1129" s="147"/>
      <c r="B1129" s="131"/>
      <c r="C1129" s="148"/>
      <c r="D1129" s="51"/>
      <c r="E1129" s="149"/>
      <c r="F1129" s="56"/>
      <c r="G1129" s="150"/>
      <c r="H1129" s="59">
        <f t="shared" si="63"/>
        <v>0</v>
      </c>
      <c r="I1129" s="145"/>
    </row>
    <row r="1130" ht="22.5" customHeight="1">
      <c r="A1130" s="147"/>
      <c r="B1130" s="131"/>
      <c r="C1130" s="148"/>
      <c r="D1130" s="51"/>
      <c r="E1130" s="149"/>
      <c r="F1130" s="56"/>
      <c r="G1130" s="150"/>
      <c r="H1130" s="59">
        <f t="shared" si="63"/>
        <v>0</v>
      </c>
      <c r="I1130" s="145"/>
    </row>
    <row r="1131" ht="22.5" customHeight="1">
      <c r="A1131" s="147"/>
      <c r="B1131" s="131"/>
      <c r="C1131" s="148"/>
      <c r="D1131" s="51"/>
      <c r="E1131" s="149"/>
      <c r="F1131" s="56"/>
      <c r="G1131" s="150"/>
      <c r="H1131" s="59">
        <f t="shared" si="63"/>
        <v>0</v>
      </c>
      <c r="I1131" s="145"/>
    </row>
    <row r="1132" ht="22.5" customHeight="1">
      <c r="A1132" s="147"/>
      <c r="B1132" s="131"/>
      <c r="C1132" s="148"/>
      <c r="D1132" s="51"/>
      <c r="E1132" s="149"/>
      <c r="F1132" s="56"/>
      <c r="G1132" s="150"/>
      <c r="H1132" s="59">
        <f t="shared" si="63"/>
        <v>0</v>
      </c>
      <c r="I1132" s="145"/>
    </row>
    <row r="1133" ht="22.5" customHeight="1">
      <c r="A1133" s="147"/>
      <c r="B1133" s="131"/>
      <c r="C1133" s="148"/>
      <c r="D1133" s="51"/>
      <c r="E1133" s="149"/>
      <c r="F1133" s="56"/>
      <c r="G1133" s="150"/>
      <c r="H1133" s="59">
        <f t="shared" si="63"/>
        <v>0</v>
      </c>
      <c r="I1133" s="145"/>
    </row>
    <row r="1134" ht="22.5" customHeight="1">
      <c r="A1134" s="147"/>
      <c r="B1134" s="131"/>
      <c r="C1134" s="148"/>
      <c r="D1134" s="51"/>
      <c r="E1134" s="149"/>
      <c r="F1134" s="56"/>
      <c r="G1134" s="150"/>
      <c r="H1134" s="59">
        <f t="shared" si="63"/>
        <v>0</v>
      </c>
      <c r="I1134" s="145"/>
    </row>
    <row r="1135" ht="22.5" customHeight="1">
      <c r="A1135" s="147"/>
      <c r="B1135" s="131"/>
      <c r="C1135" s="148"/>
      <c r="D1135" s="51"/>
      <c r="E1135" s="149"/>
      <c r="F1135" s="56"/>
      <c r="G1135" s="150"/>
      <c r="H1135" s="59">
        <f t="shared" si="63"/>
        <v>0</v>
      </c>
      <c r="I1135" s="145"/>
    </row>
    <row r="1136" ht="22.5" customHeight="1">
      <c r="A1136" s="147"/>
      <c r="B1136" s="131"/>
      <c r="C1136" s="148"/>
      <c r="D1136" s="51"/>
      <c r="E1136" s="149"/>
      <c r="F1136" s="56"/>
      <c r="G1136" s="150"/>
      <c r="H1136" s="59">
        <f t="shared" si="63"/>
        <v>0</v>
      </c>
      <c r="I1136" s="145"/>
    </row>
    <row r="1137" ht="22.5" customHeight="1">
      <c r="A1137" s="147"/>
      <c r="B1137" s="131"/>
      <c r="C1137" s="148"/>
      <c r="D1137" s="51"/>
      <c r="E1137" s="149"/>
      <c r="F1137" s="56"/>
      <c r="G1137" s="150"/>
      <c r="H1137" s="59">
        <f t="shared" si="63"/>
        <v>0</v>
      </c>
      <c r="I1137" s="145"/>
    </row>
    <row r="1138" ht="22.5" customHeight="1">
      <c r="A1138" s="147"/>
      <c r="B1138" s="131"/>
      <c r="C1138" s="148"/>
      <c r="D1138" s="51"/>
      <c r="E1138" s="149"/>
      <c r="F1138" s="56"/>
      <c r="G1138" s="150"/>
      <c r="H1138" s="59">
        <f t="shared" si="63"/>
        <v>0</v>
      </c>
      <c r="I1138" s="145"/>
    </row>
    <row r="1139" ht="22.5" customHeight="1">
      <c r="A1139" s="147"/>
      <c r="B1139" s="131"/>
      <c r="C1139" s="148"/>
      <c r="D1139" s="51"/>
      <c r="E1139" s="149"/>
      <c r="F1139" s="56"/>
      <c r="G1139" s="150"/>
      <c r="H1139" s="59">
        <f t="shared" si="63"/>
        <v>0</v>
      </c>
      <c r="I1139" s="145"/>
    </row>
    <row r="1140" ht="22.5" customHeight="1">
      <c r="A1140" s="147"/>
      <c r="B1140" s="131"/>
      <c r="C1140" s="148"/>
      <c r="D1140" s="51"/>
      <c r="E1140" s="149"/>
      <c r="F1140" s="56"/>
      <c r="G1140" s="150"/>
      <c r="H1140" s="59">
        <f t="shared" si="63"/>
        <v>0</v>
      </c>
      <c r="I1140" s="145"/>
    </row>
    <row r="1141" ht="22.5" customHeight="1">
      <c r="A1141" s="147"/>
      <c r="B1141" s="131"/>
      <c r="C1141" s="148"/>
      <c r="D1141" s="51"/>
      <c r="E1141" s="149"/>
      <c r="F1141" s="56"/>
      <c r="G1141" s="150"/>
      <c r="H1141" s="59">
        <f t="shared" si="63"/>
        <v>0</v>
      </c>
      <c r="I1141" s="145"/>
    </row>
    <row r="1142" ht="22.5" customHeight="1">
      <c r="A1142" s="147"/>
      <c r="B1142" s="131"/>
      <c r="C1142" s="148"/>
      <c r="D1142" s="51"/>
      <c r="E1142" s="149"/>
      <c r="F1142" s="56"/>
      <c r="G1142" s="150"/>
      <c r="H1142" s="59">
        <f t="shared" si="63"/>
        <v>0</v>
      </c>
      <c r="I1142" s="145"/>
    </row>
    <row r="1143" ht="22.5" customHeight="1">
      <c r="A1143" s="147"/>
      <c r="B1143" s="131"/>
      <c r="C1143" s="148"/>
      <c r="D1143" s="51"/>
      <c r="E1143" s="149"/>
      <c r="F1143" s="56"/>
      <c r="G1143" s="150"/>
      <c r="H1143" s="59">
        <f t="shared" si="63"/>
        <v>0</v>
      </c>
      <c r="I1143" s="145"/>
    </row>
    <row r="1144" ht="22.5" customHeight="1">
      <c r="A1144" s="147"/>
      <c r="B1144" s="131"/>
      <c r="C1144" s="148"/>
      <c r="D1144" s="51"/>
      <c r="E1144" s="149"/>
      <c r="F1144" s="56"/>
      <c r="G1144" s="150"/>
      <c r="H1144" s="59">
        <f t="shared" si="63"/>
        <v>0</v>
      </c>
      <c r="I1144" s="145"/>
    </row>
    <row r="1145" ht="22.5" customHeight="1">
      <c r="A1145" s="147"/>
      <c r="B1145" s="131"/>
      <c r="C1145" s="148"/>
      <c r="D1145" s="51"/>
      <c r="E1145" s="149"/>
      <c r="F1145" s="56"/>
      <c r="G1145" s="150"/>
      <c r="H1145" s="59">
        <f t="shared" si="63"/>
        <v>0</v>
      </c>
      <c r="I1145" s="145"/>
    </row>
    <row r="1146" ht="22.5" customHeight="1">
      <c r="A1146" s="147"/>
      <c r="B1146" s="131"/>
      <c r="C1146" s="148"/>
      <c r="D1146" s="51"/>
      <c r="E1146" s="149"/>
      <c r="F1146" s="56"/>
      <c r="G1146" s="150"/>
      <c r="H1146" s="59">
        <f t="shared" si="63"/>
        <v>0</v>
      </c>
      <c r="I1146" s="145"/>
    </row>
    <row r="1147" ht="22.5" customHeight="1">
      <c r="A1147" s="147"/>
      <c r="B1147" s="131"/>
      <c r="C1147" s="148"/>
      <c r="D1147" s="51"/>
      <c r="E1147" s="149"/>
      <c r="F1147" s="56"/>
      <c r="G1147" s="150"/>
      <c r="H1147" s="59">
        <f t="shared" si="63"/>
        <v>0</v>
      </c>
      <c r="I1147" s="145"/>
    </row>
    <row r="1148" ht="22.5" customHeight="1">
      <c r="A1148" s="147"/>
      <c r="B1148" s="131"/>
      <c r="C1148" s="148"/>
      <c r="D1148" s="51"/>
      <c r="E1148" s="149"/>
      <c r="F1148" s="56"/>
      <c r="G1148" s="150"/>
      <c r="H1148" s="59">
        <f t="shared" si="63"/>
        <v>0</v>
      </c>
      <c r="I1148" s="145"/>
    </row>
    <row r="1149" ht="22.5" customHeight="1">
      <c r="A1149" s="147"/>
      <c r="B1149" s="131"/>
      <c r="C1149" s="148"/>
      <c r="D1149" s="51"/>
      <c r="E1149" s="149"/>
      <c r="F1149" s="56"/>
      <c r="G1149" s="150"/>
      <c r="H1149" s="59">
        <f t="shared" si="63"/>
        <v>0</v>
      </c>
      <c r="I1149" s="145"/>
    </row>
    <row r="1150" ht="22.5" customHeight="1">
      <c r="A1150" s="147"/>
      <c r="B1150" s="131"/>
      <c r="C1150" s="148"/>
      <c r="D1150" s="51"/>
      <c r="E1150" s="149"/>
      <c r="F1150" s="56"/>
      <c r="G1150" s="150"/>
      <c r="H1150" s="59">
        <f t="shared" si="63"/>
        <v>0</v>
      </c>
      <c r="I1150" s="145"/>
    </row>
    <row r="1151" ht="22.5" customHeight="1">
      <c r="A1151" s="147"/>
      <c r="B1151" s="131"/>
      <c r="C1151" s="148"/>
      <c r="D1151" s="51"/>
      <c r="E1151" s="149"/>
      <c r="F1151" s="56"/>
      <c r="G1151" s="150"/>
      <c r="H1151" s="59">
        <f t="shared" si="63"/>
        <v>0</v>
      </c>
      <c r="I1151" s="145"/>
    </row>
    <row r="1152" ht="22.5" customHeight="1">
      <c r="A1152" s="147"/>
      <c r="B1152" s="131"/>
      <c r="C1152" s="148"/>
      <c r="D1152" s="51"/>
      <c r="E1152" s="149"/>
      <c r="F1152" s="56"/>
      <c r="G1152" s="150"/>
      <c r="H1152" s="59">
        <f t="shared" si="63"/>
        <v>0</v>
      </c>
      <c r="I1152" s="145"/>
    </row>
    <row r="1153" ht="22.5" customHeight="1">
      <c r="A1153" s="147"/>
      <c r="B1153" s="131"/>
      <c r="C1153" s="148"/>
      <c r="D1153" s="51"/>
      <c r="E1153" s="149"/>
      <c r="F1153" s="56"/>
      <c r="G1153" s="150"/>
      <c r="H1153" s="59">
        <f t="shared" si="63"/>
        <v>0</v>
      </c>
      <c r="I1153" s="145"/>
    </row>
    <row r="1154" ht="22.5" customHeight="1">
      <c r="A1154" s="147"/>
      <c r="B1154" s="131"/>
      <c r="C1154" s="148"/>
      <c r="D1154" s="51"/>
      <c r="E1154" s="149"/>
      <c r="F1154" s="56"/>
      <c r="G1154" s="150"/>
      <c r="H1154" s="59">
        <f t="shared" si="63"/>
        <v>0</v>
      </c>
      <c r="I1154" s="145"/>
    </row>
    <row r="1155" ht="22.5" customHeight="1">
      <c r="A1155" s="147"/>
      <c r="B1155" s="131"/>
      <c r="C1155" s="148"/>
      <c r="D1155" s="51"/>
      <c r="E1155" s="149"/>
      <c r="F1155" s="56"/>
      <c r="G1155" s="150"/>
      <c r="H1155" s="59">
        <f t="shared" si="63"/>
        <v>0</v>
      </c>
      <c r="I1155" s="145"/>
    </row>
    <row r="1156" ht="22.5" customHeight="1">
      <c r="A1156" s="147"/>
      <c r="B1156" s="131"/>
      <c r="C1156" s="148"/>
      <c r="D1156" s="51"/>
      <c r="E1156" s="149"/>
      <c r="F1156" s="56"/>
      <c r="G1156" s="150"/>
      <c r="H1156" s="59">
        <f t="shared" si="63"/>
        <v>0</v>
      </c>
      <c r="I1156" s="145"/>
    </row>
    <row r="1157" ht="22.5" customHeight="1">
      <c r="A1157" s="147"/>
      <c r="B1157" s="131"/>
      <c r="C1157" s="148"/>
      <c r="D1157" s="51"/>
      <c r="E1157" s="149"/>
      <c r="F1157" s="56"/>
      <c r="G1157" s="150"/>
      <c r="H1157" s="59">
        <f t="shared" si="63"/>
        <v>0</v>
      </c>
      <c r="I1157" s="145"/>
    </row>
    <row r="1158" ht="22.5" customHeight="1">
      <c r="A1158" s="147"/>
      <c r="B1158" s="131"/>
      <c r="C1158" s="148"/>
      <c r="D1158" s="51"/>
      <c r="E1158" s="149"/>
      <c r="F1158" s="56"/>
      <c r="G1158" s="150"/>
      <c r="H1158" s="59">
        <f t="shared" si="63"/>
        <v>0</v>
      </c>
      <c r="I1158" s="145"/>
    </row>
    <row r="1159" ht="22.5" customHeight="1">
      <c r="A1159" s="147"/>
      <c r="B1159" s="131"/>
      <c r="C1159" s="148"/>
      <c r="D1159" s="51"/>
      <c r="E1159" s="149"/>
      <c r="F1159" s="56"/>
      <c r="G1159" s="150"/>
      <c r="H1159" s="59">
        <f t="shared" si="63"/>
        <v>0</v>
      </c>
      <c r="I1159" s="145"/>
    </row>
    <row r="1160" ht="22.5" customHeight="1">
      <c r="A1160" s="147"/>
      <c r="B1160" s="131"/>
      <c r="C1160" s="148"/>
      <c r="D1160" s="51"/>
      <c r="E1160" s="149"/>
      <c r="F1160" s="56"/>
      <c r="G1160" s="150"/>
      <c r="H1160" s="59">
        <f t="shared" si="63"/>
        <v>0</v>
      </c>
      <c r="I1160" s="145"/>
    </row>
    <row r="1161" ht="22.5" customHeight="1">
      <c r="A1161" s="147"/>
      <c r="B1161" s="131"/>
      <c r="C1161" s="148"/>
      <c r="D1161" s="51"/>
      <c r="E1161" s="149"/>
      <c r="F1161" s="56"/>
      <c r="G1161" s="150"/>
      <c r="H1161" s="59">
        <f t="shared" si="63"/>
        <v>0</v>
      </c>
      <c r="I1161" s="145"/>
    </row>
    <row r="1162" ht="22.5" customHeight="1">
      <c r="A1162" s="147"/>
      <c r="B1162" s="131"/>
      <c r="C1162" s="148"/>
      <c r="D1162" s="51"/>
      <c r="E1162" s="149"/>
      <c r="F1162" s="56"/>
      <c r="G1162" s="150"/>
      <c r="H1162" s="59">
        <f t="shared" si="63"/>
        <v>0</v>
      </c>
      <c r="I1162" s="145"/>
    </row>
    <row r="1163" ht="22.5" customHeight="1">
      <c r="A1163" s="147"/>
      <c r="B1163" s="131"/>
      <c r="C1163" s="148"/>
      <c r="D1163" s="51"/>
      <c r="E1163" s="149"/>
      <c r="F1163" s="56"/>
      <c r="G1163" s="150"/>
      <c r="H1163" s="59">
        <f t="shared" si="63"/>
        <v>0</v>
      </c>
      <c r="I1163" s="145"/>
    </row>
    <row r="1164" ht="22.5" customHeight="1">
      <c r="A1164" s="147"/>
      <c r="B1164" s="131"/>
      <c r="C1164" s="148"/>
      <c r="D1164" s="51"/>
      <c r="E1164" s="149"/>
      <c r="F1164" s="56"/>
      <c r="G1164" s="150"/>
      <c r="H1164" s="59">
        <f t="shared" si="63"/>
        <v>0</v>
      </c>
      <c r="I1164" s="145"/>
    </row>
    <row r="1165" ht="22.5" customHeight="1">
      <c r="A1165" s="147"/>
      <c r="B1165" s="131"/>
      <c r="C1165" s="148"/>
      <c r="D1165" s="51"/>
      <c r="E1165" s="149"/>
      <c r="F1165" s="56"/>
      <c r="G1165" s="150"/>
      <c r="H1165" s="59">
        <f t="shared" si="63"/>
        <v>0</v>
      </c>
      <c r="I1165" s="145"/>
    </row>
    <row r="1166" ht="22.5" customHeight="1">
      <c r="A1166" s="147"/>
      <c r="B1166" s="131"/>
      <c r="C1166" s="148"/>
      <c r="D1166" s="51"/>
      <c r="E1166" s="149"/>
      <c r="F1166" s="56"/>
      <c r="G1166" s="150"/>
      <c r="H1166" s="59">
        <f t="shared" si="63"/>
        <v>0</v>
      </c>
      <c r="I1166" s="145"/>
    </row>
    <row r="1167" ht="22.5" customHeight="1">
      <c r="A1167" s="147"/>
      <c r="B1167" s="131"/>
      <c r="C1167" s="148"/>
      <c r="D1167" s="51"/>
      <c r="E1167" s="149"/>
      <c r="F1167" s="56"/>
      <c r="G1167" s="150"/>
      <c r="H1167" s="59">
        <f t="shared" si="63"/>
        <v>0</v>
      </c>
      <c r="I1167" s="145"/>
    </row>
    <row r="1168" ht="22.5" customHeight="1">
      <c r="A1168" s="147"/>
      <c r="B1168" s="131"/>
      <c r="C1168" s="148"/>
      <c r="D1168" s="51"/>
      <c r="E1168" s="149"/>
      <c r="F1168" s="56"/>
      <c r="G1168" s="150"/>
      <c r="H1168" s="59">
        <f t="shared" si="63"/>
        <v>0</v>
      </c>
      <c r="I1168" s="145"/>
    </row>
    <row r="1169" ht="22.5" customHeight="1">
      <c r="A1169" s="147"/>
      <c r="B1169" s="131"/>
      <c r="C1169" s="148"/>
      <c r="D1169" s="51"/>
      <c r="E1169" s="149"/>
      <c r="F1169" s="56"/>
      <c r="G1169" s="150"/>
      <c r="H1169" s="59">
        <f t="shared" si="63"/>
        <v>0</v>
      </c>
      <c r="I1169" s="145"/>
    </row>
    <row r="1170" ht="22.5" customHeight="1">
      <c r="A1170" s="147"/>
      <c r="B1170" s="131"/>
      <c r="C1170" s="148"/>
      <c r="D1170" s="51"/>
      <c r="E1170" s="149"/>
      <c r="F1170" s="56"/>
      <c r="G1170" s="150"/>
      <c r="H1170" s="59">
        <f t="shared" si="63"/>
        <v>0</v>
      </c>
      <c r="I1170" s="145"/>
    </row>
    <row r="1171" ht="22.5" customHeight="1">
      <c r="A1171" s="147"/>
      <c r="B1171" s="131"/>
      <c r="C1171" s="148"/>
      <c r="D1171" s="51"/>
      <c r="E1171" s="149"/>
      <c r="F1171" s="56"/>
      <c r="G1171" s="150"/>
      <c r="H1171" s="59">
        <f t="shared" si="63"/>
        <v>0</v>
      </c>
      <c r="I1171" s="145"/>
    </row>
    <row r="1172" ht="22.5" customHeight="1">
      <c r="A1172" s="147"/>
      <c r="B1172" s="131"/>
      <c r="C1172" s="148"/>
      <c r="D1172" s="51"/>
      <c r="E1172" s="149"/>
      <c r="F1172" s="56"/>
      <c r="G1172" s="150"/>
      <c r="H1172" s="59">
        <f t="shared" si="63"/>
        <v>0</v>
      </c>
      <c r="I1172" s="145"/>
    </row>
    <row r="1173" ht="22.5" customHeight="1">
      <c r="A1173" s="147"/>
      <c r="B1173" s="131"/>
      <c r="C1173" s="148"/>
      <c r="D1173" s="51"/>
      <c r="E1173" s="149"/>
      <c r="F1173" s="56"/>
      <c r="G1173" s="150"/>
      <c r="H1173" s="59">
        <f t="shared" si="63"/>
        <v>0</v>
      </c>
      <c r="I1173" s="145"/>
    </row>
    <row r="1174" ht="22.5" customHeight="1">
      <c r="A1174" s="147"/>
      <c r="B1174" s="131"/>
      <c r="C1174" s="148"/>
      <c r="D1174" s="51"/>
      <c r="E1174" s="149"/>
      <c r="F1174" s="56"/>
      <c r="G1174" s="150"/>
      <c r="H1174" s="59">
        <f t="shared" si="63"/>
        <v>0</v>
      </c>
      <c r="I1174" s="145"/>
    </row>
    <row r="1175" ht="22.5" customHeight="1">
      <c r="A1175" s="147"/>
      <c r="B1175" s="131"/>
      <c r="C1175" s="148"/>
      <c r="D1175" s="51"/>
      <c r="E1175" s="149"/>
      <c r="F1175" s="56"/>
      <c r="G1175" s="150"/>
      <c r="H1175" s="59">
        <f t="shared" si="63"/>
        <v>0</v>
      </c>
      <c r="I1175" s="145"/>
    </row>
    <row r="1176" ht="22.5" customHeight="1">
      <c r="A1176" s="147"/>
      <c r="B1176" s="131"/>
      <c r="C1176" s="148"/>
      <c r="D1176" s="51"/>
      <c r="E1176" s="149"/>
      <c r="F1176" s="56"/>
      <c r="G1176" s="150"/>
      <c r="H1176" s="59">
        <f t="shared" si="63"/>
        <v>0</v>
      </c>
      <c r="I1176" s="145"/>
    </row>
    <row r="1177" ht="22.5" customHeight="1">
      <c r="A1177" s="147"/>
      <c r="B1177" s="131"/>
      <c r="C1177" s="148"/>
      <c r="D1177" s="51"/>
      <c r="E1177" s="149"/>
      <c r="F1177" s="56"/>
      <c r="G1177" s="150"/>
      <c r="H1177" s="59">
        <f t="shared" si="63"/>
        <v>0</v>
      </c>
      <c r="I1177" s="145"/>
    </row>
    <row r="1178" ht="22.5" customHeight="1">
      <c r="A1178" s="147"/>
      <c r="B1178" s="131"/>
      <c r="C1178" s="148"/>
      <c r="D1178" s="51"/>
      <c r="E1178" s="149"/>
      <c r="F1178" s="56"/>
      <c r="G1178" s="150"/>
      <c r="H1178" s="59">
        <f t="shared" si="63"/>
        <v>0</v>
      </c>
      <c r="I1178" s="145"/>
    </row>
    <row r="1179" ht="22.5" customHeight="1">
      <c r="A1179" s="147"/>
      <c r="B1179" s="131"/>
      <c r="C1179" s="148"/>
      <c r="D1179" s="51"/>
      <c r="E1179" s="149"/>
      <c r="F1179" s="56"/>
      <c r="G1179" s="150"/>
      <c r="H1179" s="59">
        <f t="shared" si="63"/>
        <v>0</v>
      </c>
      <c r="I1179" s="145"/>
    </row>
    <row r="1180" ht="22.5" customHeight="1">
      <c r="A1180" s="147"/>
      <c r="B1180" s="131"/>
      <c r="C1180" s="148"/>
      <c r="D1180" s="51"/>
      <c r="E1180" s="149"/>
      <c r="F1180" s="56"/>
      <c r="G1180" s="150"/>
      <c r="H1180" s="59">
        <f t="shared" si="63"/>
        <v>0</v>
      </c>
      <c r="I1180" s="145"/>
    </row>
    <row r="1181" ht="22.5" customHeight="1">
      <c r="A1181" s="147"/>
      <c r="B1181" s="131"/>
      <c r="C1181" s="148"/>
      <c r="D1181" s="51"/>
      <c r="E1181" s="149"/>
      <c r="F1181" s="56"/>
      <c r="G1181" s="150"/>
      <c r="H1181" s="59">
        <f t="shared" si="63"/>
        <v>0</v>
      </c>
      <c r="I1181" s="145"/>
    </row>
    <row r="1182" ht="22.5" customHeight="1">
      <c r="A1182" s="147"/>
      <c r="B1182" s="131"/>
      <c r="C1182" s="148"/>
      <c r="D1182" s="51"/>
      <c r="E1182" s="149"/>
      <c r="F1182" s="56"/>
      <c r="G1182" s="150"/>
      <c r="H1182" s="59">
        <f t="shared" si="63"/>
        <v>0</v>
      </c>
      <c r="I1182" s="145"/>
    </row>
    <row r="1183" ht="22.5" customHeight="1">
      <c r="A1183" s="147"/>
      <c r="B1183" s="131"/>
      <c r="C1183" s="148"/>
      <c r="D1183" s="51"/>
      <c r="E1183" s="149"/>
      <c r="F1183" s="56"/>
      <c r="G1183" s="150"/>
      <c r="H1183" s="59">
        <f t="shared" si="63"/>
        <v>0</v>
      </c>
      <c r="I1183" s="145"/>
    </row>
    <row r="1184" ht="22.5" customHeight="1">
      <c r="A1184" s="147"/>
      <c r="B1184" s="131"/>
      <c r="C1184" s="148"/>
      <c r="D1184" s="51"/>
      <c r="E1184" s="149"/>
      <c r="F1184" s="56"/>
      <c r="G1184" s="150"/>
      <c r="H1184" s="59">
        <f t="shared" si="63"/>
        <v>0</v>
      </c>
      <c r="I1184" s="145"/>
    </row>
    <row r="1185" ht="22.5" customHeight="1">
      <c r="A1185" s="147"/>
      <c r="B1185" s="131"/>
      <c r="C1185" s="148"/>
      <c r="D1185" s="51"/>
      <c r="E1185" s="149"/>
      <c r="F1185" s="56"/>
      <c r="G1185" s="150"/>
      <c r="H1185" s="59">
        <f t="shared" si="63"/>
        <v>0</v>
      </c>
      <c r="I1185" s="145"/>
    </row>
    <row r="1186" ht="22.5" customHeight="1">
      <c r="A1186" s="147"/>
      <c r="B1186" s="131"/>
      <c r="C1186" s="148"/>
      <c r="D1186" s="51"/>
      <c r="E1186" s="149"/>
      <c r="F1186" s="56"/>
      <c r="G1186" s="150"/>
      <c r="H1186" s="59">
        <f t="shared" si="63"/>
        <v>0</v>
      </c>
      <c r="I1186" s="145"/>
    </row>
    <row r="1187" ht="22.5" customHeight="1">
      <c r="A1187" s="147"/>
      <c r="B1187" s="131"/>
      <c r="C1187" s="148"/>
      <c r="D1187" s="51"/>
      <c r="E1187" s="149"/>
      <c r="F1187" s="56"/>
      <c r="G1187" s="150"/>
      <c r="H1187" s="59">
        <f t="shared" si="63"/>
        <v>0</v>
      </c>
      <c r="I1187" s="145"/>
    </row>
    <row r="1188" ht="22.5" customHeight="1">
      <c r="A1188" s="147"/>
      <c r="B1188" s="131"/>
      <c r="C1188" s="148"/>
      <c r="D1188" s="51"/>
      <c r="E1188" s="149"/>
      <c r="F1188" s="56"/>
      <c r="G1188" s="150"/>
      <c r="H1188" s="59">
        <f t="shared" si="63"/>
        <v>0</v>
      </c>
      <c r="I1188" s="145"/>
    </row>
    <row r="1189" ht="22.5" customHeight="1">
      <c r="A1189" s="147"/>
      <c r="B1189" s="131"/>
      <c r="C1189" s="148"/>
      <c r="D1189" s="51"/>
      <c r="E1189" s="149"/>
      <c r="F1189" s="56"/>
      <c r="G1189" s="150"/>
      <c r="H1189" s="59">
        <f t="shared" si="63"/>
        <v>0</v>
      </c>
      <c r="I1189" s="145"/>
    </row>
    <row r="1190" ht="22.5" customHeight="1">
      <c r="A1190" s="147"/>
      <c r="B1190" s="131"/>
      <c r="C1190" s="148"/>
      <c r="D1190" s="51"/>
      <c r="E1190" s="149"/>
      <c r="F1190" s="56"/>
      <c r="G1190" s="150"/>
      <c r="H1190" s="59">
        <f t="shared" si="63"/>
        <v>0</v>
      </c>
      <c r="I1190" s="145"/>
    </row>
    <row r="1191" ht="22.5" customHeight="1">
      <c r="A1191" s="147"/>
      <c r="B1191" s="131"/>
      <c r="C1191" s="148"/>
      <c r="D1191" s="51"/>
      <c r="E1191" s="149"/>
      <c r="F1191" s="56"/>
      <c r="G1191" s="150"/>
      <c r="H1191" s="59">
        <f t="shared" si="63"/>
        <v>0</v>
      </c>
      <c r="I1191" s="145"/>
    </row>
    <row r="1192" ht="22.5" customHeight="1">
      <c r="A1192" s="147"/>
      <c r="B1192" s="131"/>
      <c r="C1192" s="148"/>
      <c r="D1192" s="51"/>
      <c r="E1192" s="149"/>
      <c r="F1192" s="56"/>
      <c r="G1192" s="150"/>
      <c r="H1192" s="59">
        <f t="shared" si="63"/>
        <v>0</v>
      </c>
      <c r="I1192" s="145"/>
    </row>
    <row r="1193" ht="22.5" customHeight="1">
      <c r="A1193" s="147"/>
      <c r="B1193" s="131"/>
      <c r="C1193" s="148"/>
      <c r="D1193" s="51"/>
      <c r="E1193" s="149"/>
      <c r="F1193" s="56"/>
      <c r="G1193" s="150"/>
      <c r="H1193" s="59">
        <f t="shared" si="63"/>
        <v>0</v>
      </c>
      <c r="I1193" s="145"/>
    </row>
    <row r="1194" ht="22.5" customHeight="1">
      <c r="A1194" s="147"/>
      <c r="B1194" s="131"/>
      <c r="C1194" s="148"/>
      <c r="D1194" s="51"/>
      <c r="E1194" s="149"/>
      <c r="F1194" s="56"/>
      <c r="G1194" s="150"/>
      <c r="H1194" s="59">
        <f t="shared" si="63"/>
        <v>0</v>
      </c>
      <c r="I1194" s="145"/>
    </row>
    <row r="1195" ht="22.5" customHeight="1">
      <c r="A1195" s="147"/>
      <c r="B1195" s="131"/>
      <c r="C1195" s="148"/>
      <c r="D1195" s="51"/>
      <c r="E1195" s="149"/>
      <c r="F1195" s="56"/>
      <c r="G1195" s="150"/>
      <c r="H1195" s="59">
        <f t="shared" si="63"/>
        <v>0</v>
      </c>
      <c r="I1195" s="145"/>
    </row>
    <row r="1196" ht="22.5" customHeight="1">
      <c r="A1196" s="147"/>
      <c r="B1196" s="131"/>
      <c r="C1196" s="148"/>
      <c r="D1196" s="51"/>
      <c r="E1196" s="149"/>
      <c r="F1196" s="56"/>
      <c r="G1196" s="150"/>
      <c r="H1196" s="59">
        <f t="shared" si="63"/>
        <v>0</v>
      </c>
      <c r="I1196" s="145"/>
    </row>
    <row r="1197" ht="22.5" customHeight="1">
      <c r="A1197" s="147"/>
      <c r="B1197" s="131"/>
      <c r="C1197" s="148"/>
      <c r="D1197" s="51"/>
      <c r="E1197" s="149"/>
      <c r="F1197" s="56"/>
      <c r="G1197" s="150"/>
      <c r="H1197" s="59">
        <f t="shared" si="63"/>
        <v>0</v>
      </c>
      <c r="I1197" s="145"/>
    </row>
    <row r="1198" ht="22.5" customHeight="1">
      <c r="A1198" s="147"/>
      <c r="B1198" s="131"/>
      <c r="C1198" s="148"/>
      <c r="D1198" s="51"/>
      <c r="E1198" s="149"/>
      <c r="F1198" s="56"/>
      <c r="G1198" s="150"/>
      <c r="H1198" s="59">
        <f t="shared" si="63"/>
        <v>0</v>
      </c>
      <c r="I1198" s="145"/>
    </row>
    <row r="1199" ht="22.5" customHeight="1">
      <c r="A1199" s="147"/>
      <c r="B1199" s="131"/>
      <c r="C1199" s="148"/>
      <c r="D1199" s="51"/>
      <c r="E1199" s="149"/>
      <c r="F1199" s="56"/>
      <c r="G1199" s="150"/>
      <c r="H1199" s="59">
        <f t="shared" si="63"/>
        <v>0</v>
      </c>
      <c r="I1199" s="145"/>
    </row>
    <row r="1200" ht="22.5" customHeight="1">
      <c r="A1200" s="147"/>
      <c r="B1200" s="131"/>
      <c r="C1200" s="148"/>
      <c r="D1200" s="51"/>
      <c r="E1200" s="149"/>
      <c r="F1200" s="56"/>
      <c r="G1200" s="150"/>
      <c r="H1200" s="59">
        <f t="shared" si="63"/>
        <v>0</v>
      </c>
      <c r="I1200" s="145"/>
    </row>
    <row r="1201" ht="22.5" customHeight="1">
      <c r="A1201" s="147"/>
      <c r="B1201" s="131"/>
      <c r="C1201" s="148"/>
      <c r="D1201" s="51"/>
      <c r="E1201" s="149"/>
      <c r="F1201" s="56"/>
      <c r="G1201" s="150"/>
      <c r="H1201" s="59">
        <f t="shared" si="63"/>
        <v>0</v>
      </c>
      <c r="I1201" s="145"/>
    </row>
    <row r="1202" ht="22.5" customHeight="1">
      <c r="A1202" s="147"/>
      <c r="B1202" s="131"/>
      <c r="C1202" s="148"/>
      <c r="D1202" s="51"/>
      <c r="E1202" s="149"/>
      <c r="F1202" s="56"/>
      <c r="G1202" s="150"/>
      <c r="H1202" s="59">
        <f t="shared" si="63"/>
        <v>0</v>
      </c>
      <c r="I1202" s="145"/>
    </row>
    <row r="1203" ht="22.5" customHeight="1">
      <c r="A1203" s="147"/>
      <c r="B1203" s="131"/>
      <c r="C1203" s="148"/>
      <c r="D1203" s="51"/>
      <c r="E1203" s="149"/>
      <c r="F1203" s="56"/>
      <c r="G1203" s="150"/>
      <c r="H1203" s="59">
        <f t="shared" si="63"/>
        <v>0</v>
      </c>
      <c r="I1203" s="145"/>
    </row>
    <row r="1204" ht="22.5" customHeight="1">
      <c r="A1204" s="147"/>
      <c r="B1204" s="131"/>
      <c r="C1204" s="148"/>
      <c r="D1204" s="51"/>
      <c r="E1204" s="149"/>
      <c r="F1204" s="56"/>
      <c r="G1204" s="150"/>
      <c r="H1204" s="59">
        <f t="shared" si="63"/>
        <v>0</v>
      </c>
      <c r="I1204" s="145"/>
    </row>
    <row r="1205" ht="22.5" customHeight="1">
      <c r="A1205" s="147"/>
      <c r="B1205" s="131"/>
      <c r="C1205" s="148"/>
      <c r="D1205" s="51"/>
      <c r="E1205" s="149"/>
      <c r="F1205" s="56"/>
      <c r="G1205" s="150"/>
      <c r="H1205" s="59">
        <f t="shared" si="63"/>
        <v>0</v>
      </c>
      <c r="I1205" s="145"/>
    </row>
    <row r="1206" ht="22.5" customHeight="1">
      <c r="A1206" s="147"/>
      <c r="B1206" s="131"/>
      <c r="C1206" s="148"/>
      <c r="D1206" s="51"/>
      <c r="E1206" s="149"/>
      <c r="F1206" s="56"/>
      <c r="G1206" s="150"/>
      <c r="H1206" s="59">
        <f t="shared" si="63"/>
        <v>0</v>
      </c>
      <c r="I1206" s="145"/>
    </row>
    <row r="1207" ht="22.5" customHeight="1">
      <c r="A1207" s="147"/>
      <c r="B1207" s="131"/>
      <c r="C1207" s="148"/>
      <c r="D1207" s="51"/>
      <c r="E1207" s="149"/>
      <c r="F1207" s="56"/>
      <c r="G1207" s="150"/>
      <c r="H1207" s="59">
        <f t="shared" si="63"/>
        <v>0</v>
      </c>
      <c r="I1207" s="145"/>
    </row>
    <row r="1208" ht="22.5" customHeight="1">
      <c r="A1208" s="147"/>
      <c r="B1208" s="131"/>
      <c r="C1208" s="148"/>
      <c r="D1208" s="51"/>
      <c r="E1208" s="149"/>
      <c r="F1208" s="56"/>
      <c r="G1208" s="150"/>
      <c r="H1208" s="59">
        <f t="shared" si="63"/>
        <v>0</v>
      </c>
      <c r="I1208" s="145"/>
    </row>
    <row r="1209" ht="22.5" customHeight="1">
      <c r="A1209" s="147"/>
      <c r="B1209" s="131"/>
      <c r="C1209" s="148"/>
      <c r="D1209" s="51"/>
      <c r="E1209" s="149"/>
      <c r="F1209" s="56"/>
      <c r="G1209" s="150"/>
      <c r="H1209" s="59">
        <f t="shared" si="63"/>
        <v>0</v>
      </c>
      <c r="I1209" s="145"/>
    </row>
    <row r="1210" ht="22.5" customHeight="1">
      <c r="A1210" s="147"/>
      <c r="B1210" s="131"/>
      <c r="C1210" s="148"/>
      <c r="D1210" s="51"/>
      <c r="E1210" s="149"/>
      <c r="F1210" s="56"/>
      <c r="G1210" s="150"/>
      <c r="H1210" s="59">
        <f t="shared" si="63"/>
        <v>0</v>
      </c>
      <c r="I1210" s="145"/>
    </row>
    <row r="1211" ht="22.5" customHeight="1">
      <c r="A1211" s="147"/>
      <c r="B1211" s="131"/>
      <c r="C1211" s="148"/>
      <c r="D1211" s="51"/>
      <c r="E1211" s="149"/>
      <c r="F1211" s="56"/>
      <c r="G1211" s="150"/>
      <c r="H1211" s="59">
        <f t="shared" si="63"/>
        <v>0</v>
      </c>
      <c r="I1211" s="145"/>
    </row>
    <row r="1212" ht="22.5" customHeight="1">
      <c r="A1212" s="147"/>
      <c r="B1212" s="131"/>
      <c r="C1212" s="148"/>
      <c r="D1212" s="51"/>
      <c r="E1212" s="149"/>
      <c r="F1212" s="56"/>
      <c r="G1212" s="150"/>
      <c r="H1212" s="59">
        <f t="shared" si="63"/>
        <v>0</v>
      </c>
      <c r="I1212" s="145"/>
    </row>
    <row r="1213" ht="22.5" customHeight="1">
      <c r="A1213" s="147"/>
      <c r="B1213" s="131"/>
      <c r="C1213" s="148"/>
      <c r="D1213" s="51"/>
      <c r="E1213" s="149"/>
      <c r="F1213" s="56"/>
      <c r="G1213" s="150"/>
      <c r="H1213" s="59">
        <f t="shared" si="63"/>
        <v>0</v>
      </c>
      <c r="I1213" s="145"/>
    </row>
    <row r="1214" ht="22.5" customHeight="1">
      <c r="A1214" s="147"/>
      <c r="B1214" s="131"/>
      <c r="C1214" s="148"/>
      <c r="D1214" s="51"/>
      <c r="E1214" s="149"/>
      <c r="F1214" s="56"/>
      <c r="G1214" s="150"/>
      <c r="H1214" s="59">
        <f t="shared" si="63"/>
        <v>0</v>
      </c>
      <c r="I1214" s="145"/>
    </row>
    <row r="1215" ht="22.5" customHeight="1">
      <c r="A1215" s="147"/>
      <c r="B1215" s="131"/>
      <c r="C1215" s="148"/>
      <c r="D1215" s="51"/>
      <c r="E1215" s="149"/>
      <c r="F1215" s="56"/>
      <c r="G1215" s="150"/>
      <c r="H1215" s="59">
        <f t="shared" si="63"/>
        <v>0</v>
      </c>
      <c r="I1215" s="145"/>
    </row>
    <row r="1216" ht="22.5" customHeight="1">
      <c r="A1216" s="147"/>
      <c r="B1216" s="131"/>
      <c r="C1216" s="148"/>
      <c r="D1216" s="51"/>
      <c r="E1216" s="149"/>
      <c r="F1216" s="56"/>
      <c r="G1216" s="150"/>
      <c r="H1216" s="59">
        <f t="shared" si="63"/>
        <v>0</v>
      </c>
      <c r="I1216" s="145"/>
    </row>
    <row r="1217" ht="22.5" customHeight="1">
      <c r="A1217" s="147"/>
      <c r="B1217" s="131"/>
      <c r="C1217" s="148"/>
      <c r="D1217" s="51"/>
      <c r="E1217" s="149"/>
      <c r="F1217" s="56"/>
      <c r="G1217" s="150"/>
      <c r="H1217" s="59">
        <f t="shared" si="63"/>
        <v>0</v>
      </c>
      <c r="I1217" s="145"/>
    </row>
    <row r="1218" ht="22.5" customHeight="1">
      <c r="A1218" s="147"/>
      <c r="B1218" s="131"/>
      <c r="C1218" s="148"/>
      <c r="D1218" s="51"/>
      <c r="E1218" s="149"/>
      <c r="F1218" s="56"/>
      <c r="G1218" s="150"/>
      <c r="H1218" s="59">
        <f t="shared" si="63"/>
        <v>0</v>
      </c>
      <c r="I1218" s="145"/>
    </row>
    <row r="1219" ht="22.5" customHeight="1">
      <c r="A1219" s="147"/>
      <c r="B1219" s="131"/>
      <c r="C1219" s="148"/>
      <c r="D1219" s="51"/>
      <c r="E1219" s="149"/>
      <c r="F1219" s="56"/>
      <c r="G1219" s="150"/>
      <c r="H1219" s="59">
        <f t="shared" si="63"/>
        <v>0</v>
      </c>
      <c r="I1219" s="145"/>
    </row>
    <row r="1220" ht="22.5" customHeight="1">
      <c r="A1220" s="147"/>
      <c r="B1220" s="131"/>
      <c r="C1220" s="148"/>
      <c r="D1220" s="51"/>
      <c r="E1220" s="149"/>
      <c r="F1220" s="56"/>
      <c r="G1220" s="150"/>
      <c r="H1220" s="59">
        <f t="shared" si="63"/>
        <v>0</v>
      </c>
      <c r="I1220" s="145"/>
    </row>
    <row r="1221" ht="22.5" customHeight="1">
      <c r="A1221" s="147"/>
      <c r="B1221" s="131"/>
      <c r="C1221" s="148"/>
      <c r="D1221" s="51"/>
      <c r="E1221" s="149"/>
      <c r="F1221" s="56"/>
      <c r="G1221" s="150"/>
      <c r="H1221" s="59">
        <f t="shared" si="63"/>
        <v>0</v>
      </c>
      <c r="I1221" s="145"/>
    </row>
    <row r="1222" ht="22.5" customHeight="1">
      <c r="A1222" s="147"/>
      <c r="B1222" s="131"/>
      <c r="C1222" s="148"/>
      <c r="D1222" s="51"/>
      <c r="E1222" s="149"/>
      <c r="F1222" s="56"/>
      <c r="G1222" s="150"/>
      <c r="H1222" s="59">
        <f t="shared" si="63"/>
        <v>0</v>
      </c>
      <c r="I1222" s="145"/>
    </row>
    <row r="1223" ht="22.5" customHeight="1">
      <c r="A1223" s="147"/>
      <c r="B1223" s="131"/>
      <c r="C1223" s="148"/>
      <c r="D1223" s="51"/>
      <c r="E1223" s="149"/>
      <c r="F1223" s="56"/>
      <c r="G1223" s="150"/>
      <c r="H1223" s="59">
        <f t="shared" si="63"/>
        <v>0</v>
      </c>
      <c r="I1223" s="145"/>
    </row>
    <row r="1224" ht="22.5" customHeight="1">
      <c r="A1224" s="147"/>
      <c r="B1224" s="131"/>
      <c r="C1224" s="148"/>
      <c r="D1224" s="51"/>
      <c r="E1224" s="149"/>
      <c r="F1224" s="56"/>
      <c r="G1224" s="150"/>
      <c r="H1224" s="59">
        <f t="shared" si="63"/>
        <v>0</v>
      </c>
      <c r="I1224" s="145"/>
    </row>
    <row r="1225" ht="22.5" customHeight="1">
      <c r="A1225" s="147"/>
      <c r="B1225" s="131"/>
      <c r="C1225" s="148"/>
      <c r="D1225" s="51"/>
      <c r="E1225" s="149"/>
      <c r="F1225" s="56"/>
      <c r="G1225" s="150"/>
      <c r="H1225" s="59">
        <f t="shared" si="63"/>
        <v>0</v>
      </c>
      <c r="I1225" s="145"/>
    </row>
    <row r="1226" ht="22.5" customHeight="1">
      <c r="A1226" s="147"/>
      <c r="B1226" s="131"/>
      <c r="C1226" s="148"/>
      <c r="D1226" s="51"/>
      <c r="E1226" s="149"/>
      <c r="F1226" s="56"/>
      <c r="G1226" s="150"/>
      <c r="H1226" s="59">
        <f t="shared" si="63"/>
        <v>0</v>
      </c>
      <c r="I1226" s="145"/>
    </row>
    <row r="1227" ht="22.5" customHeight="1">
      <c r="A1227" s="147"/>
      <c r="B1227" s="131"/>
      <c r="C1227" s="148"/>
      <c r="D1227" s="51"/>
      <c r="E1227" s="149"/>
      <c r="F1227" s="56"/>
      <c r="G1227" s="150"/>
      <c r="H1227" s="59">
        <f t="shared" si="63"/>
        <v>0</v>
      </c>
      <c r="I1227" s="145"/>
    </row>
    <row r="1228" ht="22.5" customHeight="1">
      <c r="A1228" s="147"/>
      <c r="B1228" s="131"/>
      <c r="C1228" s="148"/>
      <c r="D1228" s="51"/>
      <c r="E1228" s="149"/>
      <c r="F1228" s="56"/>
      <c r="G1228" s="150"/>
      <c r="H1228" s="59">
        <f t="shared" si="63"/>
        <v>0</v>
      </c>
      <c r="I1228" s="145"/>
    </row>
    <row r="1229" ht="22.5" customHeight="1">
      <c r="A1229" s="147"/>
      <c r="B1229" s="131"/>
      <c r="C1229" s="148"/>
      <c r="D1229" s="51"/>
      <c r="E1229" s="149"/>
      <c r="F1229" s="56"/>
      <c r="G1229" s="150"/>
      <c r="H1229" s="59">
        <f t="shared" si="63"/>
        <v>0</v>
      </c>
      <c r="I1229" s="145"/>
    </row>
    <row r="1230" ht="22.5" customHeight="1">
      <c r="A1230" s="147"/>
      <c r="B1230" s="131"/>
      <c r="C1230" s="148"/>
      <c r="D1230" s="51"/>
      <c r="E1230" s="149"/>
      <c r="F1230" s="56"/>
      <c r="G1230" s="150"/>
      <c r="H1230" s="59">
        <f t="shared" si="63"/>
        <v>0</v>
      </c>
      <c r="I1230" s="145"/>
    </row>
    <row r="1231" ht="22.5" customHeight="1">
      <c r="A1231" s="147"/>
      <c r="B1231" s="131"/>
      <c r="C1231" s="148"/>
      <c r="D1231" s="51"/>
      <c r="E1231" s="149"/>
      <c r="F1231" s="56"/>
      <c r="G1231" s="150"/>
      <c r="H1231" s="59">
        <f t="shared" si="63"/>
        <v>0</v>
      </c>
      <c r="I1231" s="145"/>
    </row>
    <row r="1232" ht="22.5" customHeight="1">
      <c r="A1232" s="147"/>
      <c r="B1232" s="131"/>
      <c r="C1232" s="148"/>
      <c r="D1232" s="51"/>
      <c r="E1232" s="149"/>
      <c r="F1232" s="56"/>
      <c r="G1232" s="150"/>
      <c r="H1232" s="59">
        <f t="shared" si="63"/>
        <v>0</v>
      </c>
      <c r="I1232" s="145"/>
    </row>
    <row r="1233" ht="22.5" customHeight="1">
      <c r="A1233" s="147"/>
      <c r="B1233" s="131"/>
      <c r="C1233" s="148"/>
      <c r="D1233" s="51"/>
      <c r="E1233" s="149"/>
      <c r="F1233" s="56"/>
      <c r="G1233" s="150"/>
      <c r="H1233" s="59">
        <f t="shared" si="63"/>
        <v>0</v>
      </c>
      <c r="I1233" s="145"/>
    </row>
    <row r="1234" ht="22.5" customHeight="1">
      <c r="A1234" s="147"/>
      <c r="B1234" s="131"/>
      <c r="C1234" s="148"/>
      <c r="D1234" s="51"/>
      <c r="E1234" s="149"/>
      <c r="F1234" s="56"/>
      <c r="G1234" s="150"/>
      <c r="H1234" s="59">
        <f t="shared" si="63"/>
        <v>0</v>
      </c>
      <c r="I1234" s="145"/>
    </row>
    <row r="1235" ht="22.5" customHeight="1">
      <c r="A1235" s="147"/>
      <c r="B1235" s="131"/>
      <c r="C1235" s="148"/>
      <c r="D1235" s="51"/>
      <c r="E1235" s="149"/>
      <c r="F1235" s="56"/>
      <c r="G1235" s="150"/>
      <c r="H1235" s="59">
        <f t="shared" si="63"/>
        <v>0</v>
      </c>
      <c r="I1235" s="145"/>
    </row>
    <row r="1236" ht="22.5" customHeight="1">
      <c r="A1236" s="147"/>
      <c r="B1236" s="131"/>
      <c r="C1236" s="148"/>
      <c r="D1236" s="51"/>
      <c r="E1236" s="149"/>
      <c r="F1236" s="56"/>
      <c r="G1236" s="150"/>
      <c r="H1236" s="59">
        <f t="shared" si="63"/>
        <v>0</v>
      </c>
      <c r="I1236" s="145"/>
    </row>
    <row r="1237" ht="22.5" customHeight="1">
      <c r="A1237" s="147"/>
      <c r="B1237" s="131"/>
      <c r="C1237" s="148"/>
      <c r="D1237" s="51"/>
      <c r="E1237" s="149"/>
      <c r="F1237" s="56"/>
      <c r="G1237" s="150"/>
      <c r="H1237" s="59">
        <f t="shared" si="63"/>
        <v>0</v>
      </c>
      <c r="I1237" s="145"/>
    </row>
    <row r="1238" ht="22.5" customHeight="1">
      <c r="A1238" s="147"/>
      <c r="B1238" s="131"/>
      <c r="C1238" s="148"/>
      <c r="D1238" s="51"/>
      <c r="E1238" s="149"/>
      <c r="F1238" s="56"/>
      <c r="G1238" s="150"/>
      <c r="H1238" s="59">
        <f t="shared" si="63"/>
        <v>0</v>
      </c>
      <c r="I1238" s="145"/>
    </row>
    <row r="1239" ht="22.5" customHeight="1">
      <c r="A1239" s="147"/>
      <c r="B1239" s="131"/>
      <c r="C1239" s="148"/>
      <c r="D1239" s="51"/>
      <c r="E1239" s="149"/>
      <c r="F1239" s="56"/>
      <c r="G1239" s="150"/>
      <c r="H1239" s="59">
        <f t="shared" si="63"/>
        <v>0</v>
      </c>
      <c r="I1239" s="145"/>
    </row>
    <row r="1240" ht="22.5" customHeight="1">
      <c r="A1240" s="147"/>
      <c r="B1240" s="131"/>
      <c r="C1240" s="148"/>
      <c r="D1240" s="51"/>
      <c r="E1240" s="149"/>
      <c r="F1240" s="56"/>
      <c r="G1240" s="150"/>
      <c r="H1240" s="59">
        <f t="shared" si="63"/>
        <v>0</v>
      </c>
      <c r="I1240" s="145"/>
    </row>
    <row r="1241" ht="22.5" customHeight="1">
      <c r="A1241" s="147"/>
      <c r="B1241" s="131"/>
      <c r="C1241" s="148"/>
      <c r="D1241" s="51"/>
      <c r="E1241" s="149"/>
      <c r="F1241" s="56"/>
      <c r="G1241" s="150"/>
      <c r="H1241" s="59">
        <f t="shared" si="63"/>
        <v>0</v>
      </c>
      <c r="I1241" s="145"/>
    </row>
    <row r="1242" ht="22.5" customHeight="1">
      <c r="A1242" s="147"/>
      <c r="B1242" s="131"/>
      <c r="C1242" s="148"/>
      <c r="D1242" s="51"/>
      <c r="E1242" s="149"/>
      <c r="F1242" s="56"/>
      <c r="G1242" s="150"/>
      <c r="H1242" s="59">
        <f t="shared" si="63"/>
        <v>0</v>
      </c>
      <c r="I1242" s="145"/>
    </row>
    <row r="1243" ht="22.5" customHeight="1">
      <c r="A1243" s="147"/>
      <c r="B1243" s="131"/>
      <c r="C1243" s="148"/>
      <c r="D1243" s="51"/>
      <c r="E1243" s="149"/>
      <c r="F1243" s="56"/>
      <c r="G1243" s="150"/>
      <c r="H1243" s="59">
        <f t="shared" si="63"/>
        <v>0</v>
      </c>
      <c r="I1243" s="145"/>
    </row>
    <row r="1244" ht="22.5" customHeight="1">
      <c r="A1244" s="147"/>
      <c r="B1244" s="131"/>
      <c r="C1244" s="148"/>
      <c r="D1244" s="51"/>
      <c r="E1244" s="149"/>
      <c r="F1244" s="56"/>
      <c r="G1244" s="150"/>
      <c r="H1244" s="59">
        <f t="shared" si="63"/>
        <v>0</v>
      </c>
      <c r="I1244" s="145"/>
    </row>
    <row r="1245" ht="22.5" customHeight="1">
      <c r="A1245" s="147"/>
      <c r="B1245" s="131"/>
      <c r="C1245" s="148"/>
      <c r="D1245" s="51"/>
      <c r="E1245" s="149"/>
      <c r="F1245" s="56"/>
      <c r="G1245" s="150"/>
      <c r="H1245" s="59">
        <f t="shared" si="63"/>
        <v>0</v>
      </c>
      <c r="I1245" s="145"/>
    </row>
    <row r="1246" ht="22.5" customHeight="1">
      <c r="A1246" s="147"/>
      <c r="B1246" s="131"/>
      <c r="C1246" s="148"/>
      <c r="D1246" s="51"/>
      <c r="E1246" s="149"/>
      <c r="F1246" s="56"/>
      <c r="G1246" s="150"/>
      <c r="H1246" s="59">
        <f t="shared" si="63"/>
        <v>0</v>
      </c>
      <c r="I1246" s="145"/>
    </row>
    <row r="1247" ht="22.5" customHeight="1">
      <c r="A1247" s="147"/>
      <c r="B1247" s="131"/>
      <c r="C1247" s="148"/>
      <c r="D1247" s="51"/>
      <c r="E1247" s="149"/>
      <c r="F1247" s="56"/>
      <c r="G1247" s="150"/>
      <c r="H1247" s="59">
        <f t="shared" si="63"/>
        <v>0</v>
      </c>
      <c r="I1247" s="145"/>
    </row>
    <row r="1248" ht="22.5" customHeight="1">
      <c r="A1248" s="147"/>
      <c r="B1248" s="131"/>
      <c r="C1248" s="148"/>
      <c r="D1248" s="51"/>
      <c r="E1248" s="149"/>
      <c r="F1248" s="56"/>
      <c r="G1248" s="150"/>
      <c r="H1248" s="59">
        <f t="shared" si="63"/>
        <v>0</v>
      </c>
      <c r="I1248" s="145"/>
    </row>
    <row r="1249" ht="22.5" customHeight="1">
      <c r="A1249" s="147"/>
      <c r="B1249" s="131"/>
      <c r="C1249" s="148"/>
      <c r="D1249" s="51"/>
      <c r="E1249" s="149"/>
      <c r="F1249" s="56"/>
      <c r="G1249" s="150"/>
      <c r="H1249" s="59">
        <f t="shared" si="63"/>
        <v>0</v>
      </c>
      <c r="I1249" s="145"/>
    </row>
    <row r="1250" ht="22.5" customHeight="1">
      <c r="A1250" s="147"/>
      <c r="B1250" s="131"/>
      <c r="C1250" s="148"/>
      <c r="D1250" s="51"/>
      <c r="E1250" s="149"/>
      <c r="F1250" s="56"/>
      <c r="G1250" s="150"/>
      <c r="H1250" s="59">
        <f t="shared" si="63"/>
        <v>0</v>
      </c>
      <c r="I1250" s="145"/>
    </row>
    <row r="1251" ht="22.5" customHeight="1">
      <c r="A1251" s="147"/>
      <c r="B1251" s="131"/>
      <c r="C1251" s="148"/>
      <c r="D1251" s="51"/>
      <c r="E1251" s="149"/>
      <c r="F1251" s="56"/>
      <c r="G1251" s="150"/>
      <c r="H1251" s="59">
        <f t="shared" si="63"/>
        <v>0</v>
      </c>
      <c r="I1251" s="145"/>
    </row>
    <row r="1252" ht="22.5" customHeight="1">
      <c r="A1252" s="147"/>
      <c r="B1252" s="131"/>
      <c r="C1252" s="148"/>
      <c r="D1252" s="51"/>
      <c r="E1252" s="149"/>
      <c r="F1252" s="56"/>
      <c r="G1252" s="150"/>
      <c r="H1252" s="59">
        <f t="shared" si="63"/>
        <v>0</v>
      </c>
      <c r="I1252" s="145"/>
    </row>
    <row r="1253" ht="22.5" customHeight="1">
      <c r="A1253" s="147"/>
      <c r="B1253" s="131"/>
      <c r="C1253" s="148"/>
      <c r="D1253" s="51"/>
      <c r="E1253" s="149"/>
      <c r="F1253" s="56"/>
      <c r="G1253" s="150"/>
      <c r="H1253" s="59">
        <f t="shared" si="63"/>
        <v>0</v>
      </c>
      <c r="I1253" s="145"/>
    </row>
    <row r="1254" ht="22.5" customHeight="1">
      <c r="A1254" s="147"/>
      <c r="B1254" s="131"/>
      <c r="C1254" s="148"/>
      <c r="D1254" s="51"/>
      <c r="E1254" s="149"/>
      <c r="F1254" s="56"/>
      <c r="G1254" s="150"/>
      <c r="H1254" s="59">
        <f t="shared" si="63"/>
        <v>0</v>
      </c>
      <c r="I1254" s="145"/>
    </row>
    <row r="1255" ht="22.5" customHeight="1">
      <c r="A1255" s="147"/>
      <c r="B1255" s="131"/>
      <c r="C1255" s="148"/>
      <c r="D1255" s="51"/>
      <c r="E1255" s="149"/>
      <c r="F1255" s="56"/>
      <c r="G1255" s="150"/>
      <c r="H1255" s="59">
        <f t="shared" si="63"/>
        <v>0</v>
      </c>
      <c r="I1255" s="145"/>
    </row>
    <row r="1256" ht="22.5" customHeight="1">
      <c r="A1256" s="147"/>
      <c r="B1256" s="131"/>
      <c r="C1256" s="148"/>
      <c r="D1256" s="51"/>
      <c r="E1256" s="149"/>
      <c r="F1256" s="56"/>
      <c r="G1256" s="150"/>
      <c r="H1256" s="59">
        <f t="shared" si="63"/>
        <v>0</v>
      </c>
      <c r="I1256" s="145"/>
    </row>
    <row r="1257" ht="22.5" customHeight="1">
      <c r="A1257" s="147"/>
      <c r="B1257" s="131"/>
      <c r="C1257" s="148"/>
      <c r="D1257" s="51"/>
      <c r="E1257" s="149"/>
      <c r="F1257" s="56"/>
      <c r="G1257" s="150"/>
      <c r="H1257" s="59">
        <f t="shared" si="63"/>
        <v>0</v>
      </c>
      <c r="I1257" s="145"/>
    </row>
    <row r="1258" ht="22.5" customHeight="1">
      <c r="A1258" s="147"/>
      <c r="B1258" s="131"/>
      <c r="C1258" s="148"/>
      <c r="D1258" s="51"/>
      <c r="E1258" s="149"/>
      <c r="F1258" s="56"/>
      <c r="G1258" s="150"/>
      <c r="H1258" s="59">
        <f t="shared" si="63"/>
        <v>0</v>
      </c>
      <c r="I1258" s="145"/>
    </row>
    <row r="1259" ht="22.5" customHeight="1">
      <c r="A1259" s="147"/>
      <c r="B1259" s="131"/>
      <c r="C1259" s="148"/>
      <c r="D1259" s="51"/>
      <c r="E1259" s="149"/>
      <c r="F1259" s="56"/>
      <c r="G1259" s="150"/>
      <c r="H1259" s="59">
        <f t="shared" si="63"/>
        <v>0</v>
      </c>
      <c r="I1259" s="145"/>
    </row>
    <row r="1260" ht="22.5" customHeight="1">
      <c r="A1260" s="147"/>
      <c r="B1260" s="131"/>
      <c r="C1260" s="148"/>
      <c r="D1260" s="51"/>
      <c r="E1260" s="149"/>
      <c r="F1260" s="56"/>
      <c r="G1260" s="150"/>
      <c r="H1260" s="59">
        <f t="shared" si="63"/>
        <v>0</v>
      </c>
      <c r="I1260" s="145"/>
    </row>
    <row r="1261" ht="22.5" customHeight="1">
      <c r="A1261" s="147"/>
      <c r="B1261" s="131"/>
      <c r="C1261" s="148"/>
      <c r="D1261" s="51"/>
      <c r="E1261" s="149"/>
      <c r="F1261" s="56"/>
      <c r="G1261" s="150"/>
      <c r="H1261" s="59">
        <f t="shared" si="63"/>
        <v>0</v>
      </c>
      <c r="I1261" s="145"/>
    </row>
    <row r="1262" ht="22.5" customHeight="1">
      <c r="A1262" s="147"/>
      <c r="B1262" s="131"/>
      <c r="C1262" s="148"/>
      <c r="D1262" s="51"/>
      <c r="E1262" s="149"/>
      <c r="F1262" s="56"/>
      <c r="G1262" s="150"/>
      <c r="H1262" s="59">
        <f t="shared" si="63"/>
        <v>0</v>
      </c>
      <c r="I1262" s="145"/>
    </row>
    <row r="1263" ht="22.5" customHeight="1">
      <c r="A1263" s="147"/>
      <c r="B1263" s="131"/>
      <c r="C1263" s="148"/>
      <c r="D1263" s="51"/>
      <c r="E1263" s="149"/>
      <c r="F1263" s="56"/>
      <c r="G1263" s="150"/>
      <c r="H1263" s="59">
        <f t="shared" si="63"/>
        <v>0</v>
      </c>
      <c r="I1263" s="145"/>
    </row>
    <row r="1264" ht="22.5" customHeight="1">
      <c r="A1264" s="147"/>
      <c r="B1264" s="131"/>
      <c r="C1264" s="148"/>
      <c r="D1264" s="51"/>
      <c r="E1264" s="149"/>
      <c r="F1264" s="56"/>
      <c r="G1264" s="150"/>
      <c r="H1264" s="59">
        <f t="shared" si="63"/>
        <v>0</v>
      </c>
      <c r="I1264" s="145"/>
    </row>
    <row r="1265" ht="22.5" customHeight="1">
      <c r="A1265" s="147"/>
      <c r="B1265" s="131"/>
      <c r="C1265" s="148"/>
      <c r="D1265" s="51"/>
      <c r="E1265" s="149"/>
      <c r="F1265" s="56"/>
      <c r="G1265" s="150"/>
      <c r="H1265" s="59">
        <f t="shared" si="63"/>
        <v>0</v>
      </c>
      <c r="I1265" s="145"/>
    </row>
    <row r="1266" ht="22.5" customHeight="1">
      <c r="A1266" s="147"/>
      <c r="B1266" s="131"/>
      <c r="C1266" s="148"/>
      <c r="D1266" s="51"/>
      <c r="E1266" s="149"/>
      <c r="F1266" s="56"/>
      <c r="G1266" s="150"/>
      <c r="H1266" s="59">
        <f t="shared" si="63"/>
        <v>0</v>
      </c>
      <c r="I1266" s="145"/>
    </row>
    <row r="1267" ht="22.5" customHeight="1">
      <c r="A1267" s="147"/>
      <c r="B1267" s="131"/>
      <c r="C1267" s="148"/>
      <c r="D1267" s="51"/>
      <c r="E1267" s="149"/>
      <c r="F1267" s="56"/>
      <c r="G1267" s="150"/>
      <c r="H1267" s="59">
        <f t="shared" si="63"/>
        <v>0</v>
      </c>
      <c r="I1267" s="145"/>
    </row>
    <row r="1268" ht="22.5" customHeight="1">
      <c r="A1268" s="147"/>
      <c r="B1268" s="131"/>
      <c r="C1268" s="148"/>
      <c r="D1268" s="51"/>
      <c r="E1268" s="149"/>
      <c r="F1268" s="56"/>
      <c r="G1268" s="150"/>
      <c r="H1268" s="59">
        <f t="shared" si="63"/>
        <v>0</v>
      </c>
      <c r="I1268" s="145"/>
    </row>
    <row r="1269" ht="22.5" customHeight="1">
      <c r="A1269" s="147"/>
      <c r="B1269" s="131"/>
      <c r="C1269" s="148"/>
      <c r="D1269" s="51"/>
      <c r="E1269" s="149"/>
      <c r="F1269" s="56"/>
      <c r="G1269" s="150"/>
      <c r="H1269" s="59">
        <f t="shared" si="63"/>
        <v>0</v>
      </c>
      <c r="I1269" s="145"/>
    </row>
    <row r="1270" ht="22.5" customHeight="1">
      <c r="A1270" s="147"/>
      <c r="B1270" s="131"/>
      <c r="C1270" s="148"/>
      <c r="D1270" s="51"/>
      <c r="E1270" s="149"/>
      <c r="F1270" s="56"/>
      <c r="G1270" s="150"/>
      <c r="H1270" s="59">
        <f t="shared" si="63"/>
        <v>0</v>
      </c>
      <c r="I1270" s="145"/>
    </row>
    <row r="1271" ht="22.5" customHeight="1">
      <c r="A1271" s="147"/>
      <c r="B1271" s="131"/>
      <c r="C1271" s="148"/>
      <c r="D1271" s="51"/>
      <c r="E1271" s="149"/>
      <c r="F1271" s="56"/>
      <c r="G1271" s="150"/>
      <c r="H1271" s="59">
        <f t="shared" si="63"/>
        <v>0</v>
      </c>
      <c r="I1271" s="145"/>
    </row>
    <row r="1272" ht="22.5" customHeight="1">
      <c r="A1272" s="147"/>
      <c r="B1272" s="131"/>
      <c r="C1272" s="148"/>
      <c r="D1272" s="51"/>
      <c r="E1272" s="149"/>
      <c r="F1272" s="56"/>
      <c r="G1272" s="150"/>
      <c r="H1272" s="59">
        <f t="shared" si="63"/>
        <v>0</v>
      </c>
      <c r="I1272" s="145"/>
    </row>
    <row r="1273" ht="22.5" customHeight="1">
      <c r="A1273" s="147"/>
      <c r="B1273" s="131"/>
      <c r="C1273" s="148"/>
      <c r="D1273" s="51"/>
      <c r="E1273" s="149"/>
      <c r="F1273" s="56"/>
      <c r="G1273" s="150"/>
      <c r="H1273" s="59">
        <f t="shared" si="63"/>
        <v>0</v>
      </c>
      <c r="I1273" s="145"/>
    </row>
    <row r="1274" ht="22.5" customHeight="1">
      <c r="A1274" s="147"/>
      <c r="B1274" s="131"/>
      <c r="C1274" s="148"/>
      <c r="D1274" s="51"/>
      <c r="E1274" s="149"/>
      <c r="F1274" s="56"/>
      <c r="G1274" s="150"/>
      <c r="H1274" s="59">
        <f t="shared" si="63"/>
        <v>0</v>
      </c>
      <c r="I1274" s="145"/>
    </row>
    <row r="1275" ht="22.5" customHeight="1">
      <c r="A1275" s="147"/>
      <c r="B1275" s="131"/>
      <c r="C1275" s="148"/>
      <c r="D1275" s="51"/>
      <c r="E1275" s="149"/>
      <c r="F1275" s="56"/>
      <c r="G1275" s="150"/>
      <c r="H1275" s="59">
        <f t="shared" si="63"/>
        <v>0</v>
      </c>
      <c r="I1275" s="145"/>
    </row>
    <row r="1276" ht="22.5" customHeight="1">
      <c r="A1276" s="147"/>
      <c r="B1276" s="131"/>
      <c r="C1276" s="148"/>
      <c r="D1276" s="51"/>
      <c r="E1276" s="149"/>
      <c r="F1276" s="56"/>
      <c r="G1276" s="150"/>
      <c r="H1276" s="59">
        <f t="shared" si="63"/>
        <v>0</v>
      </c>
      <c r="I1276" s="145"/>
    </row>
    <row r="1277" ht="22.5" customHeight="1">
      <c r="A1277" s="147"/>
      <c r="B1277" s="131"/>
      <c r="C1277" s="148"/>
      <c r="D1277" s="51"/>
      <c r="E1277" s="149"/>
      <c r="F1277" s="56"/>
      <c r="G1277" s="150"/>
      <c r="H1277" s="59">
        <f t="shared" si="63"/>
        <v>0</v>
      </c>
      <c r="I1277" s="145"/>
    </row>
    <row r="1278" ht="22.5" customHeight="1">
      <c r="A1278" s="147"/>
      <c r="B1278" s="131"/>
      <c r="C1278" s="148"/>
      <c r="D1278" s="51"/>
      <c r="E1278" s="149"/>
      <c r="F1278" s="56"/>
      <c r="G1278" s="150"/>
      <c r="H1278" s="59">
        <f t="shared" si="63"/>
        <v>0</v>
      </c>
      <c r="I1278" s="145"/>
    </row>
    <row r="1279" ht="22.5" customHeight="1">
      <c r="A1279" s="147"/>
      <c r="B1279" s="131"/>
      <c r="C1279" s="148"/>
      <c r="D1279" s="51"/>
      <c r="E1279" s="149"/>
      <c r="F1279" s="56"/>
      <c r="G1279" s="150"/>
      <c r="H1279" s="59">
        <f t="shared" si="63"/>
        <v>0</v>
      </c>
      <c r="I1279" s="145"/>
    </row>
    <row r="1280" ht="22.5" customHeight="1">
      <c r="A1280" s="147"/>
      <c r="B1280" s="131"/>
      <c r="C1280" s="148"/>
      <c r="D1280" s="51"/>
      <c r="E1280" s="149"/>
      <c r="F1280" s="56"/>
      <c r="G1280" s="150"/>
      <c r="H1280" s="59">
        <f t="shared" si="63"/>
        <v>0</v>
      </c>
      <c r="I1280" s="145"/>
    </row>
    <row r="1281" ht="22.5" customHeight="1">
      <c r="A1281" s="147"/>
      <c r="B1281" s="131"/>
      <c r="C1281" s="148"/>
      <c r="D1281" s="51"/>
      <c r="E1281" s="149"/>
      <c r="F1281" s="56"/>
      <c r="G1281" s="150"/>
      <c r="H1281" s="59">
        <f t="shared" si="63"/>
        <v>0</v>
      </c>
      <c r="I1281" s="145"/>
    </row>
    <row r="1282" ht="22.5" customHeight="1">
      <c r="A1282" s="147"/>
      <c r="B1282" s="131"/>
      <c r="C1282" s="148"/>
      <c r="D1282" s="51"/>
      <c r="E1282" s="149"/>
      <c r="F1282" s="56"/>
      <c r="G1282" s="150"/>
      <c r="H1282" s="59">
        <f t="shared" si="63"/>
        <v>0</v>
      </c>
      <c r="I1282" s="145"/>
    </row>
    <row r="1283" ht="22.5" customHeight="1">
      <c r="A1283" s="147"/>
      <c r="B1283" s="131"/>
      <c r="C1283" s="148"/>
      <c r="D1283" s="51"/>
      <c r="E1283" s="149"/>
      <c r="F1283" s="56"/>
      <c r="G1283" s="150"/>
      <c r="H1283" s="59">
        <f t="shared" si="63"/>
        <v>0</v>
      </c>
      <c r="I1283" s="145"/>
    </row>
    <row r="1284" ht="22.5" customHeight="1">
      <c r="A1284" s="147"/>
      <c r="B1284" s="131"/>
      <c r="C1284" s="148"/>
      <c r="D1284" s="51"/>
      <c r="E1284" s="149"/>
      <c r="F1284" s="56"/>
      <c r="G1284" s="150"/>
      <c r="H1284" s="59">
        <f t="shared" si="63"/>
        <v>0</v>
      </c>
      <c r="I1284" s="145"/>
    </row>
    <row r="1285" ht="22.5" customHeight="1">
      <c r="A1285" s="147"/>
      <c r="B1285" s="131"/>
      <c r="C1285" s="148"/>
      <c r="D1285" s="51"/>
      <c r="E1285" s="149"/>
      <c r="F1285" s="56"/>
      <c r="G1285" s="150"/>
      <c r="H1285" s="59">
        <f t="shared" si="63"/>
        <v>0</v>
      </c>
      <c r="I1285" s="145"/>
    </row>
    <row r="1286" ht="22.5" customHeight="1">
      <c r="A1286" s="147"/>
      <c r="B1286" s="131"/>
      <c r="C1286" s="148"/>
      <c r="D1286" s="51"/>
      <c r="E1286" s="149"/>
      <c r="F1286" s="56"/>
      <c r="G1286" s="150"/>
      <c r="H1286" s="59">
        <f t="shared" si="63"/>
        <v>0</v>
      </c>
      <c r="I1286" s="145"/>
    </row>
    <row r="1287" ht="22.5" customHeight="1">
      <c r="A1287" s="147"/>
      <c r="B1287" s="131"/>
      <c r="C1287" s="148"/>
      <c r="D1287" s="51"/>
      <c r="E1287" s="149"/>
      <c r="F1287" s="56"/>
      <c r="G1287" s="150"/>
      <c r="H1287" s="59">
        <f t="shared" si="63"/>
        <v>0</v>
      </c>
      <c r="I1287" s="145"/>
    </row>
    <row r="1288" ht="22.5" customHeight="1">
      <c r="A1288" s="147"/>
      <c r="B1288" s="131"/>
      <c r="C1288" s="148"/>
      <c r="D1288" s="51"/>
      <c r="E1288" s="149"/>
      <c r="F1288" s="56"/>
      <c r="G1288" s="150"/>
      <c r="H1288" s="59">
        <f t="shared" si="63"/>
        <v>0</v>
      </c>
      <c r="I1288" s="145"/>
    </row>
    <row r="1289" ht="22.5" customHeight="1">
      <c r="A1289" s="147"/>
      <c r="B1289" s="131"/>
      <c r="C1289" s="148"/>
      <c r="D1289" s="51"/>
      <c r="E1289" s="149"/>
      <c r="F1289" s="56"/>
      <c r="G1289" s="150"/>
      <c r="H1289" s="59">
        <f t="shared" si="63"/>
        <v>0</v>
      </c>
      <c r="I1289" s="145"/>
    </row>
    <row r="1290" ht="22.5" customHeight="1">
      <c r="A1290" s="147"/>
      <c r="B1290" s="131"/>
      <c r="C1290" s="148"/>
      <c r="D1290" s="51"/>
      <c r="E1290" s="149"/>
      <c r="F1290" s="56"/>
      <c r="G1290" s="150"/>
      <c r="H1290" s="59">
        <f t="shared" si="63"/>
        <v>0</v>
      </c>
      <c r="I1290" s="145"/>
    </row>
    <row r="1291" ht="22.5" customHeight="1">
      <c r="A1291" s="147"/>
      <c r="B1291" s="131"/>
      <c r="C1291" s="148"/>
      <c r="D1291" s="51"/>
      <c r="E1291" s="149"/>
      <c r="F1291" s="56"/>
      <c r="G1291" s="150"/>
      <c r="H1291" s="59">
        <f t="shared" si="63"/>
        <v>0</v>
      </c>
      <c r="I1291" s="145"/>
    </row>
    <row r="1292" ht="22.5" customHeight="1">
      <c r="A1292" s="147"/>
      <c r="B1292" s="131"/>
      <c r="C1292" s="148"/>
      <c r="D1292" s="51"/>
      <c r="E1292" s="149"/>
      <c r="F1292" s="56"/>
      <c r="G1292" s="150"/>
      <c r="H1292" s="59">
        <f t="shared" si="63"/>
        <v>0</v>
      </c>
      <c r="I1292" s="145"/>
    </row>
    <row r="1293" ht="22.5" customHeight="1">
      <c r="A1293" s="147"/>
      <c r="B1293" s="131"/>
      <c r="C1293" s="148"/>
      <c r="D1293" s="51"/>
      <c r="E1293" s="149"/>
      <c r="F1293" s="56"/>
      <c r="G1293" s="150"/>
      <c r="H1293" s="59">
        <f t="shared" si="63"/>
        <v>0</v>
      </c>
      <c r="I1293" s="145"/>
    </row>
    <row r="1294" ht="22.5" customHeight="1">
      <c r="A1294" s="147"/>
      <c r="B1294" s="131"/>
      <c r="C1294" s="148"/>
      <c r="D1294" s="51"/>
      <c r="E1294" s="149"/>
      <c r="F1294" s="56"/>
      <c r="G1294" s="150"/>
      <c r="H1294" s="59">
        <f t="shared" si="63"/>
        <v>0</v>
      </c>
      <c r="I1294" s="145"/>
    </row>
    <row r="1295" ht="22.5" customHeight="1">
      <c r="A1295" s="147"/>
      <c r="B1295" s="131"/>
      <c r="C1295" s="148"/>
      <c r="D1295" s="51"/>
      <c r="E1295" s="149"/>
      <c r="F1295" s="56"/>
      <c r="G1295" s="150"/>
      <c r="H1295" s="59">
        <f t="shared" si="63"/>
        <v>0</v>
      </c>
      <c r="I1295" s="145"/>
    </row>
    <row r="1296" ht="22.5" customHeight="1">
      <c r="A1296" s="147"/>
      <c r="B1296" s="131"/>
      <c r="C1296" s="148"/>
      <c r="D1296" s="51"/>
      <c r="E1296" s="149"/>
      <c r="F1296" s="56"/>
      <c r="G1296" s="150"/>
      <c r="H1296" s="59">
        <f t="shared" si="63"/>
        <v>0</v>
      </c>
      <c r="I1296" s="145"/>
    </row>
    <row r="1297" ht="22.5" customHeight="1">
      <c r="A1297" s="147"/>
      <c r="B1297" s="131"/>
      <c r="C1297" s="148"/>
      <c r="D1297" s="51"/>
      <c r="E1297" s="149"/>
      <c r="F1297" s="56"/>
      <c r="G1297" s="150"/>
      <c r="H1297" s="59">
        <f t="shared" si="63"/>
        <v>0</v>
      </c>
      <c r="I1297" s="145"/>
    </row>
    <row r="1298" ht="22.5" customHeight="1">
      <c r="A1298" s="147"/>
      <c r="B1298" s="131"/>
      <c r="C1298" s="148"/>
      <c r="D1298" s="51"/>
      <c r="E1298" s="149"/>
      <c r="F1298" s="56"/>
      <c r="G1298" s="150"/>
      <c r="H1298" s="59">
        <f t="shared" si="63"/>
        <v>0</v>
      </c>
      <c r="I1298" s="145"/>
    </row>
    <row r="1299" ht="22.5" customHeight="1">
      <c r="A1299" s="147"/>
      <c r="B1299" s="131"/>
      <c r="C1299" s="148"/>
      <c r="D1299" s="51"/>
      <c r="E1299" s="149"/>
      <c r="F1299" s="56"/>
      <c r="G1299" s="150"/>
      <c r="H1299" s="59">
        <f t="shared" si="63"/>
        <v>0</v>
      </c>
      <c r="I1299" s="145"/>
    </row>
    <row r="1300" ht="22.5" customHeight="1">
      <c r="A1300" s="147"/>
      <c r="B1300" s="131"/>
      <c r="C1300" s="148"/>
      <c r="D1300" s="51"/>
      <c r="E1300" s="149"/>
      <c r="F1300" s="56"/>
      <c r="G1300" s="150"/>
      <c r="H1300" s="59">
        <f t="shared" si="63"/>
        <v>0</v>
      </c>
      <c r="I1300" s="145"/>
    </row>
    <row r="1301" ht="22.5" customHeight="1">
      <c r="A1301" s="147"/>
      <c r="B1301" s="131"/>
      <c r="C1301" s="148"/>
      <c r="D1301" s="51"/>
      <c r="E1301" s="149"/>
      <c r="F1301" s="56"/>
      <c r="G1301" s="150"/>
      <c r="H1301" s="59">
        <f t="shared" si="63"/>
        <v>0</v>
      </c>
      <c r="I1301" s="145"/>
    </row>
    <row r="1302" ht="22.5" customHeight="1">
      <c r="A1302" s="147"/>
      <c r="B1302" s="131"/>
      <c r="C1302" s="148"/>
      <c r="D1302" s="51"/>
      <c r="E1302" s="149"/>
      <c r="F1302" s="56"/>
      <c r="G1302" s="150"/>
      <c r="H1302" s="59">
        <f t="shared" si="63"/>
        <v>0</v>
      </c>
      <c r="I1302" s="145"/>
    </row>
    <row r="1303" ht="22.5" customHeight="1">
      <c r="A1303" s="147"/>
      <c r="B1303" s="131"/>
      <c r="C1303" s="148"/>
      <c r="D1303" s="51"/>
      <c r="E1303" s="149"/>
      <c r="F1303" s="56"/>
      <c r="G1303" s="150"/>
      <c r="H1303" s="59">
        <f t="shared" si="63"/>
        <v>0</v>
      </c>
      <c r="I1303" s="145"/>
    </row>
    <row r="1304" ht="22.5" customHeight="1">
      <c r="A1304" s="147"/>
      <c r="B1304" s="131"/>
      <c r="C1304" s="148"/>
      <c r="D1304" s="51"/>
      <c r="E1304" s="149"/>
      <c r="F1304" s="56"/>
      <c r="G1304" s="150"/>
      <c r="H1304" s="59">
        <f t="shared" si="63"/>
        <v>0</v>
      </c>
      <c r="I1304" s="145"/>
    </row>
    <row r="1305" ht="22.5" customHeight="1">
      <c r="A1305" s="147"/>
      <c r="B1305" s="131"/>
      <c r="C1305" s="148"/>
      <c r="D1305" s="51"/>
      <c r="E1305" s="149"/>
      <c r="F1305" s="56"/>
      <c r="G1305" s="150"/>
      <c r="H1305" s="59">
        <f t="shared" si="63"/>
        <v>0</v>
      </c>
      <c r="I1305" s="145"/>
    </row>
    <row r="1306" ht="22.5" customHeight="1">
      <c r="A1306" s="147"/>
      <c r="B1306" s="131"/>
      <c r="C1306" s="148"/>
      <c r="D1306" s="51"/>
      <c r="E1306" s="149"/>
      <c r="F1306" s="56"/>
      <c r="G1306" s="150"/>
      <c r="H1306" s="59">
        <f t="shared" si="63"/>
        <v>0</v>
      </c>
      <c r="I1306" s="145"/>
    </row>
    <row r="1307" ht="22.5" customHeight="1">
      <c r="A1307" s="147"/>
      <c r="B1307" s="131"/>
      <c r="C1307" s="148"/>
      <c r="D1307" s="51"/>
      <c r="E1307" s="149"/>
      <c r="F1307" s="56"/>
      <c r="G1307" s="150"/>
      <c r="H1307" s="59">
        <f t="shared" si="63"/>
        <v>0</v>
      </c>
      <c r="I1307" s="145"/>
    </row>
    <row r="1308" ht="22.5" customHeight="1">
      <c r="A1308" s="147"/>
      <c r="B1308" s="131"/>
      <c r="C1308" s="148"/>
      <c r="D1308" s="51"/>
      <c r="E1308" s="149"/>
      <c r="F1308" s="56"/>
      <c r="G1308" s="150"/>
      <c r="H1308" s="59">
        <f t="shared" si="63"/>
        <v>0</v>
      </c>
      <c r="I1308" s="145"/>
    </row>
    <row r="1309" ht="22.5" customHeight="1">
      <c r="A1309" s="147"/>
      <c r="B1309" s="131"/>
      <c r="C1309" s="148"/>
      <c r="D1309" s="51"/>
      <c r="E1309" s="149"/>
      <c r="F1309" s="56"/>
      <c r="G1309" s="150"/>
      <c r="H1309" s="59">
        <f t="shared" si="63"/>
        <v>0</v>
      </c>
      <c r="I1309" s="145"/>
    </row>
    <row r="1310" ht="22.5" customHeight="1">
      <c r="A1310" s="147"/>
      <c r="B1310" s="131"/>
      <c r="C1310" s="148"/>
      <c r="D1310" s="51"/>
      <c r="E1310" s="149"/>
      <c r="F1310" s="56"/>
      <c r="G1310" s="150"/>
      <c r="H1310" s="59">
        <f t="shared" si="63"/>
        <v>0</v>
      </c>
      <c r="I1310" s="145"/>
    </row>
    <row r="1311" ht="22.5" customHeight="1">
      <c r="A1311" s="147"/>
      <c r="B1311" s="131"/>
      <c r="C1311" s="148"/>
      <c r="D1311" s="51"/>
      <c r="E1311" s="149"/>
      <c r="F1311" s="56"/>
      <c r="G1311" s="150"/>
      <c r="H1311" s="59">
        <f t="shared" si="63"/>
        <v>0</v>
      </c>
      <c r="I1311" s="145"/>
    </row>
    <row r="1312" ht="22.5" customHeight="1">
      <c r="A1312" s="147"/>
      <c r="B1312" s="131"/>
      <c r="C1312" s="148"/>
      <c r="D1312" s="51"/>
      <c r="E1312" s="149"/>
      <c r="F1312" s="56"/>
      <c r="G1312" s="150"/>
      <c r="H1312" s="59">
        <f t="shared" si="63"/>
        <v>0</v>
      </c>
      <c r="I1312" s="145"/>
    </row>
    <row r="1313" ht="22.5" customHeight="1">
      <c r="A1313" s="147"/>
      <c r="B1313" s="131"/>
      <c r="C1313" s="148"/>
      <c r="D1313" s="51"/>
      <c r="E1313" s="149"/>
      <c r="F1313" s="56"/>
      <c r="G1313" s="150"/>
      <c r="H1313" s="59">
        <f t="shared" si="63"/>
        <v>0</v>
      </c>
      <c r="I1313" s="145"/>
    </row>
    <row r="1314" ht="22.5" customHeight="1">
      <c r="A1314" s="147"/>
      <c r="B1314" s="131"/>
      <c r="C1314" s="148"/>
      <c r="D1314" s="51"/>
      <c r="E1314" s="149"/>
      <c r="F1314" s="56"/>
      <c r="G1314" s="150"/>
      <c r="H1314" s="59">
        <f t="shared" si="63"/>
        <v>0</v>
      </c>
      <c r="I1314" s="145"/>
    </row>
    <row r="1315" ht="22.5" customHeight="1">
      <c r="A1315" s="147"/>
      <c r="B1315" s="131"/>
      <c r="C1315" s="148"/>
      <c r="D1315" s="51"/>
      <c r="E1315" s="149"/>
      <c r="F1315" s="56"/>
      <c r="G1315" s="150"/>
      <c r="H1315" s="59">
        <f t="shared" si="63"/>
        <v>0</v>
      </c>
      <c r="I1315" s="145"/>
    </row>
    <row r="1316" ht="22.5" customHeight="1">
      <c r="A1316" s="147"/>
      <c r="B1316" s="131"/>
      <c r="C1316" s="148"/>
      <c r="D1316" s="51"/>
      <c r="E1316" s="149"/>
      <c r="F1316" s="56"/>
      <c r="G1316" s="150"/>
      <c r="H1316" s="59">
        <f t="shared" si="63"/>
        <v>0</v>
      </c>
      <c r="I1316" s="145"/>
    </row>
    <row r="1317" ht="22.5" customHeight="1">
      <c r="A1317" s="147"/>
      <c r="B1317" s="131"/>
      <c r="C1317" s="148"/>
      <c r="D1317" s="51"/>
      <c r="E1317" s="149"/>
      <c r="F1317" s="56"/>
      <c r="G1317" s="150"/>
      <c r="H1317" s="59">
        <f t="shared" si="63"/>
        <v>0</v>
      </c>
      <c r="I1317" s="145"/>
    </row>
    <row r="1318" ht="22.5" customHeight="1">
      <c r="A1318" s="147"/>
      <c r="B1318" s="131"/>
      <c r="C1318" s="148"/>
      <c r="D1318" s="51"/>
      <c r="E1318" s="149"/>
      <c r="F1318" s="56"/>
      <c r="G1318" s="150"/>
      <c r="H1318" s="59">
        <f t="shared" si="63"/>
        <v>0</v>
      </c>
      <c r="I1318" s="145"/>
    </row>
    <row r="1319" ht="22.5" customHeight="1">
      <c r="A1319" s="147"/>
      <c r="B1319" s="131"/>
      <c r="C1319" s="148"/>
      <c r="D1319" s="51"/>
      <c r="E1319" s="149"/>
      <c r="F1319" s="56"/>
      <c r="G1319" s="150"/>
      <c r="H1319" s="59">
        <f t="shared" si="63"/>
        <v>0</v>
      </c>
      <c r="I1319" s="145"/>
    </row>
    <row r="1320" ht="22.5" customHeight="1">
      <c r="A1320" s="147"/>
      <c r="B1320" s="131"/>
      <c r="C1320" s="148"/>
      <c r="D1320" s="51"/>
      <c r="E1320" s="149"/>
      <c r="F1320" s="56"/>
      <c r="G1320" s="150"/>
      <c r="H1320" s="59">
        <f t="shared" si="63"/>
        <v>0</v>
      </c>
      <c r="I1320" s="145"/>
    </row>
    <row r="1321" ht="22.5" customHeight="1">
      <c r="A1321" s="147"/>
      <c r="B1321" s="131"/>
      <c r="C1321" s="148"/>
      <c r="D1321" s="51"/>
      <c r="E1321" s="149"/>
      <c r="F1321" s="56"/>
      <c r="G1321" s="150"/>
      <c r="H1321" s="59">
        <f t="shared" si="63"/>
        <v>0</v>
      </c>
      <c r="I1321" s="145"/>
    </row>
    <row r="1322" ht="22.5" customHeight="1">
      <c r="A1322" s="147"/>
      <c r="B1322" s="131"/>
      <c r="C1322" s="148"/>
      <c r="D1322" s="51"/>
      <c r="E1322" s="149"/>
      <c r="F1322" s="56"/>
      <c r="G1322" s="150"/>
      <c r="H1322" s="59">
        <f t="shared" si="63"/>
        <v>0</v>
      </c>
      <c r="I1322" s="145"/>
    </row>
    <row r="1323" ht="22.5" customHeight="1">
      <c r="A1323" s="147"/>
      <c r="B1323" s="131"/>
      <c r="C1323" s="148"/>
      <c r="D1323" s="51"/>
      <c r="E1323" s="149"/>
      <c r="F1323" s="56"/>
      <c r="G1323" s="150"/>
      <c r="H1323" s="59">
        <f t="shared" si="63"/>
        <v>0</v>
      </c>
      <c r="I1323" s="145"/>
    </row>
    <row r="1324" ht="22.5" customHeight="1">
      <c r="A1324" s="147"/>
      <c r="B1324" s="131"/>
      <c r="C1324" s="148"/>
      <c r="D1324" s="51"/>
      <c r="E1324" s="149"/>
      <c r="F1324" s="56"/>
      <c r="G1324" s="150"/>
      <c r="H1324" s="59">
        <f t="shared" si="63"/>
        <v>0</v>
      </c>
      <c r="I1324" s="145"/>
    </row>
    <row r="1325" ht="22.5" customHeight="1">
      <c r="A1325" s="147"/>
      <c r="B1325" s="131"/>
      <c r="C1325" s="148"/>
      <c r="D1325" s="51"/>
      <c r="E1325" s="149"/>
      <c r="F1325" s="56"/>
      <c r="G1325" s="150"/>
      <c r="H1325" s="59">
        <f t="shared" si="63"/>
        <v>0</v>
      </c>
      <c r="I1325" s="145"/>
    </row>
    <row r="1326" ht="22.5" customHeight="1">
      <c r="A1326" s="147"/>
      <c r="B1326" s="131"/>
      <c r="C1326" s="148"/>
      <c r="D1326" s="51"/>
      <c r="E1326" s="149"/>
      <c r="F1326" s="56"/>
      <c r="G1326" s="150"/>
      <c r="H1326" s="59">
        <f t="shared" si="63"/>
        <v>0</v>
      </c>
      <c r="I1326" s="145"/>
    </row>
    <row r="1327" ht="22.5" customHeight="1">
      <c r="A1327" s="147"/>
      <c r="B1327" s="131"/>
      <c r="C1327" s="148"/>
      <c r="D1327" s="51"/>
      <c r="E1327" s="149"/>
      <c r="F1327" s="56"/>
      <c r="G1327" s="150"/>
      <c r="H1327" s="59">
        <f t="shared" si="63"/>
        <v>0</v>
      </c>
      <c r="I1327" s="145"/>
    </row>
    <row r="1328" ht="22.5" customHeight="1">
      <c r="A1328" s="147"/>
      <c r="B1328" s="131"/>
      <c r="C1328" s="148"/>
      <c r="D1328" s="51"/>
      <c r="E1328" s="149"/>
      <c r="F1328" s="56"/>
      <c r="G1328" s="150"/>
      <c r="H1328" s="59">
        <f t="shared" si="63"/>
        <v>0</v>
      </c>
      <c r="I1328" s="145"/>
    </row>
    <row r="1329" ht="22.5" customHeight="1">
      <c r="A1329" s="147"/>
      <c r="B1329" s="131"/>
      <c r="C1329" s="148"/>
      <c r="D1329" s="51"/>
      <c r="E1329" s="149"/>
      <c r="F1329" s="56"/>
      <c r="G1329" s="150"/>
      <c r="H1329" s="59">
        <f t="shared" si="63"/>
        <v>0</v>
      </c>
      <c r="I1329" s="145"/>
    </row>
    <row r="1330" ht="22.5" customHeight="1">
      <c r="A1330" s="147"/>
      <c r="B1330" s="131"/>
      <c r="C1330" s="148"/>
      <c r="D1330" s="51"/>
      <c r="E1330" s="149"/>
      <c r="F1330" s="56"/>
      <c r="G1330" s="150"/>
      <c r="H1330" s="59">
        <f t="shared" si="63"/>
        <v>0</v>
      </c>
      <c r="I1330" s="145"/>
    </row>
    <row r="1331" ht="22.5" customHeight="1">
      <c r="A1331" s="147"/>
      <c r="B1331" s="131"/>
      <c r="C1331" s="148"/>
      <c r="D1331" s="51"/>
      <c r="E1331" s="149"/>
      <c r="F1331" s="56"/>
      <c r="G1331" s="150"/>
      <c r="H1331" s="59">
        <f t="shared" si="63"/>
        <v>0</v>
      </c>
      <c r="I1331" s="145"/>
    </row>
    <row r="1332" ht="22.5" customHeight="1">
      <c r="A1332" s="147"/>
      <c r="B1332" s="131"/>
      <c r="C1332" s="148"/>
      <c r="D1332" s="51"/>
      <c r="E1332" s="149"/>
      <c r="F1332" s="56"/>
      <c r="G1332" s="150"/>
      <c r="H1332" s="59">
        <f t="shared" si="63"/>
        <v>0</v>
      </c>
      <c r="I1332" s="145"/>
    </row>
    <row r="1333" ht="22.5" customHeight="1">
      <c r="A1333" s="147"/>
      <c r="B1333" s="131"/>
      <c r="C1333" s="148"/>
      <c r="D1333" s="51"/>
      <c r="E1333" s="149"/>
      <c r="F1333" s="56"/>
      <c r="G1333" s="150"/>
      <c r="H1333" s="59">
        <f t="shared" si="63"/>
        <v>0</v>
      </c>
      <c r="I1333" s="145"/>
    </row>
    <row r="1334" ht="22.5" customHeight="1">
      <c r="A1334" s="147"/>
      <c r="B1334" s="131"/>
      <c r="C1334" s="148"/>
      <c r="D1334" s="51"/>
      <c r="E1334" s="149"/>
      <c r="F1334" s="56"/>
      <c r="G1334" s="150"/>
      <c r="H1334" s="59">
        <f t="shared" si="63"/>
        <v>0</v>
      </c>
      <c r="I1334" s="145"/>
    </row>
    <row r="1335" ht="22.5" customHeight="1">
      <c r="A1335" s="147"/>
      <c r="B1335" s="131"/>
      <c r="C1335" s="148"/>
      <c r="D1335" s="51"/>
      <c r="E1335" s="149"/>
      <c r="F1335" s="56"/>
      <c r="G1335" s="150"/>
      <c r="H1335" s="59">
        <f t="shared" si="63"/>
        <v>0</v>
      </c>
      <c r="I1335" s="145"/>
    </row>
    <row r="1336" ht="22.5" customHeight="1">
      <c r="A1336" s="147"/>
      <c r="B1336" s="131"/>
      <c r="C1336" s="148"/>
      <c r="D1336" s="51"/>
      <c r="E1336" s="149"/>
      <c r="F1336" s="56"/>
      <c r="G1336" s="150"/>
      <c r="H1336" s="59">
        <f t="shared" si="63"/>
        <v>0</v>
      </c>
      <c r="I1336" s="145"/>
    </row>
    <row r="1337" ht="22.5" customHeight="1">
      <c r="A1337" s="147"/>
      <c r="B1337" s="131"/>
      <c r="C1337" s="148"/>
      <c r="D1337" s="51"/>
      <c r="E1337" s="149"/>
      <c r="F1337" s="56"/>
      <c r="G1337" s="150"/>
      <c r="H1337" s="59">
        <f t="shared" si="63"/>
        <v>0</v>
      </c>
      <c r="I1337" s="145"/>
    </row>
    <row r="1338" ht="22.5" customHeight="1">
      <c r="A1338" s="147"/>
      <c r="B1338" s="131"/>
      <c r="C1338" s="148"/>
      <c r="D1338" s="51"/>
      <c r="E1338" s="149"/>
      <c r="F1338" s="56"/>
      <c r="G1338" s="150"/>
      <c r="H1338" s="59">
        <f t="shared" si="63"/>
        <v>0</v>
      </c>
      <c r="I1338" s="145"/>
    </row>
    <row r="1339" ht="22.5" customHeight="1">
      <c r="A1339" s="147"/>
      <c r="B1339" s="131"/>
      <c r="C1339" s="148"/>
      <c r="D1339" s="51"/>
      <c r="E1339" s="149"/>
      <c r="F1339" s="56"/>
      <c r="G1339" s="150"/>
      <c r="H1339" s="59">
        <f t="shared" si="63"/>
        <v>0</v>
      </c>
      <c r="I1339" s="145"/>
    </row>
    <row r="1340" ht="22.5" customHeight="1">
      <c r="A1340" s="147"/>
      <c r="B1340" s="131"/>
      <c r="C1340" s="148"/>
      <c r="D1340" s="51"/>
      <c r="E1340" s="149"/>
      <c r="F1340" s="56"/>
      <c r="G1340" s="150"/>
      <c r="H1340" s="59">
        <f t="shared" si="63"/>
        <v>0</v>
      </c>
      <c r="I1340" s="145"/>
    </row>
    <row r="1341" ht="22.5" customHeight="1">
      <c r="A1341" s="147"/>
      <c r="B1341" s="131"/>
      <c r="C1341" s="148"/>
      <c r="D1341" s="51"/>
      <c r="E1341" s="149"/>
      <c r="F1341" s="56"/>
      <c r="G1341" s="150"/>
      <c r="H1341" s="59">
        <f t="shared" si="63"/>
        <v>0</v>
      </c>
      <c r="I1341" s="145"/>
    </row>
    <row r="1342" ht="22.5" customHeight="1">
      <c r="A1342" s="147"/>
      <c r="B1342" s="131"/>
      <c r="C1342" s="148"/>
      <c r="D1342" s="51"/>
      <c r="E1342" s="149"/>
      <c r="F1342" s="56"/>
      <c r="G1342" s="150"/>
      <c r="H1342" s="59">
        <f t="shared" si="63"/>
        <v>0</v>
      </c>
      <c r="I1342" s="145"/>
    </row>
    <row r="1343" ht="22.5" customHeight="1">
      <c r="A1343" s="147"/>
      <c r="B1343" s="131"/>
      <c r="C1343" s="148"/>
      <c r="D1343" s="51"/>
      <c r="E1343" s="149"/>
      <c r="F1343" s="56"/>
      <c r="G1343" s="150"/>
      <c r="H1343" s="59">
        <f t="shared" si="63"/>
        <v>0</v>
      </c>
      <c r="I1343" s="145"/>
    </row>
    <row r="1344" ht="22.5" customHeight="1">
      <c r="A1344" s="147"/>
      <c r="B1344" s="131"/>
      <c r="C1344" s="148"/>
      <c r="D1344" s="51"/>
      <c r="E1344" s="149"/>
      <c r="F1344" s="56"/>
      <c r="G1344" s="150"/>
      <c r="H1344" s="59">
        <f t="shared" si="63"/>
        <v>0</v>
      </c>
      <c r="I1344" s="145"/>
    </row>
    <row r="1345" ht="22.5" customHeight="1">
      <c r="A1345" s="147"/>
      <c r="B1345" s="131"/>
      <c r="C1345" s="148"/>
      <c r="D1345" s="51"/>
      <c r="E1345" s="149"/>
      <c r="F1345" s="56"/>
      <c r="G1345" s="150"/>
      <c r="H1345" s="59">
        <f t="shared" si="63"/>
        <v>0</v>
      </c>
      <c r="I1345" s="145"/>
    </row>
    <row r="1346" ht="22.5" customHeight="1">
      <c r="A1346" s="147"/>
      <c r="B1346" s="131"/>
      <c r="C1346" s="148"/>
      <c r="D1346" s="51"/>
      <c r="E1346" s="149"/>
      <c r="F1346" s="56"/>
      <c r="G1346" s="150"/>
      <c r="H1346" s="59">
        <f t="shared" si="63"/>
        <v>0</v>
      </c>
      <c r="I1346" s="145"/>
    </row>
    <row r="1347" ht="22.5" customHeight="1">
      <c r="A1347" s="147"/>
      <c r="B1347" s="131"/>
      <c r="C1347" s="148"/>
      <c r="D1347" s="51"/>
      <c r="E1347" s="149"/>
      <c r="F1347" s="56"/>
      <c r="G1347" s="150"/>
      <c r="H1347" s="59">
        <f t="shared" si="63"/>
        <v>0</v>
      </c>
      <c r="I1347" s="145"/>
    </row>
    <row r="1348" ht="22.5" customHeight="1">
      <c r="A1348" s="147"/>
      <c r="B1348" s="131"/>
      <c r="C1348" s="148"/>
      <c r="D1348" s="51"/>
      <c r="E1348" s="149"/>
      <c r="F1348" s="56"/>
      <c r="G1348" s="150"/>
      <c r="H1348" s="59">
        <f t="shared" si="63"/>
        <v>0</v>
      </c>
      <c r="I1348" s="145"/>
    </row>
    <row r="1349" ht="22.5" customHeight="1">
      <c r="A1349" s="147"/>
      <c r="B1349" s="131"/>
      <c r="C1349" s="148"/>
      <c r="D1349" s="51"/>
      <c r="E1349" s="149"/>
      <c r="F1349" s="56"/>
      <c r="G1349" s="150"/>
      <c r="H1349" s="59">
        <f t="shared" si="63"/>
        <v>0</v>
      </c>
      <c r="I1349" s="145"/>
    </row>
    <row r="1350" ht="22.5" customHeight="1">
      <c r="A1350" s="147"/>
      <c r="B1350" s="131"/>
      <c r="C1350" s="148"/>
      <c r="D1350" s="51"/>
      <c r="E1350" s="149"/>
      <c r="F1350" s="56"/>
      <c r="G1350" s="150"/>
      <c r="H1350" s="59">
        <f t="shared" si="63"/>
        <v>0</v>
      </c>
      <c r="I1350" s="145"/>
    </row>
    <row r="1351" ht="22.5" customHeight="1">
      <c r="A1351" s="147"/>
      <c r="B1351" s="131"/>
      <c r="C1351" s="148"/>
      <c r="D1351" s="51"/>
      <c r="E1351" s="149"/>
      <c r="F1351" s="56"/>
      <c r="G1351" s="150"/>
      <c r="H1351" s="59">
        <f t="shared" si="63"/>
        <v>0</v>
      </c>
      <c r="I1351" s="145"/>
    </row>
    <row r="1352" ht="22.5" customHeight="1">
      <c r="A1352" s="147"/>
      <c r="B1352" s="131"/>
      <c r="C1352" s="148"/>
      <c r="D1352" s="51"/>
      <c r="E1352" s="149"/>
      <c r="F1352" s="56"/>
      <c r="G1352" s="150"/>
      <c r="H1352" s="59">
        <f t="shared" si="63"/>
        <v>0</v>
      </c>
      <c r="I1352" s="145"/>
    </row>
    <row r="1353" ht="22.5" customHeight="1">
      <c r="A1353" s="147"/>
      <c r="B1353" s="131"/>
      <c r="C1353" s="148"/>
      <c r="D1353" s="51"/>
      <c r="E1353" s="149"/>
      <c r="F1353" s="56"/>
      <c r="G1353" s="150"/>
      <c r="H1353" s="59">
        <f t="shared" si="63"/>
        <v>0</v>
      </c>
      <c r="I1353" s="145"/>
    </row>
    <row r="1354" ht="22.5" customHeight="1">
      <c r="A1354" s="147"/>
      <c r="B1354" s="131"/>
      <c r="C1354" s="148"/>
      <c r="D1354" s="51"/>
      <c r="E1354" s="149"/>
      <c r="F1354" s="56"/>
      <c r="G1354" s="150"/>
      <c r="H1354" s="59">
        <f t="shared" si="63"/>
        <v>0</v>
      </c>
      <c r="I1354" s="145"/>
    </row>
    <row r="1355" ht="22.5" customHeight="1">
      <c r="A1355" s="147"/>
      <c r="B1355" s="131"/>
      <c r="C1355" s="148"/>
      <c r="D1355" s="51"/>
      <c r="E1355" s="149"/>
      <c r="F1355" s="56"/>
      <c r="G1355" s="150"/>
      <c r="H1355" s="59">
        <f t="shared" si="63"/>
        <v>0</v>
      </c>
      <c r="I1355" s="145"/>
    </row>
    <row r="1356" ht="22.5" customHeight="1">
      <c r="A1356" s="147"/>
      <c r="B1356" s="131"/>
      <c r="C1356" s="148"/>
      <c r="D1356" s="51"/>
      <c r="E1356" s="149"/>
      <c r="F1356" s="56"/>
      <c r="G1356" s="150"/>
      <c r="H1356" s="59">
        <f t="shared" si="63"/>
        <v>0</v>
      </c>
      <c r="I1356" s="145"/>
    </row>
    <row r="1357" ht="22.5" customHeight="1">
      <c r="A1357" s="147"/>
      <c r="B1357" s="131"/>
      <c r="C1357" s="148"/>
      <c r="D1357" s="51"/>
      <c r="E1357" s="149"/>
      <c r="F1357" s="56"/>
      <c r="G1357" s="150"/>
      <c r="H1357" s="59">
        <f t="shared" si="63"/>
        <v>0</v>
      </c>
      <c r="I1357" s="145"/>
    </row>
    <row r="1358" ht="22.5" customHeight="1">
      <c r="A1358" s="147"/>
      <c r="B1358" s="131"/>
      <c r="C1358" s="148"/>
      <c r="D1358" s="51"/>
      <c r="E1358" s="149"/>
      <c r="F1358" s="56"/>
      <c r="G1358" s="150"/>
      <c r="H1358" s="59">
        <f t="shared" si="63"/>
        <v>0</v>
      </c>
      <c r="I1358" s="145"/>
    </row>
    <row r="1359" ht="22.5" customHeight="1">
      <c r="A1359" s="147"/>
      <c r="B1359" s="131"/>
      <c r="C1359" s="148"/>
      <c r="D1359" s="51"/>
      <c r="E1359" s="149"/>
      <c r="F1359" s="56"/>
      <c r="G1359" s="150"/>
      <c r="H1359" s="59">
        <f t="shared" si="63"/>
        <v>0</v>
      </c>
      <c r="I1359" s="145"/>
    </row>
    <row r="1360" ht="22.5" customHeight="1">
      <c r="A1360" s="147"/>
      <c r="B1360" s="131"/>
      <c r="C1360" s="148"/>
      <c r="D1360" s="51"/>
      <c r="E1360" s="149"/>
      <c r="F1360" s="56"/>
      <c r="G1360" s="150"/>
      <c r="H1360" s="59">
        <f t="shared" si="63"/>
        <v>0</v>
      </c>
      <c r="I1360" s="145"/>
    </row>
    <row r="1361" ht="22.5" customHeight="1">
      <c r="A1361" s="147"/>
      <c r="B1361" s="131"/>
      <c r="C1361" s="148"/>
      <c r="D1361" s="51"/>
      <c r="E1361" s="149"/>
      <c r="F1361" s="56"/>
      <c r="G1361" s="150"/>
      <c r="H1361" s="59">
        <f t="shared" si="63"/>
        <v>0</v>
      </c>
      <c r="I1361" s="145"/>
    </row>
    <row r="1362" ht="22.5" customHeight="1">
      <c r="A1362" s="147"/>
      <c r="B1362" s="131"/>
      <c r="C1362" s="148"/>
      <c r="D1362" s="51"/>
      <c r="E1362" s="149"/>
      <c r="F1362" s="56"/>
      <c r="G1362" s="150"/>
      <c r="H1362" s="59">
        <f t="shared" si="63"/>
        <v>0</v>
      </c>
      <c r="I1362" s="145"/>
    </row>
    <row r="1363" ht="22.5" customHeight="1">
      <c r="A1363" s="147"/>
      <c r="B1363" s="131"/>
      <c r="C1363" s="148"/>
      <c r="D1363" s="51"/>
      <c r="E1363" s="149"/>
      <c r="F1363" s="56"/>
      <c r="G1363" s="150"/>
      <c r="H1363" s="59">
        <f t="shared" si="63"/>
        <v>0</v>
      </c>
      <c r="I1363" s="145"/>
    </row>
    <row r="1364" ht="22.5" customHeight="1">
      <c r="A1364" s="147"/>
      <c r="B1364" s="131"/>
      <c r="C1364" s="148"/>
      <c r="D1364" s="51"/>
      <c r="E1364" s="149"/>
      <c r="F1364" s="56"/>
      <c r="G1364" s="150"/>
      <c r="H1364" s="59">
        <f t="shared" si="63"/>
        <v>0</v>
      </c>
      <c r="I1364" s="145"/>
    </row>
    <row r="1365" ht="22.5" customHeight="1">
      <c r="A1365" s="147"/>
      <c r="B1365" s="131"/>
      <c r="C1365" s="148"/>
      <c r="D1365" s="51"/>
      <c r="E1365" s="149"/>
      <c r="F1365" s="56"/>
      <c r="G1365" s="150"/>
      <c r="H1365" s="59">
        <f t="shared" si="63"/>
        <v>0</v>
      </c>
      <c r="I1365" s="145"/>
    </row>
    <row r="1366" ht="22.5" customHeight="1">
      <c r="A1366" s="147"/>
      <c r="B1366" s="131"/>
      <c r="C1366" s="148"/>
      <c r="D1366" s="51"/>
      <c r="E1366" s="149"/>
      <c r="F1366" s="56"/>
      <c r="G1366" s="150"/>
      <c r="H1366" s="59">
        <f t="shared" si="63"/>
        <v>0</v>
      </c>
      <c r="I1366" s="145"/>
    </row>
    <row r="1367" ht="22.5" customHeight="1">
      <c r="A1367" s="147"/>
      <c r="B1367" s="131"/>
      <c r="C1367" s="148"/>
      <c r="D1367" s="51"/>
      <c r="E1367" s="149"/>
      <c r="F1367" s="56"/>
      <c r="G1367" s="150"/>
      <c r="H1367" s="59">
        <f t="shared" si="63"/>
        <v>0</v>
      </c>
      <c r="I1367" s="145"/>
    </row>
    <row r="1368" ht="22.5" customHeight="1">
      <c r="A1368" s="147"/>
      <c r="B1368" s="131"/>
      <c r="C1368" s="148"/>
      <c r="D1368" s="51"/>
      <c r="E1368" s="149"/>
      <c r="F1368" s="56"/>
      <c r="G1368" s="150"/>
      <c r="H1368" s="59">
        <f t="shared" si="63"/>
        <v>0</v>
      </c>
      <c r="I1368" s="145"/>
    </row>
    <row r="1369" ht="22.5" customHeight="1">
      <c r="A1369" s="147"/>
      <c r="B1369" s="131"/>
      <c r="C1369" s="148"/>
      <c r="D1369" s="51"/>
      <c r="E1369" s="149"/>
      <c r="F1369" s="56"/>
      <c r="G1369" s="150"/>
      <c r="H1369" s="59">
        <f t="shared" si="63"/>
        <v>0</v>
      </c>
      <c r="I1369" s="145"/>
    </row>
    <row r="1370" ht="22.5" customHeight="1">
      <c r="A1370" s="147"/>
      <c r="B1370" s="131"/>
      <c r="C1370" s="148"/>
      <c r="D1370" s="51"/>
      <c r="E1370" s="149"/>
      <c r="F1370" s="56"/>
      <c r="G1370" s="150"/>
      <c r="H1370" s="59">
        <f t="shared" si="63"/>
        <v>0</v>
      </c>
      <c r="I1370" s="145"/>
    </row>
    <row r="1371" ht="22.5" customHeight="1">
      <c r="A1371" s="147"/>
      <c r="B1371" s="131"/>
      <c r="C1371" s="148"/>
      <c r="D1371" s="51"/>
      <c r="E1371" s="149"/>
      <c r="F1371" s="56"/>
      <c r="G1371" s="150"/>
      <c r="H1371" s="59">
        <f t="shared" si="63"/>
        <v>0</v>
      </c>
      <c r="I1371" s="145"/>
    </row>
    <row r="1372" ht="22.5" customHeight="1">
      <c r="A1372" s="147"/>
      <c r="B1372" s="131"/>
      <c r="C1372" s="148"/>
      <c r="D1372" s="51"/>
      <c r="E1372" s="149"/>
      <c r="F1372" s="56"/>
      <c r="G1372" s="150"/>
      <c r="H1372" s="59">
        <f t="shared" si="63"/>
        <v>0</v>
      </c>
      <c r="I1372" s="145"/>
    </row>
    <row r="1373" ht="22.5" customHeight="1">
      <c r="A1373" s="147"/>
      <c r="B1373" s="131"/>
      <c r="C1373" s="148"/>
      <c r="D1373" s="51"/>
      <c r="E1373" s="149"/>
      <c r="F1373" s="56"/>
      <c r="G1373" s="150"/>
      <c r="H1373" s="59">
        <f t="shared" si="63"/>
        <v>0</v>
      </c>
      <c r="I1373" s="145"/>
    </row>
    <row r="1374" ht="22.5" customHeight="1">
      <c r="A1374" s="147"/>
      <c r="B1374" s="131"/>
      <c r="C1374" s="148"/>
      <c r="D1374" s="51"/>
      <c r="E1374" s="149"/>
      <c r="F1374" s="56"/>
      <c r="G1374" s="150"/>
      <c r="H1374" s="59">
        <f t="shared" si="63"/>
        <v>0</v>
      </c>
      <c r="I1374" s="145"/>
    </row>
    <row r="1375" ht="22.5" customHeight="1">
      <c r="A1375" s="147"/>
      <c r="B1375" s="131"/>
      <c r="C1375" s="148"/>
      <c r="D1375" s="51"/>
      <c r="E1375" s="149"/>
      <c r="F1375" s="56"/>
      <c r="G1375" s="150"/>
      <c r="H1375" s="59">
        <f t="shared" si="63"/>
        <v>0</v>
      </c>
      <c r="I1375" s="145"/>
    </row>
    <row r="1376" ht="22.5" customHeight="1">
      <c r="A1376" s="147"/>
      <c r="B1376" s="131"/>
      <c r="C1376" s="148"/>
      <c r="D1376" s="51"/>
      <c r="E1376" s="149"/>
      <c r="F1376" s="56"/>
      <c r="G1376" s="150"/>
      <c r="H1376" s="59">
        <f t="shared" si="63"/>
        <v>0</v>
      </c>
      <c r="I1376" s="145"/>
    </row>
    <row r="1377" ht="22.5" customHeight="1">
      <c r="A1377" s="147"/>
      <c r="B1377" s="131"/>
      <c r="C1377" s="148"/>
      <c r="D1377" s="51"/>
      <c r="E1377" s="149"/>
      <c r="F1377" s="56"/>
      <c r="G1377" s="150"/>
      <c r="H1377" s="59">
        <f t="shared" si="63"/>
        <v>0</v>
      </c>
      <c r="I1377" s="145"/>
    </row>
    <row r="1378" ht="22.5" customHeight="1">
      <c r="A1378" s="147"/>
      <c r="B1378" s="131"/>
      <c r="C1378" s="148"/>
      <c r="D1378" s="51"/>
      <c r="E1378" s="149"/>
      <c r="F1378" s="56"/>
      <c r="G1378" s="150"/>
      <c r="H1378" s="59">
        <f t="shared" si="63"/>
        <v>0</v>
      </c>
      <c r="I1378" s="145"/>
    </row>
    <row r="1379" ht="22.5" customHeight="1">
      <c r="A1379" s="147"/>
      <c r="B1379" s="131"/>
      <c r="C1379" s="148"/>
      <c r="D1379" s="51"/>
      <c r="E1379" s="149"/>
      <c r="F1379" s="56"/>
      <c r="G1379" s="150"/>
      <c r="H1379" s="59">
        <f t="shared" si="63"/>
        <v>0</v>
      </c>
      <c r="I1379" s="145"/>
    </row>
    <row r="1380" ht="22.5" customHeight="1">
      <c r="A1380" s="147"/>
      <c r="B1380" s="131"/>
      <c r="C1380" s="148"/>
      <c r="D1380" s="51"/>
      <c r="E1380" s="149"/>
      <c r="F1380" s="56"/>
      <c r="G1380" s="150"/>
      <c r="H1380" s="59">
        <f t="shared" si="63"/>
        <v>0</v>
      </c>
      <c r="I1380" s="145"/>
    </row>
    <row r="1381" ht="22.5" customHeight="1">
      <c r="A1381" s="147"/>
      <c r="B1381" s="131"/>
      <c r="C1381" s="148"/>
      <c r="D1381" s="51"/>
      <c r="E1381" s="149"/>
      <c r="F1381" s="56"/>
      <c r="G1381" s="150"/>
      <c r="H1381" s="59">
        <f t="shared" si="63"/>
        <v>0</v>
      </c>
      <c r="I1381" s="145"/>
    </row>
    <row r="1382" ht="22.5" customHeight="1">
      <c r="A1382" s="147"/>
      <c r="B1382" s="131"/>
      <c r="C1382" s="148"/>
      <c r="D1382" s="51"/>
      <c r="E1382" s="149"/>
      <c r="F1382" s="56"/>
      <c r="G1382" s="150"/>
      <c r="H1382" s="59">
        <f t="shared" si="63"/>
        <v>0</v>
      </c>
      <c r="I1382" s="145"/>
    </row>
    <row r="1383" ht="22.5" customHeight="1">
      <c r="A1383" s="147"/>
      <c r="B1383" s="131"/>
      <c r="C1383" s="148"/>
      <c r="D1383" s="51"/>
      <c r="E1383" s="149"/>
      <c r="F1383" s="56"/>
      <c r="G1383" s="150"/>
      <c r="H1383" s="59">
        <f t="shared" si="63"/>
        <v>0</v>
      </c>
      <c r="I1383" s="145"/>
    </row>
    <row r="1384" ht="22.5" customHeight="1">
      <c r="A1384" s="147"/>
      <c r="B1384" s="131"/>
      <c r="C1384" s="148"/>
      <c r="D1384" s="51"/>
      <c r="E1384" s="149"/>
      <c r="F1384" s="56"/>
      <c r="G1384" s="150"/>
      <c r="H1384" s="59">
        <f t="shared" si="63"/>
        <v>0</v>
      </c>
      <c r="I1384" s="145"/>
    </row>
    <row r="1385" ht="22.5" customHeight="1">
      <c r="A1385" s="147"/>
      <c r="B1385" s="131"/>
      <c r="C1385" s="148"/>
      <c r="D1385" s="51"/>
      <c r="E1385" s="149"/>
      <c r="F1385" s="56"/>
      <c r="G1385" s="150"/>
      <c r="H1385" s="59">
        <f t="shared" si="63"/>
        <v>0</v>
      </c>
      <c r="I1385" s="145"/>
    </row>
    <row r="1386" ht="22.5" customHeight="1">
      <c r="A1386" s="147"/>
      <c r="B1386" s="131"/>
      <c r="C1386" s="148"/>
      <c r="D1386" s="51"/>
      <c r="E1386" s="149"/>
      <c r="F1386" s="56"/>
      <c r="G1386" s="150"/>
      <c r="H1386" s="59">
        <f t="shared" si="63"/>
        <v>0</v>
      </c>
      <c r="I1386" s="145"/>
    </row>
    <row r="1387" ht="22.5" customHeight="1">
      <c r="A1387" s="147"/>
      <c r="B1387" s="131"/>
      <c r="C1387" s="148"/>
      <c r="D1387" s="51"/>
      <c r="E1387" s="149"/>
      <c r="F1387" s="56"/>
      <c r="G1387" s="150"/>
      <c r="H1387" s="59">
        <f t="shared" si="63"/>
        <v>0</v>
      </c>
      <c r="I1387" s="145"/>
    </row>
    <row r="1388" ht="22.5" customHeight="1">
      <c r="A1388" s="147"/>
      <c r="B1388" s="131"/>
      <c r="C1388" s="148"/>
      <c r="D1388" s="51"/>
      <c r="E1388" s="149"/>
      <c r="F1388" s="56"/>
      <c r="G1388" s="150"/>
      <c r="H1388" s="59">
        <f t="shared" si="63"/>
        <v>0</v>
      </c>
      <c r="I1388" s="145"/>
    </row>
    <row r="1389" ht="22.5" customHeight="1">
      <c r="A1389" s="147"/>
      <c r="B1389" s="131"/>
      <c r="C1389" s="148"/>
      <c r="D1389" s="51"/>
      <c r="E1389" s="149"/>
      <c r="F1389" s="56"/>
      <c r="G1389" s="150"/>
      <c r="H1389" s="59">
        <f t="shared" si="63"/>
        <v>0</v>
      </c>
      <c r="I1389" s="145"/>
    </row>
    <row r="1390" ht="22.5" customHeight="1">
      <c r="A1390" s="147"/>
      <c r="B1390" s="131"/>
      <c r="C1390" s="148"/>
      <c r="D1390" s="51"/>
      <c r="E1390" s="149"/>
      <c r="F1390" s="56"/>
      <c r="G1390" s="150"/>
      <c r="H1390" s="59">
        <f t="shared" si="63"/>
        <v>0</v>
      </c>
      <c r="I1390" s="145"/>
    </row>
    <row r="1391" ht="22.5" customHeight="1">
      <c r="A1391" s="147"/>
      <c r="B1391" s="131"/>
      <c r="C1391" s="148"/>
      <c r="D1391" s="51"/>
      <c r="E1391" s="149"/>
      <c r="F1391" s="56"/>
      <c r="G1391" s="150"/>
      <c r="H1391" s="59">
        <f t="shared" si="63"/>
        <v>0</v>
      </c>
      <c r="I1391" s="145"/>
    </row>
    <row r="1392" ht="22.5" customHeight="1">
      <c r="A1392" s="147"/>
      <c r="B1392" s="131"/>
      <c r="C1392" s="148"/>
      <c r="D1392" s="51"/>
      <c r="E1392" s="149"/>
      <c r="F1392" s="56"/>
      <c r="G1392" s="150"/>
      <c r="H1392" s="59">
        <f t="shared" si="63"/>
        <v>0</v>
      </c>
      <c r="I1392" s="145"/>
    </row>
    <row r="1393" ht="22.5" customHeight="1">
      <c r="A1393" s="147"/>
      <c r="B1393" s="131"/>
      <c r="C1393" s="148"/>
      <c r="D1393" s="51"/>
      <c r="E1393" s="149"/>
      <c r="F1393" s="56"/>
      <c r="G1393" s="150"/>
      <c r="H1393" s="59">
        <f t="shared" si="63"/>
        <v>0</v>
      </c>
      <c r="I1393" s="145"/>
    </row>
    <row r="1394" ht="22.5" customHeight="1">
      <c r="A1394" s="147"/>
      <c r="B1394" s="131"/>
      <c r="C1394" s="148"/>
      <c r="D1394" s="51"/>
      <c r="E1394" s="149"/>
      <c r="F1394" s="56"/>
      <c r="G1394" s="150"/>
      <c r="H1394" s="59">
        <f t="shared" si="63"/>
        <v>0</v>
      </c>
      <c r="I1394" s="145"/>
    </row>
    <row r="1395" ht="22.5" customHeight="1">
      <c r="A1395" s="147"/>
      <c r="B1395" s="131"/>
      <c r="C1395" s="148"/>
      <c r="D1395" s="51"/>
      <c r="E1395" s="149"/>
      <c r="F1395" s="56"/>
      <c r="G1395" s="150"/>
      <c r="H1395" s="59">
        <f t="shared" si="63"/>
        <v>0</v>
      </c>
      <c r="I1395" s="145"/>
    </row>
    <row r="1396" ht="22.5" customHeight="1">
      <c r="A1396" s="147"/>
      <c r="B1396" s="131"/>
      <c r="C1396" s="148"/>
      <c r="D1396" s="51"/>
      <c r="E1396" s="149"/>
      <c r="F1396" s="56"/>
      <c r="G1396" s="150"/>
      <c r="H1396" s="59">
        <f t="shared" si="63"/>
        <v>0</v>
      </c>
      <c r="I1396" s="145"/>
    </row>
    <row r="1397" ht="22.5" customHeight="1">
      <c r="A1397" s="147"/>
      <c r="B1397" s="131"/>
      <c r="C1397" s="148"/>
      <c r="D1397" s="51"/>
      <c r="E1397" s="149"/>
      <c r="F1397" s="56"/>
      <c r="G1397" s="150"/>
      <c r="H1397" s="59">
        <f t="shared" si="63"/>
        <v>0</v>
      </c>
      <c r="I1397" s="145"/>
    </row>
    <row r="1398" ht="22.5" customHeight="1">
      <c r="A1398" s="147"/>
      <c r="B1398" s="131"/>
      <c r="C1398" s="148"/>
      <c r="D1398" s="51"/>
      <c r="E1398" s="149"/>
      <c r="F1398" s="56"/>
      <c r="G1398" s="150"/>
      <c r="H1398" s="59">
        <f t="shared" si="63"/>
        <v>0</v>
      </c>
      <c r="I1398" s="145"/>
    </row>
    <row r="1399" ht="22.5" customHeight="1">
      <c r="A1399" s="147"/>
      <c r="B1399" s="131"/>
      <c r="C1399" s="148"/>
      <c r="D1399" s="51"/>
      <c r="E1399" s="149"/>
      <c r="F1399" s="56"/>
      <c r="G1399" s="150"/>
      <c r="H1399" s="59">
        <f t="shared" si="63"/>
        <v>0</v>
      </c>
      <c r="I1399" s="145"/>
    </row>
    <row r="1400" ht="22.5" customHeight="1">
      <c r="A1400" s="147"/>
      <c r="B1400" s="131"/>
      <c r="C1400" s="148"/>
      <c r="D1400" s="51"/>
      <c r="E1400" s="149"/>
      <c r="F1400" s="56"/>
      <c r="G1400" s="150"/>
      <c r="H1400" s="59">
        <f t="shared" si="63"/>
        <v>0</v>
      </c>
      <c r="I1400" s="145"/>
    </row>
    <row r="1401" ht="22.5" customHeight="1">
      <c r="A1401" s="147"/>
      <c r="B1401" s="131"/>
      <c r="C1401" s="148"/>
      <c r="D1401" s="51"/>
      <c r="E1401" s="149"/>
      <c r="F1401" s="56"/>
      <c r="G1401" s="150"/>
      <c r="H1401" s="59">
        <f t="shared" si="63"/>
        <v>0</v>
      </c>
      <c r="I1401" s="145"/>
    </row>
    <row r="1402" ht="22.5" customHeight="1">
      <c r="A1402" s="147"/>
      <c r="B1402" s="131"/>
      <c r="C1402" s="148"/>
      <c r="D1402" s="51"/>
      <c r="E1402" s="149"/>
      <c r="F1402" s="56"/>
      <c r="G1402" s="150"/>
      <c r="H1402" s="59">
        <f t="shared" si="63"/>
        <v>0</v>
      </c>
      <c r="I1402" s="145"/>
    </row>
    <row r="1403" ht="22.5" customHeight="1">
      <c r="A1403" s="147"/>
      <c r="B1403" s="131"/>
      <c r="C1403" s="148"/>
      <c r="D1403" s="51"/>
      <c r="E1403" s="149"/>
      <c r="F1403" s="56"/>
      <c r="G1403" s="150"/>
      <c r="H1403" s="59">
        <f t="shared" si="63"/>
        <v>0</v>
      </c>
      <c r="I1403" s="145"/>
    </row>
    <row r="1404" ht="22.5" customHeight="1">
      <c r="A1404" s="147"/>
      <c r="B1404" s="131"/>
      <c r="C1404" s="148"/>
      <c r="D1404" s="51"/>
      <c r="E1404" s="149"/>
      <c r="F1404" s="56"/>
      <c r="G1404" s="150"/>
      <c r="H1404" s="59">
        <f t="shared" si="63"/>
        <v>0</v>
      </c>
      <c r="I1404" s="145"/>
    </row>
    <row r="1405" ht="22.5" customHeight="1">
      <c r="A1405" s="147"/>
      <c r="B1405" s="131"/>
      <c r="C1405" s="148"/>
      <c r="D1405" s="51"/>
      <c r="E1405" s="149"/>
      <c r="F1405" s="56"/>
      <c r="G1405" s="150"/>
      <c r="H1405" s="59">
        <f t="shared" si="63"/>
        <v>0</v>
      </c>
      <c r="I1405" s="145"/>
    </row>
    <row r="1406" ht="22.5" customHeight="1">
      <c r="A1406" s="147"/>
      <c r="B1406" s="131"/>
      <c r="C1406" s="148"/>
      <c r="D1406" s="51"/>
      <c r="E1406" s="149"/>
      <c r="F1406" s="56"/>
      <c r="G1406" s="150"/>
      <c r="H1406" s="59">
        <f t="shared" si="63"/>
        <v>0</v>
      </c>
      <c r="I1406" s="145"/>
    </row>
    <row r="1407" ht="22.5" customHeight="1">
      <c r="A1407" s="147"/>
      <c r="B1407" s="131"/>
      <c r="C1407" s="148"/>
      <c r="D1407" s="51"/>
      <c r="E1407" s="149"/>
      <c r="F1407" s="56"/>
      <c r="G1407" s="150"/>
      <c r="H1407" s="59">
        <f t="shared" si="63"/>
        <v>0</v>
      </c>
      <c r="I1407" s="145"/>
    </row>
    <row r="1408" ht="22.5" customHeight="1">
      <c r="A1408" s="147"/>
      <c r="B1408" s="131"/>
      <c r="C1408" s="148"/>
      <c r="D1408" s="51"/>
      <c r="E1408" s="149"/>
      <c r="F1408" s="56"/>
      <c r="G1408" s="150"/>
      <c r="H1408" s="59">
        <f t="shared" si="63"/>
        <v>0</v>
      </c>
      <c r="I1408" s="145"/>
    </row>
    <row r="1409" ht="22.5" customHeight="1">
      <c r="A1409" s="147"/>
      <c r="B1409" s="131"/>
      <c r="C1409" s="148"/>
      <c r="D1409" s="51"/>
      <c r="E1409" s="149"/>
      <c r="F1409" s="56"/>
      <c r="G1409" s="150"/>
      <c r="H1409" s="59">
        <f t="shared" si="63"/>
        <v>0</v>
      </c>
      <c r="I1409" s="145"/>
    </row>
    <row r="1410" ht="22.5" customHeight="1">
      <c r="A1410" s="147"/>
      <c r="B1410" s="131"/>
      <c r="C1410" s="148"/>
      <c r="D1410" s="51"/>
      <c r="E1410" s="149"/>
      <c r="F1410" s="56"/>
      <c r="G1410" s="150"/>
      <c r="H1410" s="59">
        <f t="shared" si="63"/>
        <v>0</v>
      </c>
      <c r="I1410" s="145"/>
    </row>
    <row r="1411" ht="22.5" customHeight="1">
      <c r="A1411" s="147"/>
      <c r="B1411" s="131"/>
      <c r="C1411" s="148"/>
      <c r="D1411" s="51"/>
      <c r="E1411" s="149"/>
      <c r="F1411" s="56"/>
      <c r="G1411" s="150"/>
      <c r="H1411" s="59">
        <f t="shared" si="63"/>
        <v>0</v>
      </c>
      <c r="I1411" s="145"/>
    </row>
    <row r="1412" ht="22.5" customHeight="1">
      <c r="A1412" s="147"/>
      <c r="B1412" s="131"/>
      <c r="C1412" s="148"/>
      <c r="D1412" s="51"/>
      <c r="E1412" s="149"/>
      <c r="F1412" s="56"/>
      <c r="G1412" s="150"/>
      <c r="H1412" s="59">
        <f t="shared" si="63"/>
        <v>0</v>
      </c>
      <c r="I1412" s="145"/>
    </row>
    <row r="1413" ht="22.5" customHeight="1">
      <c r="A1413" s="147"/>
      <c r="B1413" s="131"/>
      <c r="C1413" s="148"/>
      <c r="D1413" s="51"/>
      <c r="E1413" s="149"/>
      <c r="F1413" s="56"/>
      <c r="G1413" s="150"/>
      <c r="H1413" s="59">
        <f t="shared" si="63"/>
        <v>0</v>
      </c>
      <c r="I1413" s="145"/>
    </row>
    <row r="1414" ht="22.5" customHeight="1">
      <c r="A1414" s="147"/>
      <c r="B1414" s="131"/>
      <c r="C1414" s="148"/>
      <c r="D1414" s="51"/>
      <c r="E1414" s="149"/>
      <c r="F1414" s="56"/>
      <c r="G1414" s="150"/>
      <c r="H1414" s="59">
        <f t="shared" si="63"/>
        <v>0</v>
      </c>
      <c r="I1414" s="145"/>
    </row>
    <row r="1415" ht="22.5" customHeight="1">
      <c r="A1415" s="147"/>
      <c r="B1415" s="131"/>
      <c r="C1415" s="148"/>
      <c r="D1415" s="51"/>
      <c r="E1415" s="149"/>
      <c r="F1415" s="56"/>
      <c r="G1415" s="150"/>
      <c r="H1415" s="59">
        <f t="shared" si="63"/>
        <v>0</v>
      </c>
      <c r="I1415" s="145"/>
    </row>
    <row r="1416" ht="22.5" customHeight="1">
      <c r="A1416" s="147"/>
      <c r="B1416" s="131"/>
      <c r="C1416" s="148"/>
      <c r="D1416" s="51"/>
      <c r="E1416" s="149"/>
      <c r="F1416" s="56"/>
      <c r="G1416" s="150"/>
      <c r="H1416" s="59">
        <f t="shared" si="63"/>
        <v>0</v>
      </c>
      <c r="I1416" s="145"/>
    </row>
    <row r="1417" ht="22.5" customHeight="1">
      <c r="A1417" s="147"/>
      <c r="B1417" s="131"/>
      <c r="C1417" s="148"/>
      <c r="D1417" s="51"/>
      <c r="E1417" s="149"/>
      <c r="F1417" s="56"/>
      <c r="G1417" s="150"/>
      <c r="H1417" s="59">
        <f t="shared" si="63"/>
        <v>0</v>
      </c>
      <c r="I1417" s="145"/>
    </row>
    <row r="1418" ht="22.5" customHeight="1">
      <c r="A1418" s="147"/>
      <c r="B1418" s="131"/>
      <c r="C1418" s="148"/>
      <c r="D1418" s="51"/>
      <c r="E1418" s="149"/>
      <c r="F1418" s="56"/>
      <c r="G1418" s="150"/>
      <c r="H1418" s="59">
        <f t="shared" si="63"/>
        <v>0</v>
      </c>
      <c r="I1418" s="145"/>
    </row>
    <row r="1419" ht="22.5" customHeight="1">
      <c r="A1419" s="147"/>
      <c r="B1419" s="131"/>
      <c r="C1419" s="148"/>
      <c r="D1419" s="51"/>
      <c r="E1419" s="149"/>
      <c r="F1419" s="56"/>
      <c r="G1419" s="150"/>
      <c r="H1419" s="59">
        <f t="shared" si="63"/>
        <v>0</v>
      </c>
      <c r="I1419" s="145"/>
    </row>
    <row r="1420" ht="22.5" customHeight="1">
      <c r="A1420" s="147"/>
      <c r="B1420" s="131"/>
      <c r="C1420" s="148"/>
      <c r="D1420" s="51"/>
      <c r="E1420" s="149"/>
      <c r="F1420" s="56"/>
      <c r="G1420" s="150"/>
      <c r="H1420" s="59">
        <f t="shared" si="63"/>
        <v>0</v>
      </c>
      <c r="I1420" s="145"/>
    </row>
    <row r="1421" ht="22.5" customHeight="1">
      <c r="A1421" s="147"/>
      <c r="B1421" s="131"/>
      <c r="C1421" s="148"/>
      <c r="D1421" s="51"/>
      <c r="E1421" s="149"/>
      <c r="F1421" s="56"/>
      <c r="G1421" s="150"/>
      <c r="H1421" s="59">
        <f t="shared" si="63"/>
        <v>0</v>
      </c>
      <c r="I1421" s="145"/>
    </row>
    <row r="1422" ht="22.5" customHeight="1">
      <c r="A1422" s="147"/>
      <c r="B1422" s="131"/>
      <c r="C1422" s="148"/>
      <c r="D1422" s="51"/>
      <c r="E1422" s="149"/>
      <c r="F1422" s="56"/>
      <c r="G1422" s="150"/>
      <c r="H1422" s="59">
        <f t="shared" si="63"/>
        <v>0</v>
      </c>
      <c r="I1422" s="145"/>
    </row>
    <row r="1423" ht="22.5" customHeight="1">
      <c r="A1423" s="147"/>
      <c r="B1423" s="131"/>
      <c r="C1423" s="148"/>
      <c r="D1423" s="51"/>
      <c r="E1423" s="149"/>
      <c r="F1423" s="56"/>
      <c r="G1423" s="150"/>
      <c r="H1423" s="59">
        <f t="shared" si="63"/>
        <v>0</v>
      </c>
      <c r="I1423" s="145"/>
    </row>
    <row r="1424" ht="22.5" customHeight="1">
      <c r="A1424" s="147"/>
      <c r="B1424" s="131"/>
      <c r="C1424" s="148"/>
      <c r="D1424" s="51"/>
      <c r="E1424" s="149"/>
      <c r="F1424" s="56"/>
      <c r="G1424" s="150"/>
      <c r="H1424" s="59">
        <f t="shared" si="63"/>
        <v>0</v>
      </c>
      <c r="I1424" s="145"/>
    </row>
    <row r="1425" ht="22.5" customHeight="1">
      <c r="A1425" s="147"/>
      <c r="B1425" s="131"/>
      <c r="C1425" s="148"/>
      <c r="D1425" s="51"/>
      <c r="E1425" s="149"/>
      <c r="F1425" s="56"/>
      <c r="G1425" s="150"/>
      <c r="H1425" s="59">
        <f t="shared" si="63"/>
        <v>0</v>
      </c>
      <c r="I1425" s="145"/>
    </row>
    <row r="1426" ht="22.5" customHeight="1">
      <c r="A1426" s="147"/>
      <c r="B1426" s="131"/>
      <c r="C1426" s="148"/>
      <c r="D1426" s="51"/>
      <c r="E1426" s="149"/>
      <c r="F1426" s="56"/>
      <c r="G1426" s="150"/>
      <c r="H1426" s="59">
        <f t="shared" si="63"/>
        <v>0</v>
      </c>
      <c r="I1426" s="145"/>
    </row>
    <row r="1427" ht="22.5" customHeight="1">
      <c r="A1427" s="147"/>
      <c r="B1427" s="131"/>
      <c r="C1427" s="148"/>
      <c r="D1427" s="51"/>
      <c r="E1427" s="149"/>
      <c r="F1427" s="56"/>
      <c r="G1427" s="150"/>
      <c r="H1427" s="59">
        <f t="shared" si="63"/>
        <v>0</v>
      </c>
      <c r="I1427" s="145"/>
    </row>
    <row r="1428" ht="22.5" customHeight="1">
      <c r="A1428" s="147"/>
      <c r="B1428" s="131"/>
      <c r="C1428" s="148"/>
      <c r="D1428" s="51"/>
      <c r="E1428" s="149"/>
      <c r="F1428" s="56"/>
      <c r="G1428" s="150"/>
      <c r="H1428" s="59">
        <f t="shared" si="63"/>
        <v>0</v>
      </c>
      <c r="I1428" s="145"/>
    </row>
    <row r="1429" ht="22.5" customHeight="1">
      <c r="A1429" s="147"/>
      <c r="B1429" s="131"/>
      <c r="C1429" s="148"/>
      <c r="D1429" s="51"/>
      <c r="E1429" s="149"/>
      <c r="F1429" s="56"/>
      <c r="G1429" s="150"/>
      <c r="H1429" s="59">
        <f t="shared" si="63"/>
        <v>0</v>
      </c>
      <c r="I1429" s="145"/>
    </row>
    <row r="1430" ht="22.5" customHeight="1">
      <c r="A1430" s="147"/>
      <c r="B1430" s="131"/>
      <c r="C1430" s="148"/>
      <c r="D1430" s="51"/>
      <c r="E1430" s="149"/>
      <c r="F1430" s="56"/>
      <c r="G1430" s="150"/>
      <c r="H1430" s="59">
        <f t="shared" si="63"/>
        <v>0</v>
      </c>
      <c r="I1430" s="145"/>
    </row>
    <row r="1431" ht="22.5" customHeight="1">
      <c r="A1431" s="147"/>
      <c r="B1431" s="131"/>
      <c r="C1431" s="148"/>
      <c r="D1431" s="51"/>
      <c r="E1431" s="149"/>
      <c r="F1431" s="56"/>
      <c r="G1431" s="150"/>
      <c r="H1431" s="59">
        <f t="shared" si="63"/>
        <v>0</v>
      </c>
      <c r="I1431" s="145"/>
    </row>
    <row r="1432" ht="22.5" customHeight="1">
      <c r="A1432" s="147"/>
      <c r="B1432" s="131"/>
      <c r="C1432" s="148"/>
      <c r="D1432" s="51"/>
      <c r="E1432" s="149"/>
      <c r="F1432" s="56"/>
      <c r="G1432" s="150"/>
      <c r="H1432" s="59">
        <f t="shared" si="63"/>
        <v>0</v>
      </c>
      <c r="I1432" s="145"/>
    </row>
    <row r="1433" ht="22.5" customHeight="1">
      <c r="A1433" s="147"/>
      <c r="B1433" s="131"/>
      <c r="C1433" s="148"/>
      <c r="D1433" s="51"/>
      <c r="E1433" s="149"/>
      <c r="F1433" s="56"/>
      <c r="G1433" s="150"/>
      <c r="H1433" s="59">
        <f t="shared" si="63"/>
        <v>0</v>
      </c>
      <c r="I1433" s="145"/>
    </row>
    <row r="1434" ht="22.5" customHeight="1">
      <c r="A1434" s="147"/>
      <c r="B1434" s="131"/>
      <c r="C1434" s="148"/>
      <c r="D1434" s="51"/>
      <c r="E1434" s="149"/>
      <c r="F1434" s="56"/>
      <c r="G1434" s="150"/>
      <c r="H1434" s="59">
        <f t="shared" si="63"/>
        <v>0</v>
      </c>
      <c r="I1434" s="145"/>
    </row>
    <row r="1435" ht="22.5" customHeight="1">
      <c r="A1435" s="147"/>
      <c r="B1435" s="131"/>
      <c r="C1435" s="148"/>
      <c r="D1435" s="51"/>
      <c r="E1435" s="149"/>
      <c r="F1435" s="56"/>
      <c r="G1435" s="150"/>
      <c r="H1435" s="59">
        <f t="shared" si="63"/>
        <v>0</v>
      </c>
      <c r="I1435" s="145"/>
    </row>
    <row r="1436" ht="22.5" customHeight="1">
      <c r="A1436" s="147"/>
      <c r="B1436" s="131"/>
      <c r="C1436" s="148"/>
      <c r="D1436" s="51"/>
      <c r="E1436" s="149"/>
      <c r="F1436" s="56"/>
      <c r="G1436" s="150"/>
      <c r="H1436" s="59">
        <f t="shared" si="63"/>
        <v>0</v>
      </c>
      <c r="I1436" s="145"/>
    </row>
    <row r="1437" ht="22.5" customHeight="1">
      <c r="A1437" s="147"/>
      <c r="B1437" s="131"/>
      <c r="C1437" s="148"/>
      <c r="D1437" s="51"/>
      <c r="E1437" s="149"/>
      <c r="F1437" s="56"/>
      <c r="G1437" s="150"/>
      <c r="H1437" s="59">
        <f t="shared" si="63"/>
        <v>0</v>
      </c>
      <c r="I1437" s="145"/>
    </row>
    <row r="1438" ht="22.5" customHeight="1">
      <c r="A1438" s="147"/>
      <c r="B1438" s="131"/>
      <c r="C1438" s="148"/>
      <c r="D1438" s="51"/>
      <c r="E1438" s="149"/>
      <c r="F1438" s="56"/>
      <c r="G1438" s="150"/>
      <c r="H1438" s="59">
        <f t="shared" si="63"/>
        <v>0</v>
      </c>
      <c r="I1438" s="145"/>
    </row>
    <row r="1439" ht="22.5" customHeight="1">
      <c r="A1439" s="147"/>
      <c r="B1439" s="131"/>
      <c r="C1439" s="148"/>
      <c r="D1439" s="51"/>
      <c r="E1439" s="149"/>
      <c r="F1439" s="56"/>
      <c r="G1439" s="150"/>
      <c r="H1439" s="59">
        <f t="shared" si="63"/>
        <v>0</v>
      </c>
      <c r="I1439" s="145"/>
    </row>
    <row r="1440" ht="22.5" customHeight="1">
      <c r="A1440" s="147"/>
      <c r="B1440" s="131"/>
      <c r="C1440" s="148"/>
      <c r="D1440" s="51"/>
      <c r="E1440" s="149"/>
      <c r="F1440" s="56"/>
      <c r="G1440" s="150"/>
      <c r="H1440" s="59">
        <f t="shared" si="63"/>
        <v>0</v>
      </c>
      <c r="I1440" s="145"/>
    </row>
    <row r="1441" ht="22.5" customHeight="1">
      <c r="A1441" s="147"/>
      <c r="B1441" s="131"/>
      <c r="C1441" s="148"/>
      <c r="D1441" s="51"/>
      <c r="E1441" s="149"/>
      <c r="F1441" s="56"/>
      <c r="G1441" s="150"/>
      <c r="H1441" s="59">
        <f t="shared" si="63"/>
        <v>0</v>
      </c>
      <c r="I1441" s="145"/>
    </row>
    <row r="1442" ht="22.5" customHeight="1">
      <c r="A1442" s="147"/>
      <c r="B1442" s="131"/>
      <c r="C1442" s="148"/>
      <c r="D1442" s="51"/>
      <c r="E1442" s="149"/>
      <c r="F1442" s="56"/>
      <c r="G1442" s="150"/>
      <c r="H1442" s="59">
        <f t="shared" si="63"/>
        <v>0</v>
      </c>
      <c r="I1442" s="145"/>
    </row>
    <row r="1443" ht="22.5" customHeight="1">
      <c r="A1443" s="147"/>
      <c r="B1443" s="131"/>
      <c r="C1443" s="148"/>
      <c r="D1443" s="51"/>
      <c r="E1443" s="149"/>
      <c r="F1443" s="56"/>
      <c r="G1443" s="150"/>
      <c r="H1443" s="59">
        <f t="shared" si="63"/>
        <v>0</v>
      </c>
      <c r="I1443" s="145"/>
    </row>
    <row r="1444" ht="22.5" customHeight="1">
      <c r="A1444" s="147"/>
      <c r="B1444" s="131"/>
      <c r="C1444" s="148"/>
      <c r="D1444" s="51"/>
      <c r="E1444" s="149"/>
      <c r="F1444" s="56"/>
      <c r="G1444" s="150"/>
      <c r="H1444" s="59">
        <f t="shared" si="63"/>
        <v>0</v>
      </c>
      <c r="I1444" s="145"/>
    </row>
    <row r="1445" ht="22.5" customHeight="1">
      <c r="A1445" s="147"/>
      <c r="B1445" s="131"/>
      <c r="C1445" s="148"/>
      <c r="D1445" s="51"/>
      <c r="E1445" s="149"/>
      <c r="F1445" s="56"/>
      <c r="G1445" s="150"/>
      <c r="H1445" s="59">
        <f t="shared" si="63"/>
        <v>0</v>
      </c>
      <c r="I1445" s="145"/>
    </row>
    <row r="1446" ht="22.5" customHeight="1">
      <c r="A1446" s="147"/>
      <c r="B1446" s="131"/>
      <c r="C1446" s="148"/>
      <c r="D1446" s="51"/>
      <c r="E1446" s="149"/>
      <c r="F1446" s="56"/>
      <c r="G1446" s="150"/>
      <c r="H1446" s="59">
        <f t="shared" si="63"/>
        <v>0</v>
      </c>
      <c r="I1446" s="145"/>
    </row>
    <row r="1447" ht="22.5" customHeight="1">
      <c r="A1447" s="147"/>
      <c r="B1447" s="131"/>
      <c r="C1447" s="148"/>
      <c r="D1447" s="51"/>
      <c r="E1447" s="149"/>
      <c r="F1447" s="56"/>
      <c r="G1447" s="150"/>
      <c r="H1447" s="59">
        <f t="shared" si="63"/>
        <v>0</v>
      </c>
      <c r="I1447" s="145"/>
    </row>
    <row r="1448" ht="22.5" customHeight="1">
      <c r="A1448" s="147"/>
      <c r="B1448" s="131"/>
      <c r="C1448" s="148"/>
      <c r="D1448" s="51"/>
      <c r="E1448" s="149"/>
      <c r="F1448" s="56"/>
      <c r="G1448" s="150"/>
      <c r="H1448" s="59">
        <f t="shared" si="63"/>
        <v>0</v>
      </c>
      <c r="I1448" s="145"/>
    </row>
    <row r="1449" ht="22.5" customHeight="1">
      <c r="A1449" s="147"/>
      <c r="B1449" s="131"/>
      <c r="C1449" s="148"/>
      <c r="D1449" s="51"/>
      <c r="E1449" s="149"/>
      <c r="F1449" s="56"/>
      <c r="G1449" s="150"/>
      <c r="H1449" s="59">
        <f t="shared" si="63"/>
        <v>0</v>
      </c>
      <c r="I1449" s="145"/>
    </row>
    <row r="1450" ht="22.5" customHeight="1">
      <c r="A1450" s="147"/>
      <c r="B1450" s="131"/>
      <c r="C1450" s="148"/>
      <c r="D1450" s="51"/>
      <c r="E1450" s="149"/>
      <c r="F1450" s="56"/>
      <c r="G1450" s="150"/>
      <c r="H1450" s="59">
        <f t="shared" si="63"/>
        <v>0</v>
      </c>
      <c r="I1450" s="145"/>
    </row>
    <row r="1451" ht="22.5" customHeight="1">
      <c r="A1451" s="147"/>
      <c r="B1451" s="131"/>
      <c r="C1451" s="148"/>
      <c r="D1451" s="51"/>
      <c r="E1451" s="149"/>
      <c r="F1451" s="56"/>
      <c r="G1451" s="150"/>
      <c r="H1451" s="59">
        <f t="shared" si="63"/>
        <v>0</v>
      </c>
      <c r="I1451" s="145"/>
    </row>
    <row r="1452" ht="22.5" customHeight="1">
      <c r="A1452" s="147"/>
      <c r="B1452" s="131"/>
      <c r="C1452" s="148"/>
      <c r="D1452" s="51"/>
      <c r="E1452" s="149"/>
      <c r="F1452" s="56"/>
      <c r="G1452" s="150"/>
      <c r="H1452" s="59">
        <f t="shared" si="63"/>
        <v>0</v>
      </c>
      <c r="I1452" s="145"/>
    </row>
    <row r="1453" ht="22.5" customHeight="1">
      <c r="A1453" s="147"/>
      <c r="B1453" s="131"/>
      <c r="C1453" s="148"/>
      <c r="D1453" s="51"/>
      <c r="E1453" s="149"/>
      <c r="F1453" s="56"/>
      <c r="G1453" s="150"/>
      <c r="H1453" s="59">
        <f t="shared" si="63"/>
        <v>0</v>
      </c>
      <c r="I1453" s="145"/>
    </row>
    <row r="1454" ht="22.5" customHeight="1">
      <c r="A1454" s="147"/>
      <c r="B1454" s="131"/>
      <c r="C1454" s="148"/>
      <c r="D1454" s="51"/>
      <c r="E1454" s="149"/>
      <c r="F1454" s="56"/>
      <c r="G1454" s="150"/>
      <c r="H1454" s="59">
        <f t="shared" si="63"/>
        <v>0</v>
      </c>
      <c r="I1454" s="145"/>
    </row>
    <row r="1455" ht="22.5" customHeight="1">
      <c r="A1455" s="147"/>
      <c r="B1455" s="131"/>
      <c r="C1455" s="148"/>
      <c r="D1455" s="51"/>
      <c r="E1455" s="149"/>
      <c r="F1455" s="56"/>
      <c r="G1455" s="150"/>
      <c r="H1455" s="59">
        <f t="shared" si="63"/>
        <v>0</v>
      </c>
      <c r="I1455" s="145"/>
    </row>
    <row r="1456" ht="22.5" customHeight="1">
      <c r="A1456" s="147"/>
      <c r="B1456" s="131"/>
      <c r="C1456" s="148"/>
      <c r="D1456" s="51"/>
      <c r="E1456" s="149"/>
      <c r="F1456" s="56"/>
      <c r="G1456" s="150"/>
      <c r="H1456" s="59">
        <f t="shared" si="63"/>
        <v>0</v>
      </c>
      <c r="I1456" s="145"/>
    </row>
    <row r="1457" ht="22.5" customHeight="1">
      <c r="A1457" s="147"/>
      <c r="B1457" s="131"/>
      <c r="C1457" s="148"/>
      <c r="D1457" s="51"/>
      <c r="E1457" s="149"/>
      <c r="F1457" s="56"/>
      <c r="G1457" s="150"/>
      <c r="H1457" s="59">
        <f t="shared" si="63"/>
        <v>0</v>
      </c>
      <c r="I1457" s="145"/>
    </row>
    <row r="1458" ht="22.5" customHeight="1">
      <c r="A1458" s="147"/>
      <c r="B1458" s="131"/>
      <c r="C1458" s="148"/>
      <c r="D1458" s="51"/>
      <c r="E1458" s="149"/>
      <c r="F1458" s="56"/>
      <c r="G1458" s="150"/>
      <c r="H1458" s="59">
        <f t="shared" si="63"/>
        <v>0</v>
      </c>
      <c r="I1458" s="145"/>
    </row>
    <row r="1459" ht="22.5" customHeight="1">
      <c r="A1459" s="147"/>
      <c r="B1459" s="131"/>
      <c r="C1459" s="148"/>
      <c r="D1459" s="51"/>
      <c r="E1459" s="149"/>
      <c r="F1459" s="56"/>
      <c r="G1459" s="150"/>
      <c r="H1459" s="59">
        <f t="shared" si="63"/>
        <v>0</v>
      </c>
      <c r="I1459" s="145"/>
    </row>
    <row r="1460" ht="22.5" customHeight="1">
      <c r="A1460" s="147"/>
      <c r="B1460" s="131"/>
      <c r="C1460" s="148"/>
      <c r="D1460" s="51"/>
      <c r="E1460" s="149"/>
      <c r="F1460" s="56"/>
      <c r="G1460" s="150"/>
      <c r="H1460" s="59">
        <f t="shared" si="63"/>
        <v>0</v>
      </c>
      <c r="I1460" s="145"/>
    </row>
    <row r="1461" ht="22.5" customHeight="1">
      <c r="A1461" s="147"/>
      <c r="B1461" s="131"/>
      <c r="C1461" s="148"/>
      <c r="D1461" s="51"/>
      <c r="E1461" s="149"/>
      <c r="F1461" s="56"/>
      <c r="G1461" s="150"/>
      <c r="H1461" s="59">
        <f t="shared" si="63"/>
        <v>0</v>
      </c>
      <c r="I1461" s="145"/>
    </row>
    <row r="1462" ht="22.5" customHeight="1">
      <c r="A1462" s="147"/>
      <c r="B1462" s="131"/>
      <c r="C1462" s="148"/>
      <c r="D1462" s="51"/>
      <c r="E1462" s="149"/>
      <c r="F1462" s="56"/>
      <c r="G1462" s="150"/>
      <c r="H1462" s="59">
        <f t="shared" si="63"/>
        <v>0</v>
      </c>
      <c r="I1462" s="145"/>
    </row>
    <row r="1463" ht="22.5" customHeight="1">
      <c r="A1463" s="147"/>
      <c r="B1463" s="131"/>
      <c r="C1463" s="148"/>
      <c r="D1463" s="51"/>
      <c r="E1463" s="149"/>
      <c r="F1463" s="56"/>
      <c r="G1463" s="150"/>
      <c r="H1463" s="59">
        <f t="shared" si="63"/>
        <v>0</v>
      </c>
      <c r="I1463" s="145"/>
    </row>
    <row r="1464" ht="22.5" customHeight="1">
      <c r="A1464" s="147"/>
      <c r="B1464" s="131"/>
      <c r="C1464" s="148"/>
      <c r="D1464" s="51"/>
      <c r="E1464" s="149"/>
      <c r="F1464" s="56"/>
      <c r="G1464" s="150"/>
      <c r="H1464" s="59">
        <f t="shared" si="63"/>
        <v>0</v>
      </c>
      <c r="I1464" s="145"/>
    </row>
    <row r="1465" ht="22.5" customHeight="1">
      <c r="A1465" s="147"/>
      <c r="B1465" s="131"/>
      <c r="C1465" s="148"/>
      <c r="D1465" s="51"/>
      <c r="E1465" s="149"/>
      <c r="F1465" s="56"/>
      <c r="G1465" s="150"/>
      <c r="H1465" s="59">
        <f t="shared" si="63"/>
        <v>0</v>
      </c>
      <c r="I1465" s="145"/>
    </row>
    <row r="1466" ht="22.5" customHeight="1">
      <c r="A1466" s="147"/>
      <c r="B1466" s="131"/>
      <c r="C1466" s="148"/>
      <c r="D1466" s="51"/>
      <c r="E1466" s="149"/>
      <c r="F1466" s="56"/>
      <c r="G1466" s="150"/>
      <c r="H1466" s="59">
        <f t="shared" si="63"/>
        <v>0</v>
      </c>
      <c r="I1466" s="145"/>
    </row>
    <row r="1467" ht="22.5" customHeight="1">
      <c r="A1467" s="147"/>
      <c r="B1467" s="131"/>
      <c r="C1467" s="148"/>
      <c r="D1467" s="51"/>
      <c r="E1467" s="149"/>
      <c r="F1467" s="56"/>
      <c r="G1467" s="150"/>
      <c r="H1467" s="59">
        <f t="shared" si="63"/>
        <v>0</v>
      </c>
      <c r="I1467" s="145"/>
    </row>
    <row r="1468" ht="22.5" customHeight="1">
      <c r="A1468" s="147"/>
      <c r="B1468" s="131"/>
      <c r="C1468" s="148"/>
      <c r="D1468" s="51"/>
      <c r="E1468" s="149"/>
      <c r="F1468" s="56"/>
      <c r="G1468" s="150"/>
      <c r="H1468" s="59">
        <f t="shared" si="63"/>
        <v>0</v>
      </c>
      <c r="I1468" s="145"/>
    </row>
    <row r="1469" ht="22.5" customHeight="1">
      <c r="A1469" s="147"/>
      <c r="B1469" s="131"/>
      <c r="C1469" s="148"/>
      <c r="D1469" s="51"/>
      <c r="E1469" s="149"/>
      <c r="F1469" s="56"/>
      <c r="G1469" s="150"/>
      <c r="H1469" s="59">
        <f t="shared" si="63"/>
        <v>0</v>
      </c>
      <c r="I1469" s="145"/>
    </row>
    <row r="1470" ht="22.5" customHeight="1">
      <c r="A1470" s="147"/>
      <c r="B1470" s="131"/>
      <c r="C1470" s="148"/>
      <c r="D1470" s="51"/>
      <c r="E1470" s="149"/>
      <c r="F1470" s="56"/>
      <c r="G1470" s="150"/>
      <c r="H1470" s="59">
        <f t="shared" si="63"/>
        <v>0</v>
      </c>
      <c r="I1470" s="145"/>
    </row>
    <row r="1471" ht="22.5" customHeight="1">
      <c r="A1471" s="147"/>
      <c r="B1471" s="131"/>
      <c r="C1471" s="148"/>
      <c r="D1471" s="51"/>
      <c r="E1471" s="149"/>
      <c r="F1471" s="56"/>
      <c r="G1471" s="150"/>
      <c r="H1471" s="59">
        <f t="shared" si="63"/>
        <v>0</v>
      </c>
      <c r="I1471" s="145"/>
    </row>
    <row r="1472" ht="22.5" customHeight="1">
      <c r="A1472" s="147"/>
      <c r="B1472" s="131"/>
      <c r="C1472" s="148"/>
      <c r="D1472" s="51"/>
      <c r="E1472" s="149"/>
      <c r="F1472" s="56"/>
      <c r="G1472" s="150"/>
      <c r="H1472" s="59">
        <f t="shared" si="63"/>
        <v>0</v>
      </c>
      <c r="I1472" s="145"/>
    </row>
    <row r="1473" ht="22.5" customHeight="1">
      <c r="A1473" s="147"/>
      <c r="B1473" s="131"/>
      <c r="C1473" s="148"/>
      <c r="D1473" s="51"/>
      <c r="E1473" s="149"/>
      <c r="F1473" s="56"/>
      <c r="G1473" s="150"/>
      <c r="H1473" s="59">
        <f t="shared" si="63"/>
        <v>0</v>
      </c>
      <c r="I1473" s="145"/>
    </row>
    <row r="1474" ht="22.5" customHeight="1">
      <c r="A1474" s="147"/>
      <c r="B1474" s="131"/>
      <c r="C1474" s="148"/>
      <c r="D1474" s="51"/>
      <c r="E1474" s="149"/>
      <c r="F1474" s="56"/>
      <c r="G1474" s="150"/>
      <c r="H1474" s="59">
        <f t="shared" si="63"/>
        <v>0</v>
      </c>
      <c r="I1474" s="145"/>
    </row>
    <row r="1475" ht="22.5" customHeight="1">
      <c r="A1475" s="147"/>
      <c r="B1475" s="131"/>
      <c r="C1475" s="148"/>
      <c r="D1475" s="51"/>
      <c r="E1475" s="149"/>
      <c r="F1475" s="56"/>
      <c r="G1475" s="150"/>
      <c r="H1475" s="59">
        <f t="shared" si="63"/>
        <v>0</v>
      </c>
      <c r="I1475" s="145"/>
    </row>
    <row r="1476" ht="22.5" customHeight="1">
      <c r="A1476" s="147"/>
      <c r="B1476" s="131"/>
      <c r="C1476" s="148"/>
      <c r="D1476" s="51"/>
      <c r="E1476" s="149"/>
      <c r="F1476" s="56"/>
      <c r="G1476" s="150"/>
      <c r="H1476" s="59">
        <f t="shared" si="63"/>
        <v>0</v>
      </c>
      <c r="I1476" s="145"/>
    </row>
    <row r="1477" ht="22.5" customHeight="1">
      <c r="A1477" s="147"/>
      <c r="B1477" s="131"/>
      <c r="C1477" s="148"/>
      <c r="D1477" s="51"/>
      <c r="E1477" s="149"/>
      <c r="F1477" s="56"/>
      <c r="G1477" s="150"/>
      <c r="H1477" s="59">
        <f t="shared" si="63"/>
        <v>0</v>
      </c>
      <c r="I1477" s="145"/>
    </row>
    <row r="1478" ht="22.5" customHeight="1">
      <c r="A1478" s="147"/>
      <c r="B1478" s="131"/>
      <c r="C1478" s="148"/>
      <c r="D1478" s="51"/>
      <c r="E1478" s="149"/>
      <c r="F1478" s="56"/>
      <c r="G1478" s="150"/>
      <c r="H1478" s="59">
        <f t="shared" si="63"/>
        <v>0</v>
      </c>
      <c r="I1478" s="145"/>
    </row>
    <row r="1479" ht="22.5" customHeight="1">
      <c r="A1479" s="147"/>
      <c r="B1479" s="131"/>
      <c r="C1479" s="148"/>
      <c r="D1479" s="51"/>
      <c r="E1479" s="149"/>
      <c r="F1479" s="56"/>
      <c r="G1479" s="150"/>
      <c r="H1479" s="59">
        <f t="shared" si="63"/>
        <v>0</v>
      </c>
      <c r="I1479" s="145"/>
    </row>
    <row r="1480" ht="22.5" customHeight="1">
      <c r="A1480" s="147"/>
      <c r="B1480" s="131"/>
      <c r="C1480" s="148"/>
      <c r="D1480" s="51"/>
      <c r="E1480" s="149"/>
      <c r="F1480" s="56"/>
      <c r="G1480" s="150"/>
      <c r="H1480" s="59">
        <f t="shared" si="63"/>
        <v>0</v>
      </c>
      <c r="I1480" s="145"/>
    </row>
    <row r="1481" ht="22.5" customHeight="1">
      <c r="A1481" s="147"/>
      <c r="B1481" s="131"/>
      <c r="C1481" s="148"/>
      <c r="D1481" s="51"/>
      <c r="E1481" s="149"/>
      <c r="F1481" s="56"/>
      <c r="G1481" s="150"/>
      <c r="H1481" s="59">
        <f t="shared" si="63"/>
        <v>0</v>
      </c>
      <c r="I1481" s="145"/>
    </row>
    <row r="1482" ht="22.5" customHeight="1">
      <c r="A1482" s="147"/>
      <c r="B1482" s="131"/>
      <c r="C1482" s="148"/>
      <c r="D1482" s="51"/>
      <c r="E1482" s="149"/>
      <c r="F1482" s="56"/>
      <c r="G1482" s="150"/>
      <c r="H1482" s="59">
        <f t="shared" si="63"/>
        <v>0</v>
      </c>
      <c r="I1482" s="145"/>
    </row>
    <row r="1483" ht="22.5" customHeight="1">
      <c r="A1483" s="147"/>
      <c r="B1483" s="131"/>
      <c r="C1483" s="148"/>
      <c r="D1483" s="51"/>
      <c r="E1483" s="149"/>
      <c r="F1483" s="56"/>
      <c r="G1483" s="150"/>
      <c r="H1483" s="59">
        <f t="shared" si="63"/>
        <v>0</v>
      </c>
      <c r="I1483" s="145"/>
    </row>
    <row r="1484" ht="22.5" customHeight="1">
      <c r="A1484" s="147"/>
      <c r="B1484" s="131"/>
      <c r="C1484" s="148"/>
      <c r="D1484" s="51"/>
      <c r="E1484" s="149"/>
      <c r="F1484" s="56"/>
      <c r="G1484" s="150"/>
      <c r="H1484" s="59">
        <f t="shared" si="63"/>
        <v>0</v>
      </c>
      <c r="I1484" s="145"/>
    </row>
    <row r="1485" ht="22.5" customHeight="1">
      <c r="A1485" s="147"/>
      <c r="B1485" s="131"/>
      <c r="C1485" s="148"/>
      <c r="D1485" s="51"/>
      <c r="E1485" s="149"/>
      <c r="F1485" s="56"/>
      <c r="G1485" s="150"/>
      <c r="H1485" s="59">
        <f t="shared" si="63"/>
        <v>0</v>
      </c>
      <c r="I1485" s="145"/>
    </row>
    <row r="1486" ht="22.5" customHeight="1">
      <c r="A1486" s="147"/>
      <c r="B1486" s="131"/>
      <c r="C1486" s="148"/>
      <c r="D1486" s="51"/>
      <c r="E1486" s="149"/>
      <c r="F1486" s="56"/>
      <c r="G1486" s="150"/>
      <c r="H1486" s="59">
        <f t="shared" si="63"/>
        <v>0</v>
      </c>
      <c r="I1486" s="145"/>
    </row>
    <row r="1487" ht="22.5" customHeight="1">
      <c r="A1487" s="147"/>
      <c r="B1487" s="131"/>
      <c r="C1487" s="148"/>
      <c r="D1487" s="51"/>
      <c r="E1487" s="149"/>
      <c r="F1487" s="56"/>
      <c r="G1487" s="150"/>
      <c r="H1487" s="59">
        <f t="shared" si="63"/>
        <v>0</v>
      </c>
      <c r="I1487" s="145"/>
    </row>
    <row r="1488" ht="22.5" customHeight="1">
      <c r="A1488" s="147"/>
      <c r="B1488" s="131"/>
      <c r="C1488" s="148"/>
      <c r="D1488" s="51"/>
      <c r="E1488" s="149"/>
      <c r="F1488" s="56"/>
      <c r="G1488" s="150"/>
      <c r="H1488" s="59">
        <f t="shared" si="63"/>
        <v>0</v>
      </c>
      <c r="I1488" s="145"/>
    </row>
    <row r="1489" ht="22.5" customHeight="1">
      <c r="A1489" s="147"/>
      <c r="B1489" s="131"/>
      <c r="C1489" s="148"/>
      <c r="D1489" s="51"/>
      <c r="E1489" s="149"/>
      <c r="F1489" s="56"/>
      <c r="G1489" s="150"/>
      <c r="H1489" s="59">
        <f t="shared" si="63"/>
        <v>0</v>
      </c>
      <c r="I1489" s="145"/>
    </row>
    <row r="1490" ht="22.5" customHeight="1">
      <c r="A1490" s="147"/>
      <c r="B1490" s="131"/>
      <c r="C1490" s="148"/>
      <c r="D1490" s="51"/>
      <c r="E1490" s="149"/>
      <c r="F1490" s="56"/>
      <c r="G1490" s="150"/>
      <c r="H1490" s="59">
        <f t="shared" si="63"/>
        <v>0</v>
      </c>
      <c r="I1490" s="145"/>
    </row>
    <row r="1491" ht="22.5" customHeight="1">
      <c r="A1491" s="147"/>
      <c r="B1491" s="131"/>
      <c r="C1491" s="148"/>
      <c r="D1491" s="51"/>
      <c r="E1491" s="149"/>
      <c r="F1491" s="56"/>
      <c r="G1491" s="150"/>
      <c r="H1491" s="59">
        <f t="shared" si="63"/>
        <v>0</v>
      </c>
      <c r="I1491" s="145"/>
    </row>
    <row r="1492" ht="22.5" customHeight="1">
      <c r="A1492" s="147"/>
      <c r="B1492" s="131"/>
      <c r="C1492" s="148"/>
      <c r="D1492" s="51"/>
      <c r="E1492" s="149"/>
      <c r="F1492" s="56"/>
      <c r="G1492" s="150"/>
      <c r="H1492" s="59">
        <f t="shared" si="63"/>
        <v>0</v>
      </c>
      <c r="I1492" s="145"/>
    </row>
    <row r="1493" ht="22.5" customHeight="1">
      <c r="A1493" s="147"/>
      <c r="B1493" s="131"/>
      <c r="C1493" s="148"/>
      <c r="D1493" s="51"/>
      <c r="E1493" s="149"/>
      <c r="F1493" s="56"/>
      <c r="G1493" s="150"/>
      <c r="H1493" s="59">
        <f t="shared" si="63"/>
        <v>0</v>
      </c>
      <c r="I1493" s="145"/>
    </row>
    <row r="1494" ht="22.5" customHeight="1">
      <c r="A1494" s="147"/>
      <c r="B1494" s="131"/>
      <c r="C1494" s="148"/>
      <c r="D1494" s="51"/>
      <c r="E1494" s="149"/>
      <c r="F1494" s="56"/>
      <c r="G1494" s="150"/>
      <c r="H1494" s="59">
        <f t="shared" si="63"/>
        <v>0</v>
      </c>
      <c r="I1494" s="145"/>
    </row>
    <row r="1495" ht="22.5" customHeight="1">
      <c r="A1495" s="147"/>
      <c r="B1495" s="131"/>
      <c r="C1495" s="148"/>
      <c r="D1495" s="51"/>
      <c r="E1495" s="149"/>
      <c r="F1495" s="56"/>
      <c r="G1495" s="150"/>
      <c r="H1495" s="59">
        <f t="shared" si="63"/>
        <v>0</v>
      </c>
      <c r="I1495" s="145"/>
    </row>
    <row r="1496" ht="22.5" customHeight="1">
      <c r="A1496" s="147"/>
      <c r="B1496" s="131"/>
      <c r="C1496" s="148"/>
      <c r="D1496" s="51"/>
      <c r="E1496" s="149"/>
      <c r="F1496" s="56"/>
      <c r="G1496" s="150"/>
      <c r="H1496" s="59">
        <f t="shared" si="63"/>
        <v>0</v>
      </c>
      <c r="I1496" s="145"/>
    </row>
    <row r="1497" ht="22.5" customHeight="1">
      <c r="A1497" s="147"/>
      <c r="B1497" s="131"/>
      <c r="C1497" s="148"/>
      <c r="D1497" s="51"/>
      <c r="E1497" s="149"/>
      <c r="F1497" s="56"/>
      <c r="G1497" s="150"/>
      <c r="H1497" s="59">
        <f t="shared" si="63"/>
        <v>0</v>
      </c>
      <c r="I1497" s="145"/>
    </row>
    <row r="1498" ht="22.5" customHeight="1">
      <c r="A1498" s="147"/>
      <c r="B1498" s="131"/>
      <c r="C1498" s="148"/>
      <c r="D1498" s="51"/>
      <c r="E1498" s="149"/>
      <c r="F1498" s="56"/>
      <c r="G1498" s="150"/>
      <c r="H1498" s="59">
        <f t="shared" si="63"/>
        <v>0</v>
      </c>
      <c r="I1498" s="145"/>
    </row>
    <row r="1499" ht="22.5" customHeight="1">
      <c r="A1499" s="147"/>
      <c r="B1499" s="131"/>
      <c r="C1499" s="148"/>
      <c r="D1499" s="51"/>
      <c r="E1499" s="149"/>
      <c r="F1499" s="56"/>
      <c r="G1499" s="150"/>
      <c r="H1499" s="59">
        <f t="shared" si="63"/>
        <v>0</v>
      </c>
      <c r="I1499" s="145"/>
    </row>
    <row r="1500" ht="22.5" customHeight="1">
      <c r="A1500" s="147"/>
      <c r="B1500" s="131"/>
      <c r="C1500" s="148"/>
      <c r="D1500" s="51"/>
      <c r="E1500" s="149"/>
      <c r="F1500" s="56"/>
      <c r="G1500" s="150"/>
      <c r="H1500" s="59">
        <f t="shared" si="63"/>
        <v>0</v>
      </c>
      <c r="I1500" s="145"/>
    </row>
    <row r="1501" ht="22.5" customHeight="1">
      <c r="A1501" s="147"/>
      <c r="B1501" s="131"/>
      <c r="C1501" s="148"/>
      <c r="D1501" s="51"/>
      <c r="E1501" s="149"/>
      <c r="F1501" s="56"/>
      <c r="G1501" s="150"/>
      <c r="H1501" s="59">
        <f t="shared" si="63"/>
        <v>0</v>
      </c>
      <c r="I1501" s="145"/>
    </row>
    <row r="1502" ht="22.5" customHeight="1">
      <c r="A1502" s="147"/>
      <c r="B1502" s="131"/>
      <c r="C1502" s="148"/>
      <c r="D1502" s="51"/>
      <c r="E1502" s="149"/>
      <c r="F1502" s="56"/>
      <c r="G1502" s="150"/>
      <c r="H1502" s="59">
        <f t="shared" si="63"/>
        <v>0</v>
      </c>
      <c r="I1502" s="145"/>
    </row>
    <row r="1503" ht="22.5" customHeight="1">
      <c r="A1503" s="147"/>
      <c r="B1503" s="131"/>
      <c r="C1503" s="148"/>
      <c r="D1503" s="51"/>
      <c r="E1503" s="149"/>
      <c r="F1503" s="56"/>
      <c r="G1503" s="150"/>
      <c r="H1503" s="59">
        <f t="shared" si="63"/>
        <v>0</v>
      </c>
      <c r="I1503" s="145"/>
    </row>
    <row r="1504" ht="22.5" customHeight="1">
      <c r="A1504" s="147"/>
      <c r="B1504" s="131"/>
      <c r="C1504" s="148"/>
      <c r="D1504" s="51"/>
      <c r="E1504" s="149"/>
      <c r="F1504" s="56"/>
      <c r="G1504" s="150"/>
      <c r="H1504" s="59">
        <f t="shared" si="63"/>
        <v>0</v>
      </c>
      <c r="I1504" s="145"/>
    </row>
    <row r="1505" ht="22.5" customHeight="1">
      <c r="A1505" s="147"/>
      <c r="B1505" s="131"/>
      <c r="C1505" s="148"/>
      <c r="D1505" s="51"/>
      <c r="E1505" s="149"/>
      <c r="F1505" s="56"/>
      <c r="G1505" s="150"/>
      <c r="H1505" s="59">
        <f t="shared" si="63"/>
        <v>0</v>
      </c>
      <c r="I1505" s="145"/>
    </row>
    <row r="1506" ht="22.5" customHeight="1">
      <c r="A1506" s="147"/>
      <c r="B1506" s="131"/>
      <c r="C1506" s="148"/>
      <c r="D1506" s="51"/>
      <c r="E1506" s="149"/>
      <c r="F1506" s="56"/>
      <c r="G1506" s="150"/>
      <c r="H1506" s="59">
        <f t="shared" si="63"/>
        <v>0</v>
      </c>
      <c r="I1506" s="145"/>
    </row>
    <row r="1507" ht="22.5" customHeight="1">
      <c r="A1507" s="147"/>
      <c r="B1507" s="131"/>
      <c r="C1507" s="148"/>
      <c r="D1507" s="51"/>
      <c r="E1507" s="149"/>
      <c r="F1507" s="56"/>
      <c r="G1507" s="150"/>
      <c r="H1507" s="59">
        <f t="shared" si="63"/>
        <v>0</v>
      </c>
      <c r="I1507" s="145"/>
    </row>
    <row r="1508" ht="22.5" customHeight="1">
      <c r="A1508" s="147"/>
      <c r="B1508" s="131"/>
      <c r="C1508" s="148"/>
      <c r="D1508" s="51"/>
      <c r="E1508" s="149"/>
      <c r="F1508" s="56"/>
      <c r="G1508" s="150"/>
      <c r="H1508" s="59">
        <f t="shared" si="63"/>
        <v>0</v>
      </c>
      <c r="I1508" s="145"/>
    </row>
    <row r="1509" ht="22.5" customHeight="1">
      <c r="A1509" s="147"/>
      <c r="B1509" s="131"/>
      <c r="C1509" s="148"/>
      <c r="D1509" s="51"/>
      <c r="E1509" s="149"/>
      <c r="F1509" s="56"/>
      <c r="G1509" s="150"/>
      <c r="H1509" s="59">
        <f t="shared" si="63"/>
        <v>0</v>
      </c>
      <c r="I1509" s="145"/>
    </row>
    <row r="1510" ht="22.5" customHeight="1">
      <c r="A1510" s="147"/>
      <c r="B1510" s="131"/>
      <c r="C1510" s="148"/>
      <c r="D1510" s="51"/>
      <c r="E1510" s="149"/>
      <c r="F1510" s="56"/>
      <c r="G1510" s="150"/>
      <c r="H1510" s="59">
        <f t="shared" si="63"/>
        <v>0</v>
      </c>
      <c r="I1510" s="145"/>
    </row>
    <row r="1511" ht="22.5" customHeight="1">
      <c r="A1511" s="147"/>
      <c r="B1511" s="131"/>
      <c r="C1511" s="148"/>
      <c r="D1511" s="51"/>
      <c r="E1511" s="149"/>
      <c r="F1511" s="56"/>
      <c r="G1511" s="150"/>
      <c r="H1511" s="59">
        <f t="shared" si="63"/>
        <v>0</v>
      </c>
      <c r="I1511" s="145"/>
    </row>
    <row r="1512" ht="22.5" customHeight="1">
      <c r="A1512" s="147"/>
      <c r="B1512" s="131"/>
      <c r="C1512" s="148"/>
      <c r="D1512" s="51"/>
      <c r="E1512" s="149"/>
      <c r="F1512" s="56"/>
      <c r="G1512" s="150"/>
      <c r="H1512" s="59">
        <f t="shared" si="63"/>
        <v>0</v>
      </c>
      <c r="I1512" s="145"/>
    </row>
    <row r="1513" ht="22.5" customHeight="1">
      <c r="A1513" s="147"/>
      <c r="B1513" s="131"/>
      <c r="C1513" s="148"/>
      <c r="D1513" s="51"/>
      <c r="E1513" s="149"/>
      <c r="F1513" s="56"/>
      <c r="G1513" s="150"/>
      <c r="H1513" s="59">
        <f t="shared" si="63"/>
        <v>0</v>
      </c>
      <c r="I1513" s="145"/>
    </row>
    <row r="1514" ht="22.5" customHeight="1">
      <c r="A1514" s="147"/>
      <c r="B1514" s="131"/>
      <c r="C1514" s="148"/>
      <c r="D1514" s="51"/>
      <c r="E1514" s="149"/>
      <c r="F1514" s="56"/>
      <c r="G1514" s="150"/>
      <c r="H1514" s="59">
        <f t="shared" si="63"/>
        <v>0</v>
      </c>
      <c r="I1514" s="145"/>
    </row>
    <row r="1515" ht="22.5" customHeight="1">
      <c r="A1515" s="147"/>
      <c r="B1515" s="131"/>
      <c r="C1515" s="148"/>
      <c r="D1515" s="51"/>
      <c r="E1515" s="149"/>
      <c r="F1515" s="56"/>
      <c r="G1515" s="150"/>
      <c r="H1515" s="59">
        <f t="shared" si="63"/>
        <v>0</v>
      </c>
      <c r="I1515" s="145"/>
    </row>
    <row r="1516" ht="22.5" customHeight="1">
      <c r="A1516" s="147"/>
      <c r="B1516" s="131"/>
      <c r="C1516" s="148"/>
      <c r="D1516" s="51"/>
      <c r="E1516" s="149"/>
      <c r="F1516" s="56"/>
      <c r="G1516" s="150"/>
      <c r="H1516" s="59">
        <f t="shared" si="63"/>
        <v>0</v>
      </c>
      <c r="I1516" s="145"/>
    </row>
    <row r="1517" ht="22.5" customHeight="1">
      <c r="A1517" s="147"/>
      <c r="B1517" s="131"/>
      <c r="C1517" s="148"/>
      <c r="D1517" s="51"/>
      <c r="E1517" s="149"/>
      <c r="F1517" s="56"/>
      <c r="G1517" s="150"/>
      <c r="H1517" s="59">
        <f t="shared" si="63"/>
        <v>0</v>
      </c>
      <c r="I1517" s="145"/>
    </row>
    <row r="1518" ht="22.5" customHeight="1">
      <c r="A1518" s="147"/>
      <c r="B1518" s="131"/>
      <c r="C1518" s="148"/>
      <c r="D1518" s="51"/>
      <c r="E1518" s="149"/>
      <c r="F1518" s="56"/>
      <c r="G1518" s="150"/>
      <c r="H1518" s="59">
        <f t="shared" si="63"/>
        <v>0</v>
      </c>
      <c r="I1518" s="145"/>
    </row>
    <row r="1519" ht="22.5" customHeight="1">
      <c r="A1519" s="147"/>
      <c r="B1519" s="131"/>
      <c r="C1519" s="148"/>
      <c r="D1519" s="51"/>
      <c r="E1519" s="149"/>
      <c r="F1519" s="56"/>
      <c r="G1519" s="150"/>
      <c r="H1519" s="59">
        <f t="shared" si="63"/>
        <v>0</v>
      </c>
      <c r="I1519" s="145"/>
    </row>
    <row r="1520" ht="22.5" customHeight="1">
      <c r="A1520" s="147"/>
      <c r="B1520" s="131"/>
      <c r="C1520" s="148"/>
      <c r="D1520" s="51"/>
      <c r="E1520" s="149"/>
      <c r="F1520" s="56"/>
      <c r="G1520" s="150"/>
      <c r="H1520" s="59">
        <f t="shared" si="63"/>
        <v>0</v>
      </c>
      <c r="I1520" s="145"/>
    </row>
    <row r="1521" ht="22.5" customHeight="1">
      <c r="A1521" s="147"/>
      <c r="B1521" s="131"/>
      <c r="C1521" s="148"/>
      <c r="D1521" s="51"/>
      <c r="E1521" s="149"/>
      <c r="F1521" s="56"/>
      <c r="G1521" s="150"/>
      <c r="H1521" s="59">
        <f t="shared" si="63"/>
        <v>0</v>
      </c>
      <c r="I1521" s="145"/>
    </row>
    <row r="1522" ht="22.5" customHeight="1">
      <c r="A1522" s="147"/>
      <c r="B1522" s="131"/>
      <c r="C1522" s="148"/>
      <c r="D1522" s="51"/>
      <c r="E1522" s="149"/>
      <c r="F1522" s="56"/>
      <c r="G1522" s="150"/>
      <c r="H1522" s="59">
        <f t="shared" si="63"/>
        <v>0</v>
      </c>
      <c r="I1522" s="145"/>
    </row>
    <row r="1523" ht="22.5" customHeight="1">
      <c r="A1523" s="147"/>
      <c r="B1523" s="131"/>
      <c r="C1523" s="148"/>
      <c r="D1523" s="51"/>
      <c r="E1523" s="149"/>
      <c r="F1523" s="56"/>
      <c r="G1523" s="150"/>
      <c r="H1523" s="59">
        <f t="shared" si="63"/>
        <v>0</v>
      </c>
      <c r="I1523" s="145"/>
    </row>
    <row r="1524" ht="22.5" customHeight="1">
      <c r="A1524" s="147"/>
      <c r="B1524" s="131"/>
      <c r="C1524" s="148"/>
      <c r="D1524" s="51"/>
      <c r="E1524" s="149"/>
      <c r="F1524" s="56"/>
      <c r="G1524" s="150"/>
      <c r="H1524" s="59">
        <f t="shared" si="63"/>
        <v>0</v>
      </c>
      <c r="I1524" s="145"/>
    </row>
    <row r="1525" ht="22.5" customHeight="1">
      <c r="A1525" s="147"/>
      <c r="B1525" s="131"/>
      <c r="C1525" s="148"/>
      <c r="D1525" s="51"/>
      <c r="E1525" s="149"/>
      <c r="F1525" s="56"/>
      <c r="G1525" s="150"/>
      <c r="H1525" s="59">
        <f t="shared" si="63"/>
        <v>0</v>
      </c>
      <c r="I1525" s="145"/>
    </row>
    <row r="1526" ht="22.5" customHeight="1">
      <c r="A1526" s="147"/>
      <c r="B1526" s="131"/>
      <c r="C1526" s="148"/>
      <c r="D1526" s="51"/>
      <c r="E1526" s="149"/>
      <c r="F1526" s="56"/>
      <c r="G1526" s="150"/>
      <c r="H1526" s="59">
        <f t="shared" si="63"/>
        <v>0</v>
      </c>
      <c r="I1526" s="145"/>
    </row>
    <row r="1527" ht="22.5" customHeight="1">
      <c r="A1527" s="147"/>
      <c r="B1527" s="131"/>
      <c r="C1527" s="148"/>
      <c r="D1527" s="51"/>
      <c r="E1527" s="149"/>
      <c r="F1527" s="56"/>
      <c r="G1527" s="150"/>
      <c r="H1527" s="59">
        <f t="shared" si="63"/>
        <v>0</v>
      </c>
      <c r="I1527" s="145"/>
    </row>
    <row r="1528" ht="22.5" customHeight="1">
      <c r="A1528" s="147"/>
      <c r="B1528" s="131"/>
      <c r="C1528" s="148"/>
      <c r="D1528" s="51"/>
      <c r="E1528" s="149"/>
      <c r="F1528" s="56"/>
      <c r="G1528" s="150"/>
      <c r="H1528" s="59">
        <f t="shared" si="63"/>
        <v>0</v>
      </c>
      <c r="I1528" s="145"/>
    </row>
    <row r="1529" ht="22.5" customHeight="1">
      <c r="A1529" s="147"/>
      <c r="B1529" s="131"/>
      <c r="C1529" s="148"/>
      <c r="D1529" s="51"/>
      <c r="E1529" s="149"/>
      <c r="F1529" s="56"/>
      <c r="G1529" s="150"/>
      <c r="H1529" s="59">
        <f t="shared" si="63"/>
        <v>0</v>
      </c>
      <c r="I1529" s="145"/>
    </row>
    <row r="1530" ht="22.5" customHeight="1">
      <c r="A1530" s="147"/>
      <c r="B1530" s="131"/>
      <c r="C1530" s="148"/>
      <c r="D1530" s="51"/>
      <c r="E1530" s="149"/>
      <c r="F1530" s="56"/>
      <c r="G1530" s="150"/>
      <c r="H1530" s="59">
        <f t="shared" si="63"/>
        <v>0</v>
      </c>
      <c r="I1530" s="145"/>
    </row>
    <row r="1531" ht="22.5" customHeight="1">
      <c r="A1531" s="147"/>
      <c r="B1531" s="131"/>
      <c r="C1531" s="148"/>
      <c r="D1531" s="51"/>
      <c r="E1531" s="149"/>
      <c r="F1531" s="56"/>
      <c r="G1531" s="150"/>
      <c r="H1531" s="59">
        <f t="shared" si="63"/>
        <v>0</v>
      </c>
      <c r="I1531" s="145"/>
    </row>
    <row r="1532" ht="22.5" customHeight="1">
      <c r="A1532" s="147"/>
      <c r="B1532" s="131"/>
      <c r="C1532" s="148"/>
      <c r="D1532" s="51"/>
      <c r="E1532" s="149"/>
      <c r="F1532" s="56"/>
      <c r="G1532" s="150"/>
      <c r="H1532" s="59">
        <f t="shared" si="63"/>
        <v>0</v>
      </c>
      <c r="I1532" s="145"/>
    </row>
    <row r="1533" ht="22.5" customHeight="1">
      <c r="A1533" s="147"/>
      <c r="B1533" s="131"/>
      <c r="C1533" s="148"/>
      <c r="D1533" s="51"/>
      <c r="E1533" s="149"/>
      <c r="F1533" s="56"/>
      <c r="G1533" s="150"/>
      <c r="H1533" s="59">
        <f t="shared" si="63"/>
        <v>0</v>
      </c>
      <c r="I1533" s="145"/>
    </row>
    <row r="1534" ht="22.5" customHeight="1">
      <c r="A1534" s="147"/>
      <c r="B1534" s="131"/>
      <c r="C1534" s="148"/>
      <c r="D1534" s="51"/>
      <c r="E1534" s="149"/>
      <c r="F1534" s="56"/>
      <c r="G1534" s="150"/>
      <c r="H1534" s="59">
        <f t="shared" si="63"/>
        <v>0</v>
      </c>
      <c r="I1534" s="145"/>
    </row>
    <row r="1535" ht="22.5" customHeight="1">
      <c r="A1535" s="147"/>
      <c r="B1535" s="131"/>
      <c r="C1535" s="148"/>
      <c r="D1535" s="51"/>
      <c r="E1535" s="149"/>
      <c r="F1535" s="56"/>
      <c r="G1535" s="150"/>
      <c r="H1535" s="59">
        <f t="shared" si="63"/>
        <v>0</v>
      </c>
      <c r="I1535" s="145"/>
    </row>
    <row r="1536" ht="22.5" customHeight="1">
      <c r="A1536" s="147"/>
      <c r="B1536" s="131"/>
      <c r="C1536" s="148"/>
      <c r="D1536" s="51"/>
      <c r="E1536" s="149"/>
      <c r="F1536" s="56"/>
      <c r="G1536" s="150"/>
      <c r="H1536" s="59">
        <f t="shared" si="63"/>
        <v>0</v>
      </c>
      <c r="I1536" s="145"/>
    </row>
    <row r="1537" ht="22.5" customHeight="1">
      <c r="A1537" s="147"/>
      <c r="B1537" s="131"/>
      <c r="C1537" s="148"/>
      <c r="D1537" s="51"/>
      <c r="E1537" s="149"/>
      <c r="F1537" s="56"/>
      <c r="G1537" s="150"/>
      <c r="H1537" s="59">
        <f t="shared" si="63"/>
        <v>0</v>
      </c>
      <c r="I1537" s="145"/>
    </row>
    <row r="1538" ht="22.5" customHeight="1">
      <c r="A1538" s="147"/>
      <c r="B1538" s="131"/>
      <c r="C1538" s="148"/>
      <c r="D1538" s="51"/>
      <c r="E1538" s="149"/>
      <c r="F1538" s="56"/>
      <c r="G1538" s="150"/>
      <c r="H1538" s="59">
        <f t="shared" si="63"/>
        <v>0</v>
      </c>
      <c r="I1538" s="145"/>
    </row>
    <row r="1539" ht="22.5" customHeight="1">
      <c r="A1539" s="147"/>
      <c r="B1539" s="131"/>
      <c r="C1539" s="148"/>
      <c r="D1539" s="51"/>
      <c r="E1539" s="149"/>
      <c r="F1539" s="56"/>
      <c r="G1539" s="150"/>
      <c r="H1539" s="59">
        <f t="shared" si="63"/>
        <v>0</v>
      </c>
      <c r="I1539" s="145"/>
    </row>
    <row r="1540" ht="22.5" customHeight="1">
      <c r="A1540" s="147"/>
      <c r="B1540" s="131"/>
      <c r="C1540" s="148"/>
      <c r="D1540" s="51"/>
      <c r="E1540" s="149"/>
      <c r="F1540" s="56"/>
      <c r="G1540" s="150"/>
      <c r="H1540" s="59">
        <f t="shared" si="63"/>
        <v>0</v>
      </c>
      <c r="I1540" s="145"/>
    </row>
    <row r="1541" ht="22.5" customHeight="1">
      <c r="A1541" s="147"/>
      <c r="B1541" s="131"/>
      <c r="C1541" s="148"/>
      <c r="D1541" s="51"/>
      <c r="E1541" s="149"/>
      <c r="F1541" s="56"/>
      <c r="G1541" s="150"/>
      <c r="H1541" s="59">
        <f t="shared" si="63"/>
        <v>0</v>
      </c>
      <c r="I1541" s="145"/>
    </row>
    <row r="1542" ht="22.5" customHeight="1">
      <c r="A1542" s="147"/>
      <c r="B1542" s="131"/>
      <c r="C1542" s="148"/>
      <c r="D1542" s="51"/>
      <c r="E1542" s="149"/>
      <c r="F1542" s="56"/>
      <c r="G1542" s="150"/>
      <c r="H1542" s="59">
        <f t="shared" si="63"/>
        <v>0</v>
      </c>
      <c r="I1542" s="145"/>
    </row>
    <row r="1543" ht="22.5" customHeight="1">
      <c r="A1543" s="147"/>
      <c r="B1543" s="131"/>
      <c r="C1543" s="148"/>
      <c r="D1543" s="51"/>
      <c r="E1543" s="149"/>
      <c r="F1543" s="56"/>
      <c r="G1543" s="150"/>
      <c r="H1543" s="59">
        <f t="shared" si="63"/>
        <v>0</v>
      </c>
      <c r="I1543" s="145"/>
    </row>
    <row r="1544" ht="22.5" customHeight="1">
      <c r="A1544" s="147"/>
      <c r="B1544" s="131"/>
      <c r="C1544" s="148"/>
      <c r="D1544" s="51"/>
      <c r="E1544" s="149"/>
      <c r="F1544" s="56"/>
      <c r="G1544" s="150"/>
      <c r="H1544" s="59">
        <f t="shared" si="63"/>
        <v>0</v>
      </c>
      <c r="I1544" s="145"/>
    </row>
    <row r="1545" ht="22.5" customHeight="1">
      <c r="A1545" s="147"/>
      <c r="B1545" s="131"/>
      <c r="C1545" s="148"/>
      <c r="D1545" s="51"/>
      <c r="E1545" s="149"/>
      <c r="F1545" s="56"/>
      <c r="G1545" s="150"/>
      <c r="H1545" s="59">
        <f t="shared" si="63"/>
        <v>0</v>
      </c>
      <c r="I1545" s="145"/>
    </row>
    <row r="1546" ht="22.5" customHeight="1">
      <c r="A1546" s="147"/>
      <c r="B1546" s="131"/>
      <c r="C1546" s="148"/>
      <c r="D1546" s="51"/>
      <c r="E1546" s="149"/>
      <c r="F1546" s="56"/>
      <c r="G1546" s="150"/>
      <c r="H1546" s="59">
        <f t="shared" si="63"/>
        <v>0</v>
      </c>
      <c r="I1546" s="145"/>
    </row>
    <row r="1547" ht="22.5" customHeight="1">
      <c r="A1547" s="147"/>
      <c r="B1547" s="131"/>
      <c r="C1547" s="148"/>
      <c r="D1547" s="51"/>
      <c r="E1547" s="149"/>
      <c r="F1547" s="56"/>
      <c r="G1547" s="150"/>
      <c r="H1547" s="59">
        <f t="shared" si="63"/>
        <v>0</v>
      </c>
      <c r="I1547" s="145"/>
    </row>
    <row r="1548" ht="22.5" customHeight="1">
      <c r="A1548" s="147"/>
      <c r="B1548" s="131"/>
      <c r="C1548" s="148"/>
      <c r="D1548" s="51"/>
      <c r="E1548" s="149"/>
      <c r="F1548" s="56"/>
      <c r="G1548" s="150"/>
      <c r="H1548" s="59">
        <f t="shared" si="63"/>
        <v>0</v>
      </c>
      <c r="I1548" s="145"/>
    </row>
    <row r="1549" ht="22.5" customHeight="1">
      <c r="A1549" s="147"/>
      <c r="B1549" s="131"/>
      <c r="C1549" s="148"/>
      <c r="D1549" s="51"/>
      <c r="E1549" s="149"/>
      <c r="F1549" s="56"/>
      <c r="G1549" s="150"/>
      <c r="H1549" s="59">
        <f t="shared" si="63"/>
        <v>0</v>
      </c>
      <c r="I1549" s="145"/>
    </row>
    <row r="1550" ht="22.5" customHeight="1">
      <c r="A1550" s="147"/>
      <c r="B1550" s="131"/>
      <c r="C1550" s="148"/>
      <c r="D1550" s="51"/>
      <c r="E1550" s="149"/>
      <c r="F1550" s="56"/>
      <c r="G1550" s="150"/>
      <c r="H1550" s="59">
        <f t="shared" si="63"/>
        <v>0</v>
      </c>
      <c r="I1550" s="145"/>
    </row>
    <row r="1551" ht="22.5" customHeight="1">
      <c r="A1551" s="147"/>
      <c r="B1551" s="131"/>
      <c r="C1551" s="148"/>
      <c r="D1551" s="51"/>
      <c r="E1551" s="149"/>
      <c r="F1551" s="56"/>
      <c r="G1551" s="150"/>
      <c r="H1551" s="59">
        <f t="shared" si="63"/>
        <v>0</v>
      </c>
      <c r="I1551" s="145"/>
    </row>
    <row r="1552" ht="22.5" customHeight="1">
      <c r="A1552" s="147"/>
      <c r="B1552" s="131"/>
      <c r="C1552" s="148"/>
      <c r="D1552" s="51"/>
      <c r="E1552" s="149"/>
      <c r="F1552" s="56"/>
      <c r="G1552" s="150"/>
      <c r="H1552" s="59">
        <f t="shared" si="63"/>
        <v>0</v>
      </c>
      <c r="I1552" s="145"/>
    </row>
    <row r="1553" ht="22.5" customHeight="1">
      <c r="A1553" s="147"/>
      <c r="B1553" s="131"/>
      <c r="C1553" s="148"/>
      <c r="D1553" s="51"/>
      <c r="E1553" s="149"/>
      <c r="F1553" s="56"/>
      <c r="G1553" s="150"/>
      <c r="H1553" s="59">
        <f t="shared" si="63"/>
        <v>0</v>
      </c>
      <c r="I1553" s="145"/>
    </row>
    <row r="1554" ht="22.5" customHeight="1">
      <c r="A1554" s="147"/>
      <c r="B1554" s="131"/>
      <c r="C1554" s="148"/>
      <c r="D1554" s="51"/>
      <c r="E1554" s="149"/>
      <c r="F1554" s="56"/>
      <c r="G1554" s="150"/>
      <c r="H1554" s="59">
        <f t="shared" si="63"/>
        <v>0</v>
      </c>
      <c r="I1554" s="145"/>
    </row>
    <row r="1555" ht="22.5" customHeight="1">
      <c r="A1555" s="147"/>
      <c r="B1555" s="131"/>
      <c r="C1555" s="148"/>
      <c r="D1555" s="51"/>
      <c r="E1555" s="149"/>
      <c r="F1555" s="56"/>
      <c r="G1555" s="150"/>
      <c r="H1555" s="59">
        <f t="shared" si="63"/>
        <v>0</v>
      </c>
      <c r="I1555" s="145"/>
    </row>
    <row r="1556" ht="22.5" customHeight="1">
      <c r="A1556" s="147"/>
      <c r="B1556" s="131"/>
      <c r="C1556" s="148"/>
      <c r="D1556" s="51"/>
      <c r="E1556" s="149"/>
      <c r="F1556" s="56"/>
      <c r="G1556" s="150"/>
      <c r="H1556" s="59">
        <f t="shared" si="63"/>
        <v>0</v>
      </c>
      <c r="I1556" s="145"/>
    </row>
    <row r="1557" ht="22.5" customHeight="1">
      <c r="A1557" s="147"/>
      <c r="B1557" s="131"/>
      <c r="C1557" s="148"/>
      <c r="D1557" s="51"/>
      <c r="E1557" s="149"/>
      <c r="F1557" s="56"/>
      <c r="G1557" s="150"/>
      <c r="H1557" s="59">
        <f t="shared" si="63"/>
        <v>0</v>
      </c>
      <c r="I1557" s="145"/>
    </row>
    <row r="1558" ht="22.5" customHeight="1">
      <c r="A1558" s="147"/>
      <c r="B1558" s="131"/>
      <c r="C1558" s="148"/>
      <c r="D1558" s="51"/>
      <c r="E1558" s="149"/>
      <c r="F1558" s="56"/>
      <c r="G1558" s="150"/>
      <c r="H1558" s="59">
        <f t="shared" si="63"/>
        <v>0</v>
      </c>
      <c r="I1558" s="145"/>
    </row>
    <row r="1559" ht="22.5" customHeight="1">
      <c r="A1559" s="147"/>
      <c r="B1559" s="131"/>
      <c r="C1559" s="148"/>
      <c r="D1559" s="51"/>
      <c r="E1559" s="149"/>
      <c r="F1559" s="56"/>
      <c r="G1559" s="150"/>
      <c r="H1559" s="59">
        <f t="shared" si="63"/>
        <v>0</v>
      </c>
      <c r="I1559" s="145"/>
    </row>
    <row r="1560" ht="22.5" customHeight="1">
      <c r="A1560" s="147"/>
      <c r="B1560" s="131"/>
      <c r="C1560" s="148"/>
      <c r="D1560" s="51"/>
      <c r="E1560" s="149"/>
      <c r="F1560" s="56"/>
      <c r="G1560" s="150"/>
      <c r="H1560" s="59">
        <f t="shared" si="63"/>
        <v>0</v>
      </c>
      <c r="I1560" s="145"/>
    </row>
    <row r="1561" ht="22.5" customHeight="1">
      <c r="A1561" s="147"/>
      <c r="B1561" s="131"/>
      <c r="C1561" s="148"/>
      <c r="D1561" s="51"/>
      <c r="E1561" s="149"/>
      <c r="F1561" s="56"/>
      <c r="G1561" s="150"/>
      <c r="H1561" s="59">
        <f t="shared" si="63"/>
        <v>0</v>
      </c>
      <c r="I1561" s="145"/>
    </row>
    <row r="1562" ht="22.5" customHeight="1">
      <c r="A1562" s="147"/>
      <c r="B1562" s="131"/>
      <c r="C1562" s="148"/>
      <c r="D1562" s="51"/>
      <c r="E1562" s="149"/>
      <c r="F1562" s="56"/>
      <c r="G1562" s="150"/>
      <c r="H1562" s="59">
        <f t="shared" si="63"/>
        <v>0</v>
      </c>
      <c r="I1562" s="145"/>
    </row>
    <row r="1563" ht="22.5" customHeight="1">
      <c r="A1563" s="147"/>
      <c r="B1563" s="131"/>
      <c r="C1563" s="148"/>
      <c r="D1563" s="51"/>
      <c r="E1563" s="149"/>
      <c r="F1563" s="56"/>
      <c r="G1563" s="150"/>
      <c r="H1563" s="59">
        <f t="shared" si="63"/>
        <v>0</v>
      </c>
      <c r="I1563" s="145"/>
    </row>
    <row r="1564" ht="22.5" customHeight="1">
      <c r="A1564" s="147"/>
      <c r="B1564" s="131"/>
      <c r="C1564" s="148"/>
      <c r="D1564" s="51"/>
      <c r="E1564" s="149"/>
      <c r="F1564" s="56"/>
      <c r="G1564" s="150"/>
      <c r="H1564" s="59">
        <f t="shared" si="63"/>
        <v>0</v>
      </c>
      <c r="I1564" s="145"/>
    </row>
    <row r="1565" ht="22.5" customHeight="1">
      <c r="A1565" s="147"/>
      <c r="B1565" s="131"/>
      <c r="C1565" s="148"/>
      <c r="D1565" s="51"/>
      <c r="E1565" s="149"/>
      <c r="F1565" s="56"/>
      <c r="G1565" s="150"/>
      <c r="H1565" s="59">
        <f t="shared" si="63"/>
        <v>0</v>
      </c>
      <c r="I1565" s="145"/>
    </row>
    <row r="1566" ht="22.5" customHeight="1">
      <c r="A1566" s="147"/>
      <c r="B1566" s="131"/>
      <c r="C1566" s="148"/>
      <c r="D1566" s="51"/>
      <c r="E1566" s="149"/>
      <c r="F1566" s="56"/>
      <c r="G1566" s="150"/>
      <c r="H1566" s="59">
        <f t="shared" si="63"/>
        <v>0</v>
      </c>
      <c r="I1566" s="145"/>
    </row>
    <row r="1567" ht="22.5" customHeight="1">
      <c r="A1567" s="147"/>
      <c r="B1567" s="131"/>
      <c r="C1567" s="148"/>
      <c r="D1567" s="51"/>
      <c r="E1567" s="149"/>
      <c r="F1567" s="56"/>
      <c r="G1567" s="150"/>
      <c r="H1567" s="59">
        <f t="shared" si="63"/>
        <v>0</v>
      </c>
      <c r="I1567" s="145"/>
    </row>
    <row r="1568" ht="22.5" customHeight="1">
      <c r="A1568" s="147"/>
      <c r="B1568" s="131"/>
      <c r="C1568" s="148"/>
      <c r="D1568" s="51"/>
      <c r="E1568" s="149"/>
      <c r="F1568" s="56"/>
      <c r="G1568" s="150"/>
      <c r="H1568" s="59">
        <f t="shared" si="63"/>
        <v>0</v>
      </c>
      <c r="I1568" s="145"/>
    </row>
    <row r="1569" ht="22.5" customHeight="1">
      <c r="A1569" s="147"/>
      <c r="B1569" s="131"/>
      <c r="C1569" s="148"/>
      <c r="D1569" s="51"/>
      <c r="E1569" s="149"/>
      <c r="F1569" s="56"/>
      <c r="G1569" s="150"/>
      <c r="H1569" s="59">
        <f t="shared" si="63"/>
        <v>0</v>
      </c>
      <c r="I1569" s="145"/>
    </row>
    <row r="1570" ht="22.5" customHeight="1">
      <c r="A1570" s="147"/>
      <c r="B1570" s="131"/>
      <c r="C1570" s="148"/>
      <c r="D1570" s="51"/>
      <c r="E1570" s="149"/>
      <c r="F1570" s="56"/>
      <c r="G1570" s="150"/>
      <c r="H1570" s="59">
        <f t="shared" si="63"/>
        <v>0</v>
      </c>
      <c r="I1570" s="145"/>
    </row>
    <row r="1571" ht="22.5" customHeight="1">
      <c r="A1571" s="147"/>
      <c r="B1571" s="131"/>
      <c r="C1571" s="148"/>
      <c r="D1571" s="51"/>
      <c r="E1571" s="149"/>
      <c r="F1571" s="56"/>
      <c r="G1571" s="150"/>
      <c r="H1571" s="59">
        <f t="shared" si="63"/>
        <v>0</v>
      </c>
      <c r="I1571" s="145"/>
    </row>
    <row r="1572" ht="22.5" customHeight="1">
      <c r="A1572" s="147"/>
      <c r="B1572" s="131"/>
      <c r="C1572" s="148"/>
      <c r="D1572" s="51"/>
      <c r="E1572" s="149"/>
      <c r="F1572" s="56"/>
      <c r="G1572" s="150"/>
      <c r="H1572" s="59">
        <f t="shared" si="63"/>
        <v>0</v>
      </c>
      <c r="I1572" s="145"/>
    </row>
    <row r="1573" ht="22.5" customHeight="1">
      <c r="A1573" s="147"/>
      <c r="B1573" s="131"/>
      <c r="C1573" s="148"/>
      <c r="D1573" s="51"/>
      <c r="E1573" s="149"/>
      <c r="F1573" s="56"/>
      <c r="G1573" s="150"/>
      <c r="H1573" s="59">
        <f t="shared" si="63"/>
        <v>0</v>
      </c>
      <c r="I1573" s="145"/>
    </row>
    <row r="1574" ht="22.5" customHeight="1">
      <c r="A1574" s="147"/>
      <c r="B1574" s="131"/>
      <c r="C1574" s="148"/>
      <c r="D1574" s="51"/>
      <c r="E1574" s="149"/>
      <c r="F1574" s="56"/>
      <c r="G1574" s="150"/>
      <c r="H1574" s="59">
        <f t="shared" si="63"/>
        <v>0</v>
      </c>
      <c r="I1574" s="145"/>
    </row>
    <row r="1575" ht="22.5" customHeight="1">
      <c r="A1575" s="147"/>
      <c r="B1575" s="131"/>
      <c r="C1575" s="148"/>
      <c r="D1575" s="51"/>
      <c r="E1575" s="149"/>
      <c r="F1575" s="56"/>
      <c r="G1575" s="150"/>
      <c r="H1575" s="59">
        <f t="shared" si="63"/>
        <v>0</v>
      </c>
      <c r="I1575" s="145"/>
    </row>
    <row r="1576" ht="22.5" customHeight="1">
      <c r="A1576" s="147"/>
      <c r="B1576" s="131"/>
      <c r="C1576" s="148"/>
      <c r="D1576" s="51"/>
      <c r="E1576" s="149"/>
      <c r="F1576" s="56"/>
      <c r="G1576" s="150"/>
      <c r="H1576" s="59">
        <f t="shared" si="63"/>
        <v>0</v>
      </c>
      <c r="I1576" s="145"/>
    </row>
    <row r="1577" ht="22.5" customHeight="1">
      <c r="A1577" s="147"/>
      <c r="B1577" s="131"/>
      <c r="C1577" s="148"/>
      <c r="D1577" s="51"/>
      <c r="E1577" s="149"/>
      <c r="F1577" s="56"/>
      <c r="G1577" s="150"/>
      <c r="H1577" s="59">
        <f t="shared" si="63"/>
        <v>0</v>
      </c>
      <c r="I1577" s="145"/>
    </row>
    <row r="1578" ht="22.5" customHeight="1">
      <c r="A1578" s="147"/>
      <c r="B1578" s="131"/>
      <c r="C1578" s="148"/>
      <c r="D1578" s="51"/>
      <c r="E1578" s="149"/>
      <c r="F1578" s="56"/>
      <c r="G1578" s="150"/>
      <c r="H1578" s="59">
        <f t="shared" si="63"/>
        <v>0</v>
      </c>
      <c r="I1578" s="145"/>
    </row>
    <row r="1579" ht="22.5" customHeight="1">
      <c r="A1579" s="147"/>
      <c r="B1579" s="131"/>
      <c r="C1579" s="148"/>
      <c r="D1579" s="51"/>
      <c r="E1579" s="149"/>
      <c r="F1579" s="56"/>
      <c r="G1579" s="150"/>
      <c r="H1579" s="59">
        <f t="shared" si="63"/>
        <v>0</v>
      </c>
      <c r="I1579" s="145"/>
    </row>
    <row r="1580" ht="22.5" customHeight="1">
      <c r="A1580" s="147"/>
      <c r="B1580" s="131"/>
      <c r="C1580" s="148"/>
      <c r="D1580" s="51"/>
      <c r="E1580" s="149"/>
      <c r="F1580" s="56"/>
      <c r="G1580" s="150"/>
      <c r="H1580" s="59">
        <f t="shared" si="63"/>
        <v>0</v>
      </c>
      <c r="I1580" s="145"/>
    </row>
    <row r="1581" ht="22.5" customHeight="1">
      <c r="A1581" s="147"/>
      <c r="B1581" s="131"/>
      <c r="C1581" s="148"/>
      <c r="D1581" s="51"/>
      <c r="E1581" s="149"/>
      <c r="F1581" s="56"/>
      <c r="G1581" s="150"/>
      <c r="H1581" s="59">
        <f t="shared" si="63"/>
        <v>0</v>
      </c>
      <c r="I1581" s="145"/>
    </row>
    <row r="1582" ht="22.5" customHeight="1">
      <c r="A1582" s="147"/>
      <c r="B1582" s="131"/>
      <c r="C1582" s="148"/>
      <c r="D1582" s="51"/>
      <c r="E1582" s="149"/>
      <c r="F1582" s="56"/>
      <c r="G1582" s="150"/>
      <c r="H1582" s="59">
        <f t="shared" si="63"/>
        <v>0</v>
      </c>
      <c r="I1582" s="145"/>
    </row>
    <row r="1583" ht="22.5" customHeight="1">
      <c r="A1583" s="147"/>
      <c r="B1583" s="131"/>
      <c r="C1583" s="148"/>
      <c r="D1583" s="51"/>
      <c r="E1583" s="149"/>
      <c r="F1583" s="56"/>
      <c r="G1583" s="150"/>
      <c r="H1583" s="59">
        <f t="shared" si="63"/>
        <v>0</v>
      </c>
      <c r="I1583" s="145"/>
    </row>
    <row r="1584" ht="22.5" customHeight="1">
      <c r="A1584" s="147"/>
      <c r="B1584" s="131"/>
      <c r="C1584" s="148"/>
      <c r="D1584" s="51"/>
      <c r="E1584" s="149"/>
      <c r="F1584" s="56"/>
      <c r="G1584" s="150"/>
      <c r="H1584" s="59">
        <f t="shared" si="63"/>
        <v>0</v>
      </c>
      <c r="I1584" s="145"/>
    </row>
    <row r="1585" ht="22.5" customHeight="1">
      <c r="A1585" s="147"/>
      <c r="B1585" s="131"/>
      <c r="C1585" s="148"/>
      <c r="D1585" s="51"/>
      <c r="E1585" s="149"/>
      <c r="F1585" s="56"/>
      <c r="G1585" s="150"/>
      <c r="H1585" s="59">
        <f t="shared" si="63"/>
        <v>0</v>
      </c>
      <c r="I1585" s="145"/>
    </row>
    <row r="1586" ht="22.5" customHeight="1">
      <c r="A1586" s="147"/>
      <c r="B1586" s="131"/>
      <c r="C1586" s="148"/>
      <c r="D1586" s="51"/>
      <c r="E1586" s="149"/>
      <c r="F1586" s="56"/>
      <c r="G1586" s="150"/>
      <c r="H1586" s="59">
        <f t="shared" si="63"/>
        <v>0</v>
      </c>
      <c r="I1586" s="145"/>
    </row>
    <row r="1587" ht="22.5" customHeight="1">
      <c r="A1587" s="147"/>
      <c r="B1587" s="131"/>
      <c r="C1587" s="148"/>
      <c r="D1587" s="51"/>
      <c r="E1587" s="149"/>
      <c r="F1587" s="56"/>
      <c r="G1587" s="150"/>
      <c r="H1587" s="59">
        <f t="shared" si="63"/>
        <v>0</v>
      </c>
      <c r="I1587" s="145"/>
    </row>
    <row r="1588" ht="22.5" customHeight="1">
      <c r="A1588" s="147"/>
      <c r="B1588" s="131"/>
      <c r="C1588" s="148"/>
      <c r="D1588" s="51"/>
      <c r="E1588" s="149"/>
      <c r="F1588" s="56"/>
      <c r="G1588" s="150"/>
      <c r="H1588" s="59">
        <f t="shared" si="63"/>
        <v>0</v>
      </c>
      <c r="I1588" s="145"/>
    </row>
    <row r="1589" ht="22.5" customHeight="1">
      <c r="A1589" s="147"/>
      <c r="B1589" s="131"/>
      <c r="C1589" s="148"/>
      <c r="D1589" s="51"/>
      <c r="E1589" s="149"/>
      <c r="F1589" s="56"/>
      <c r="G1589" s="150"/>
      <c r="H1589" s="59">
        <f t="shared" si="63"/>
        <v>0</v>
      </c>
      <c r="I1589" s="145"/>
    </row>
    <row r="1590" ht="22.5" customHeight="1">
      <c r="A1590" s="147"/>
      <c r="B1590" s="131"/>
      <c r="C1590" s="148"/>
      <c r="D1590" s="51"/>
      <c r="E1590" s="149"/>
      <c r="F1590" s="56"/>
      <c r="G1590" s="150"/>
      <c r="H1590" s="59">
        <f t="shared" si="63"/>
        <v>0</v>
      </c>
      <c r="I1590" s="145"/>
    </row>
    <row r="1591" ht="22.5" customHeight="1">
      <c r="A1591" s="147"/>
      <c r="B1591" s="131"/>
      <c r="C1591" s="148"/>
      <c r="D1591" s="51"/>
      <c r="E1591" s="149"/>
      <c r="F1591" s="56"/>
      <c r="G1591" s="150"/>
      <c r="H1591" s="59">
        <f t="shared" si="63"/>
        <v>0</v>
      </c>
      <c r="I1591" s="145"/>
    </row>
    <row r="1592" ht="22.5" customHeight="1">
      <c r="A1592" s="147"/>
      <c r="B1592" s="131"/>
      <c r="C1592" s="148"/>
      <c r="D1592" s="51"/>
      <c r="E1592" s="149"/>
      <c r="F1592" s="56"/>
      <c r="G1592" s="150"/>
      <c r="H1592" s="59">
        <f t="shared" si="63"/>
        <v>0</v>
      </c>
      <c r="I1592" s="145"/>
    </row>
    <row r="1593" ht="22.5" customHeight="1">
      <c r="A1593" s="147"/>
      <c r="B1593" s="131"/>
      <c r="C1593" s="148"/>
      <c r="D1593" s="51"/>
      <c r="E1593" s="149"/>
      <c r="F1593" s="56"/>
      <c r="G1593" s="150"/>
      <c r="H1593" s="59">
        <f t="shared" si="63"/>
        <v>0</v>
      </c>
      <c r="I1593" s="145"/>
    </row>
    <row r="1594" ht="22.5" customHeight="1">
      <c r="A1594" s="147"/>
      <c r="B1594" s="131"/>
      <c r="C1594" s="148"/>
      <c r="D1594" s="51"/>
      <c r="E1594" s="149"/>
      <c r="F1594" s="56"/>
      <c r="G1594" s="150"/>
      <c r="H1594" s="59">
        <f t="shared" si="63"/>
        <v>0</v>
      </c>
      <c r="I1594" s="145"/>
    </row>
    <row r="1595" ht="22.5" customHeight="1">
      <c r="A1595" s="147"/>
      <c r="B1595" s="131"/>
      <c r="C1595" s="148"/>
      <c r="D1595" s="51"/>
      <c r="E1595" s="149"/>
      <c r="F1595" s="56"/>
      <c r="G1595" s="150"/>
      <c r="H1595" s="59">
        <f t="shared" si="63"/>
        <v>0</v>
      </c>
      <c r="I1595" s="145"/>
    </row>
    <row r="1596" ht="22.5" customHeight="1">
      <c r="A1596" s="147"/>
      <c r="B1596" s="131"/>
      <c r="C1596" s="148"/>
      <c r="D1596" s="51"/>
      <c r="E1596" s="149"/>
      <c r="F1596" s="56"/>
      <c r="G1596" s="150"/>
      <c r="H1596" s="59">
        <f t="shared" si="63"/>
        <v>0</v>
      </c>
      <c r="I1596" s="145"/>
    </row>
    <row r="1597" ht="22.5" customHeight="1">
      <c r="A1597" s="147"/>
      <c r="B1597" s="131"/>
      <c r="C1597" s="148"/>
      <c r="D1597" s="51"/>
      <c r="E1597" s="149"/>
      <c r="F1597" s="56"/>
      <c r="G1597" s="150"/>
      <c r="H1597" s="59">
        <f t="shared" si="63"/>
        <v>0</v>
      </c>
      <c r="I1597" s="145"/>
    </row>
    <row r="1598" ht="22.5" customHeight="1">
      <c r="A1598" s="147"/>
      <c r="B1598" s="131"/>
      <c r="C1598" s="148"/>
      <c r="D1598" s="51"/>
      <c r="E1598" s="149"/>
      <c r="F1598" s="56"/>
      <c r="G1598" s="150"/>
      <c r="H1598" s="59">
        <f t="shared" si="63"/>
        <v>0</v>
      </c>
      <c r="I1598" s="145"/>
    </row>
    <row r="1599" ht="22.5" customHeight="1">
      <c r="A1599" s="147"/>
      <c r="B1599" s="131"/>
      <c r="C1599" s="148"/>
      <c r="D1599" s="51"/>
      <c r="E1599" s="149"/>
      <c r="F1599" s="56"/>
      <c r="G1599" s="150"/>
      <c r="H1599" s="59">
        <f t="shared" si="63"/>
        <v>0</v>
      </c>
      <c r="I1599" s="145"/>
    </row>
    <row r="1600" ht="22.5" customHeight="1">
      <c r="A1600" s="147"/>
      <c r="B1600" s="131"/>
      <c r="C1600" s="148"/>
      <c r="D1600" s="51"/>
      <c r="E1600" s="149"/>
      <c r="F1600" s="56"/>
      <c r="G1600" s="150"/>
      <c r="H1600" s="59">
        <f t="shared" si="63"/>
        <v>0</v>
      </c>
      <c r="I1600" s="145"/>
    </row>
    <row r="1601" ht="22.5" customHeight="1">
      <c r="A1601" s="147"/>
      <c r="B1601" s="131"/>
      <c r="C1601" s="148"/>
      <c r="D1601" s="51"/>
      <c r="E1601" s="149"/>
      <c r="F1601" s="56"/>
      <c r="G1601" s="150"/>
      <c r="H1601" s="59">
        <f t="shared" si="63"/>
        <v>0</v>
      </c>
      <c r="I1601" s="145"/>
    </row>
    <row r="1602" ht="22.5" customHeight="1">
      <c r="A1602" s="147"/>
      <c r="B1602" s="131"/>
      <c r="C1602" s="148"/>
      <c r="D1602" s="51"/>
      <c r="E1602" s="149"/>
      <c r="F1602" s="56"/>
      <c r="G1602" s="150"/>
      <c r="H1602" s="59">
        <f t="shared" si="63"/>
        <v>0</v>
      </c>
      <c r="I1602" s="145"/>
    </row>
    <row r="1603" ht="22.5" customHeight="1">
      <c r="A1603" s="147"/>
      <c r="B1603" s="131"/>
      <c r="C1603" s="148"/>
      <c r="D1603" s="51"/>
      <c r="E1603" s="149"/>
      <c r="F1603" s="56"/>
      <c r="G1603" s="150"/>
      <c r="H1603" s="59">
        <f t="shared" si="63"/>
        <v>0</v>
      </c>
      <c r="I1603" s="145"/>
    </row>
    <row r="1604" ht="22.5" customHeight="1">
      <c r="A1604" s="147"/>
      <c r="B1604" s="131"/>
      <c r="C1604" s="148"/>
      <c r="D1604" s="51"/>
      <c r="E1604" s="149"/>
      <c r="F1604" s="56"/>
      <c r="G1604" s="150"/>
      <c r="H1604" s="59">
        <f t="shared" si="63"/>
        <v>0</v>
      </c>
      <c r="I1604" s="145"/>
    </row>
    <row r="1605" ht="22.5" customHeight="1">
      <c r="A1605" s="147"/>
      <c r="B1605" s="131"/>
      <c r="C1605" s="148"/>
      <c r="D1605" s="51"/>
      <c r="E1605" s="149"/>
      <c r="F1605" s="56"/>
      <c r="G1605" s="150"/>
      <c r="H1605" s="59">
        <f t="shared" si="63"/>
        <v>0</v>
      </c>
      <c r="I1605" s="145"/>
    </row>
    <row r="1606" ht="22.5" customHeight="1">
      <c r="A1606" s="147"/>
      <c r="B1606" s="131"/>
      <c r="C1606" s="148"/>
      <c r="D1606" s="51"/>
      <c r="E1606" s="149"/>
      <c r="F1606" s="56"/>
      <c r="G1606" s="150"/>
      <c r="H1606" s="59">
        <f t="shared" si="63"/>
        <v>0</v>
      </c>
      <c r="I1606" s="145"/>
    </row>
    <row r="1607" ht="22.5" customHeight="1">
      <c r="A1607" s="147"/>
      <c r="B1607" s="131"/>
      <c r="C1607" s="148"/>
      <c r="D1607" s="51"/>
      <c r="E1607" s="149"/>
      <c r="F1607" s="56"/>
      <c r="G1607" s="150"/>
      <c r="H1607" s="59">
        <f t="shared" si="63"/>
        <v>0</v>
      </c>
      <c r="I1607" s="145"/>
    </row>
    <row r="1608" ht="22.5" customHeight="1">
      <c r="A1608" s="147"/>
      <c r="B1608" s="131"/>
      <c r="C1608" s="148"/>
      <c r="D1608" s="51"/>
      <c r="E1608" s="149"/>
      <c r="F1608" s="56"/>
      <c r="G1608" s="150"/>
      <c r="H1608" s="59">
        <f t="shared" si="63"/>
        <v>0</v>
      </c>
      <c r="I1608" s="145"/>
    </row>
    <row r="1609" ht="22.5" customHeight="1">
      <c r="A1609" s="147"/>
      <c r="B1609" s="131"/>
      <c r="C1609" s="148"/>
      <c r="D1609" s="51"/>
      <c r="E1609" s="149"/>
      <c r="F1609" s="56"/>
      <c r="G1609" s="150"/>
      <c r="H1609" s="59">
        <f t="shared" si="63"/>
        <v>0</v>
      </c>
      <c r="I1609" s="145"/>
    </row>
    <row r="1610" ht="22.5" customHeight="1">
      <c r="A1610" s="147"/>
      <c r="B1610" s="131"/>
      <c r="C1610" s="148"/>
      <c r="D1610" s="51"/>
      <c r="E1610" s="149"/>
      <c r="F1610" s="56"/>
      <c r="G1610" s="150"/>
      <c r="H1610" s="59">
        <f t="shared" si="63"/>
        <v>0</v>
      </c>
      <c r="I1610" s="145"/>
    </row>
    <row r="1611" ht="22.5" customHeight="1">
      <c r="A1611" s="147"/>
      <c r="B1611" s="131"/>
      <c r="C1611" s="148"/>
      <c r="D1611" s="51"/>
      <c r="E1611" s="149"/>
      <c r="F1611" s="56"/>
      <c r="G1611" s="150"/>
      <c r="H1611" s="59">
        <f t="shared" si="63"/>
        <v>0</v>
      </c>
      <c r="I1611" s="145"/>
    </row>
    <row r="1612" ht="22.5" customHeight="1">
      <c r="A1612" s="147"/>
      <c r="B1612" s="131"/>
      <c r="C1612" s="148"/>
      <c r="D1612" s="51"/>
      <c r="E1612" s="149"/>
      <c r="F1612" s="56"/>
      <c r="G1612" s="150"/>
      <c r="H1612" s="59">
        <f t="shared" si="63"/>
        <v>0</v>
      </c>
      <c r="I1612" s="145"/>
    </row>
    <row r="1613" ht="22.5" customHeight="1">
      <c r="A1613" s="147"/>
      <c r="B1613" s="131"/>
      <c r="C1613" s="148"/>
      <c r="D1613" s="51"/>
      <c r="E1613" s="149"/>
      <c r="F1613" s="56"/>
      <c r="G1613" s="150"/>
      <c r="H1613" s="59">
        <f t="shared" si="63"/>
        <v>0</v>
      </c>
      <c r="I1613" s="145"/>
    </row>
    <row r="1614" ht="22.5" customHeight="1">
      <c r="A1614" s="147"/>
      <c r="B1614" s="131"/>
      <c r="C1614" s="148"/>
      <c r="D1614" s="51"/>
      <c r="E1614" s="149"/>
      <c r="F1614" s="56"/>
      <c r="G1614" s="150"/>
      <c r="H1614" s="59">
        <f t="shared" si="63"/>
        <v>0</v>
      </c>
      <c r="I1614" s="145"/>
    </row>
    <row r="1615" ht="22.5" customHeight="1">
      <c r="A1615" s="147"/>
      <c r="B1615" s="131"/>
      <c r="C1615" s="148"/>
      <c r="D1615" s="51"/>
      <c r="E1615" s="149"/>
      <c r="F1615" s="56"/>
      <c r="G1615" s="150"/>
      <c r="H1615" s="59">
        <f t="shared" si="63"/>
        <v>0</v>
      </c>
      <c r="I1615" s="145"/>
    </row>
    <row r="1616" ht="22.5" customHeight="1">
      <c r="A1616" s="147"/>
      <c r="B1616" s="131"/>
      <c r="C1616" s="148"/>
      <c r="D1616" s="51"/>
      <c r="E1616" s="149"/>
      <c r="F1616" s="56"/>
      <c r="G1616" s="150"/>
      <c r="H1616" s="59">
        <f t="shared" si="63"/>
        <v>0</v>
      </c>
      <c r="I1616" s="145"/>
    </row>
    <row r="1617" ht="22.5" customHeight="1">
      <c r="A1617" s="147"/>
      <c r="B1617" s="131"/>
      <c r="C1617" s="148"/>
      <c r="D1617" s="51"/>
      <c r="E1617" s="149"/>
      <c r="F1617" s="56"/>
      <c r="G1617" s="150"/>
      <c r="H1617" s="59">
        <f t="shared" si="63"/>
        <v>0</v>
      </c>
      <c r="I1617" s="145"/>
    </row>
    <row r="1618" ht="22.5" customHeight="1">
      <c r="A1618" s="147"/>
      <c r="B1618" s="131"/>
      <c r="C1618" s="148"/>
      <c r="D1618" s="51"/>
      <c r="E1618" s="149"/>
      <c r="F1618" s="56"/>
      <c r="G1618" s="150"/>
      <c r="H1618" s="59">
        <f t="shared" si="63"/>
        <v>0</v>
      </c>
      <c r="I1618" s="145"/>
    </row>
    <row r="1619" ht="22.5" customHeight="1">
      <c r="A1619" s="147"/>
      <c r="B1619" s="131"/>
      <c r="C1619" s="148"/>
      <c r="D1619" s="51"/>
      <c r="E1619" s="149"/>
      <c r="F1619" s="56"/>
      <c r="G1619" s="150"/>
      <c r="H1619" s="59">
        <f t="shared" si="63"/>
        <v>0</v>
      </c>
      <c r="I1619" s="145"/>
    </row>
    <row r="1620" ht="22.5" customHeight="1">
      <c r="A1620" s="147"/>
      <c r="B1620" s="131"/>
      <c r="C1620" s="148"/>
      <c r="D1620" s="51"/>
      <c r="E1620" s="149"/>
      <c r="F1620" s="56"/>
      <c r="G1620" s="150"/>
      <c r="H1620" s="59">
        <f t="shared" si="63"/>
        <v>0</v>
      </c>
      <c r="I1620" s="145"/>
    </row>
    <row r="1621" ht="22.5" customHeight="1">
      <c r="A1621" s="147"/>
      <c r="B1621" s="131"/>
      <c r="C1621" s="148"/>
      <c r="D1621" s="51"/>
      <c r="E1621" s="149"/>
      <c r="F1621" s="56"/>
      <c r="G1621" s="150"/>
      <c r="H1621" s="59">
        <f t="shared" si="63"/>
        <v>0</v>
      </c>
      <c r="I1621" s="145"/>
    </row>
    <row r="1622" ht="22.5" customHeight="1">
      <c r="A1622" s="147"/>
      <c r="B1622" s="131"/>
      <c r="C1622" s="148"/>
      <c r="D1622" s="51"/>
      <c r="E1622" s="149"/>
      <c r="F1622" s="56"/>
      <c r="G1622" s="150"/>
      <c r="H1622" s="59">
        <f t="shared" si="63"/>
        <v>0</v>
      </c>
      <c r="I1622" s="145"/>
    </row>
    <row r="1623" ht="22.5" customHeight="1">
      <c r="A1623" s="147"/>
      <c r="B1623" s="131"/>
      <c r="C1623" s="148"/>
      <c r="D1623" s="51"/>
      <c r="E1623" s="149"/>
      <c r="F1623" s="56"/>
      <c r="G1623" s="150"/>
      <c r="H1623" s="59">
        <f t="shared" si="63"/>
        <v>0</v>
      </c>
      <c r="I1623" s="145"/>
    </row>
    <row r="1624" ht="22.5" customHeight="1">
      <c r="A1624" s="147"/>
      <c r="B1624" s="131"/>
      <c r="C1624" s="148"/>
      <c r="D1624" s="51"/>
      <c r="E1624" s="149"/>
      <c r="F1624" s="56"/>
      <c r="G1624" s="150"/>
      <c r="H1624" s="59">
        <f t="shared" si="63"/>
        <v>0</v>
      </c>
      <c r="I1624" s="145"/>
    </row>
    <row r="1625" ht="22.5" customHeight="1">
      <c r="A1625" s="147"/>
      <c r="B1625" s="131"/>
      <c r="C1625" s="148"/>
      <c r="D1625" s="51"/>
      <c r="E1625" s="149"/>
      <c r="F1625" s="56"/>
      <c r="G1625" s="150"/>
      <c r="H1625" s="59">
        <f t="shared" si="63"/>
        <v>0</v>
      </c>
      <c r="I1625" s="145"/>
    </row>
    <row r="1626" ht="22.5" customHeight="1">
      <c r="A1626" s="147"/>
      <c r="B1626" s="131"/>
      <c r="C1626" s="148"/>
      <c r="D1626" s="51"/>
      <c r="E1626" s="149"/>
      <c r="F1626" s="56"/>
      <c r="G1626" s="150"/>
      <c r="H1626" s="59">
        <f t="shared" si="63"/>
        <v>0</v>
      </c>
      <c r="I1626" s="145"/>
    </row>
    <row r="1627" ht="22.5" customHeight="1">
      <c r="A1627" s="147"/>
      <c r="B1627" s="131"/>
      <c r="C1627" s="148"/>
      <c r="D1627" s="51"/>
      <c r="E1627" s="149"/>
      <c r="F1627" s="56"/>
      <c r="G1627" s="150"/>
      <c r="H1627" s="59">
        <f t="shared" si="63"/>
        <v>0</v>
      </c>
      <c r="I1627" s="145"/>
    </row>
    <row r="1628" ht="22.5" customHeight="1">
      <c r="A1628" s="147"/>
      <c r="B1628" s="131"/>
      <c r="C1628" s="148"/>
      <c r="D1628" s="51"/>
      <c r="E1628" s="149"/>
      <c r="F1628" s="56"/>
      <c r="G1628" s="150"/>
      <c r="H1628" s="59">
        <f t="shared" si="63"/>
        <v>0</v>
      </c>
      <c r="I1628" s="145"/>
    </row>
    <row r="1629" ht="22.5" customHeight="1">
      <c r="A1629" s="147"/>
      <c r="B1629" s="131"/>
      <c r="C1629" s="148"/>
      <c r="D1629" s="51"/>
      <c r="E1629" s="149"/>
      <c r="F1629" s="56"/>
      <c r="G1629" s="150"/>
      <c r="H1629" s="59">
        <f t="shared" si="63"/>
        <v>0</v>
      </c>
      <c r="I1629" s="145"/>
    </row>
    <row r="1630" ht="22.5" customHeight="1">
      <c r="A1630" s="147"/>
      <c r="B1630" s="131"/>
      <c r="C1630" s="148"/>
      <c r="D1630" s="51"/>
      <c r="E1630" s="149"/>
      <c r="F1630" s="56"/>
      <c r="G1630" s="150"/>
      <c r="H1630" s="59">
        <f t="shared" si="63"/>
        <v>0</v>
      </c>
      <c r="I1630" s="145"/>
    </row>
    <row r="1631" ht="22.5" customHeight="1">
      <c r="A1631" s="147"/>
      <c r="B1631" s="131"/>
      <c r="C1631" s="148"/>
      <c r="D1631" s="51"/>
      <c r="E1631" s="149"/>
      <c r="F1631" s="56"/>
      <c r="G1631" s="150"/>
      <c r="H1631" s="59">
        <f t="shared" si="63"/>
        <v>0</v>
      </c>
      <c r="I1631" s="145"/>
    </row>
    <row r="1632" ht="22.5" customHeight="1">
      <c r="A1632" s="147"/>
      <c r="B1632" s="131"/>
      <c r="C1632" s="148"/>
      <c r="D1632" s="51"/>
      <c r="E1632" s="149"/>
      <c r="F1632" s="56"/>
      <c r="G1632" s="150"/>
      <c r="H1632" s="59">
        <f t="shared" si="63"/>
        <v>0</v>
      </c>
      <c r="I1632" s="145"/>
    </row>
    <row r="1633" ht="22.5" customHeight="1">
      <c r="A1633" s="147"/>
      <c r="B1633" s="131"/>
      <c r="C1633" s="148"/>
      <c r="D1633" s="51"/>
      <c r="E1633" s="149"/>
      <c r="F1633" s="56"/>
      <c r="G1633" s="150"/>
      <c r="H1633" s="59">
        <f t="shared" si="63"/>
        <v>0</v>
      </c>
      <c r="I1633" s="145"/>
    </row>
    <row r="1634" ht="22.5" customHeight="1">
      <c r="A1634" s="147"/>
      <c r="B1634" s="131"/>
      <c r="C1634" s="148"/>
      <c r="D1634" s="51"/>
      <c r="E1634" s="149"/>
      <c r="F1634" s="56"/>
      <c r="G1634" s="150"/>
      <c r="H1634" s="59">
        <f t="shared" si="63"/>
        <v>0</v>
      </c>
      <c r="I1634" s="145"/>
    </row>
    <row r="1635" ht="22.5" customHeight="1">
      <c r="A1635" s="147"/>
      <c r="B1635" s="131"/>
      <c r="C1635" s="148"/>
      <c r="D1635" s="51"/>
      <c r="E1635" s="149"/>
      <c r="F1635" s="56"/>
      <c r="G1635" s="150"/>
      <c r="H1635" s="59">
        <f t="shared" si="63"/>
        <v>0</v>
      </c>
      <c r="I1635" s="145"/>
    </row>
    <row r="1636" ht="22.5" customHeight="1">
      <c r="A1636" s="147"/>
      <c r="B1636" s="131"/>
      <c r="C1636" s="148"/>
      <c r="D1636" s="51"/>
      <c r="E1636" s="149"/>
      <c r="F1636" s="56"/>
      <c r="G1636" s="150"/>
      <c r="H1636" s="59">
        <f t="shared" si="63"/>
        <v>0</v>
      </c>
      <c r="I1636" s="145"/>
    </row>
    <row r="1637" ht="22.5" customHeight="1">
      <c r="A1637" s="147"/>
      <c r="B1637" s="131"/>
      <c r="C1637" s="148"/>
      <c r="D1637" s="51"/>
      <c r="E1637" s="149"/>
      <c r="F1637" s="56"/>
      <c r="G1637" s="150"/>
      <c r="H1637" s="59">
        <f t="shared" si="63"/>
        <v>0</v>
      </c>
      <c r="I1637" s="145"/>
    </row>
    <row r="1638" ht="22.5" customHeight="1">
      <c r="A1638" s="147"/>
      <c r="B1638" s="131"/>
      <c r="C1638" s="148"/>
      <c r="D1638" s="51"/>
      <c r="E1638" s="149"/>
      <c r="F1638" s="56"/>
      <c r="G1638" s="150"/>
      <c r="H1638" s="59">
        <f t="shared" si="63"/>
        <v>0</v>
      </c>
      <c r="I1638" s="145"/>
    </row>
    <row r="1639" ht="22.5" customHeight="1">
      <c r="A1639" s="147"/>
      <c r="B1639" s="131"/>
      <c r="C1639" s="148"/>
      <c r="D1639" s="51"/>
      <c r="E1639" s="149"/>
      <c r="F1639" s="56"/>
      <c r="G1639" s="150"/>
      <c r="H1639" s="59">
        <f t="shared" si="63"/>
        <v>0</v>
      </c>
      <c r="I1639" s="145"/>
    </row>
    <row r="1640" ht="22.5" customHeight="1">
      <c r="A1640" s="147"/>
      <c r="B1640" s="131"/>
      <c r="C1640" s="148"/>
      <c r="D1640" s="51"/>
      <c r="E1640" s="149"/>
      <c r="F1640" s="56"/>
      <c r="G1640" s="150"/>
      <c r="H1640" s="59">
        <f t="shared" si="63"/>
        <v>0</v>
      </c>
      <c r="I1640" s="145"/>
    </row>
    <row r="1641" ht="22.5" customHeight="1">
      <c r="A1641" s="147"/>
      <c r="B1641" s="131"/>
      <c r="C1641" s="148"/>
      <c r="D1641" s="51"/>
      <c r="E1641" s="149"/>
      <c r="F1641" s="56"/>
      <c r="G1641" s="150"/>
      <c r="H1641" s="59">
        <f t="shared" si="63"/>
        <v>0</v>
      </c>
      <c r="I1641" s="145"/>
    </row>
    <row r="1642" ht="22.5" customHeight="1">
      <c r="A1642" s="147"/>
      <c r="B1642" s="131"/>
      <c r="C1642" s="148"/>
      <c r="D1642" s="51"/>
      <c r="E1642" s="149"/>
      <c r="F1642" s="56"/>
      <c r="G1642" s="150"/>
      <c r="H1642" s="59">
        <f t="shared" si="63"/>
        <v>0</v>
      </c>
      <c r="I1642" s="145"/>
    </row>
    <row r="1643" ht="22.5" customHeight="1">
      <c r="A1643" s="147"/>
      <c r="B1643" s="131"/>
      <c r="C1643" s="148"/>
      <c r="D1643" s="51"/>
      <c r="E1643" s="149"/>
      <c r="F1643" s="56"/>
      <c r="G1643" s="150"/>
      <c r="H1643" s="59">
        <f t="shared" si="63"/>
        <v>0</v>
      </c>
      <c r="I1643" s="145"/>
    </row>
    <row r="1644" ht="22.5" customHeight="1">
      <c r="A1644" s="147"/>
      <c r="B1644" s="131"/>
      <c r="C1644" s="148"/>
      <c r="D1644" s="51"/>
      <c r="E1644" s="149"/>
      <c r="F1644" s="56"/>
      <c r="G1644" s="150"/>
      <c r="H1644" s="59">
        <f t="shared" si="63"/>
        <v>0</v>
      </c>
      <c r="I1644" s="145"/>
    </row>
    <row r="1645" ht="22.5" customHeight="1">
      <c r="A1645" s="147"/>
      <c r="B1645" s="131"/>
      <c r="C1645" s="148"/>
      <c r="D1645" s="51"/>
      <c r="E1645" s="149"/>
      <c r="F1645" s="56"/>
      <c r="G1645" s="150"/>
      <c r="H1645" s="59">
        <f t="shared" si="63"/>
        <v>0</v>
      </c>
      <c r="I1645" s="145"/>
    </row>
    <row r="1646" ht="22.5" customHeight="1">
      <c r="A1646" s="147"/>
      <c r="B1646" s="131"/>
      <c r="C1646" s="148"/>
      <c r="D1646" s="51"/>
      <c r="E1646" s="149"/>
      <c r="F1646" s="56"/>
      <c r="G1646" s="150"/>
      <c r="H1646" s="59">
        <f t="shared" si="63"/>
        <v>0</v>
      </c>
      <c r="I1646" s="145"/>
    </row>
    <row r="1647" ht="22.5" customHeight="1">
      <c r="A1647" s="147"/>
      <c r="B1647" s="131"/>
      <c r="C1647" s="148"/>
      <c r="D1647" s="51"/>
      <c r="E1647" s="149"/>
      <c r="F1647" s="56"/>
      <c r="G1647" s="150"/>
      <c r="H1647" s="59">
        <f t="shared" si="63"/>
        <v>0</v>
      </c>
      <c r="I1647" s="145"/>
    </row>
    <row r="1648" ht="22.5" customHeight="1">
      <c r="A1648" s="147"/>
      <c r="B1648" s="131"/>
      <c r="C1648" s="148"/>
      <c r="D1648" s="51"/>
      <c r="E1648" s="149"/>
      <c r="F1648" s="56"/>
      <c r="G1648" s="150"/>
      <c r="H1648" s="59">
        <f t="shared" si="63"/>
        <v>0</v>
      </c>
      <c r="I1648" s="145"/>
    </row>
    <row r="1649" ht="22.5" customHeight="1">
      <c r="A1649" s="147"/>
      <c r="B1649" s="131"/>
      <c r="C1649" s="148"/>
      <c r="D1649" s="51"/>
      <c r="E1649" s="149"/>
      <c r="F1649" s="56"/>
      <c r="G1649" s="150"/>
      <c r="H1649" s="59">
        <f t="shared" si="63"/>
        <v>0</v>
      </c>
      <c r="I1649" s="145"/>
    </row>
    <row r="1650" ht="22.5" customHeight="1">
      <c r="A1650" s="147"/>
      <c r="B1650" s="131"/>
      <c r="C1650" s="148"/>
      <c r="D1650" s="51"/>
      <c r="E1650" s="149"/>
      <c r="F1650" s="56"/>
      <c r="G1650" s="150"/>
      <c r="H1650" s="59">
        <f t="shared" si="63"/>
        <v>0</v>
      </c>
      <c r="I1650" s="145"/>
    </row>
    <row r="1651" ht="22.5" customHeight="1">
      <c r="A1651" s="147"/>
      <c r="B1651" s="131"/>
      <c r="C1651" s="148"/>
      <c r="D1651" s="51"/>
      <c r="E1651" s="149"/>
      <c r="F1651" s="56"/>
      <c r="G1651" s="150"/>
      <c r="H1651" s="59">
        <f t="shared" si="63"/>
        <v>0</v>
      </c>
      <c r="I1651" s="145"/>
    </row>
    <row r="1652" ht="22.5" customHeight="1">
      <c r="A1652" s="147"/>
      <c r="B1652" s="131"/>
      <c r="C1652" s="148"/>
      <c r="D1652" s="51"/>
      <c r="E1652" s="149"/>
      <c r="F1652" s="56"/>
      <c r="G1652" s="150"/>
      <c r="H1652" s="59">
        <f t="shared" si="63"/>
        <v>0</v>
      </c>
      <c r="I1652" s="145"/>
    </row>
    <row r="1653" ht="22.5" customHeight="1">
      <c r="A1653" s="147"/>
      <c r="B1653" s="131"/>
      <c r="C1653" s="148"/>
      <c r="D1653" s="51"/>
      <c r="E1653" s="149"/>
      <c r="F1653" s="56"/>
      <c r="G1653" s="150"/>
      <c r="H1653" s="59">
        <f t="shared" si="63"/>
        <v>0</v>
      </c>
      <c r="I1653" s="145"/>
    </row>
    <row r="1654" ht="22.5" customHeight="1">
      <c r="A1654" s="147"/>
      <c r="B1654" s="131"/>
      <c r="C1654" s="148"/>
      <c r="D1654" s="51"/>
      <c r="E1654" s="149"/>
      <c r="F1654" s="56"/>
      <c r="G1654" s="150"/>
      <c r="H1654" s="59">
        <f t="shared" si="63"/>
        <v>0</v>
      </c>
      <c r="I1654" s="145"/>
    </row>
    <row r="1655" ht="22.5" customHeight="1">
      <c r="A1655" s="147"/>
      <c r="B1655" s="131"/>
      <c r="C1655" s="148"/>
      <c r="D1655" s="51"/>
      <c r="E1655" s="149"/>
      <c r="F1655" s="56"/>
      <c r="G1655" s="150"/>
      <c r="H1655" s="59">
        <f t="shared" si="63"/>
        <v>0</v>
      </c>
      <c r="I1655" s="145"/>
    </row>
    <row r="1656" ht="22.5" customHeight="1">
      <c r="A1656" s="147"/>
      <c r="B1656" s="131"/>
      <c r="C1656" s="148"/>
      <c r="D1656" s="51"/>
      <c r="E1656" s="149"/>
      <c r="F1656" s="56"/>
      <c r="G1656" s="150"/>
      <c r="H1656" s="59">
        <f t="shared" si="63"/>
        <v>0</v>
      </c>
      <c r="I1656" s="145"/>
    </row>
    <row r="1657" ht="22.5" customHeight="1">
      <c r="A1657" s="147"/>
      <c r="B1657" s="131"/>
      <c r="C1657" s="148"/>
      <c r="D1657" s="51"/>
      <c r="E1657" s="149"/>
      <c r="F1657" s="56"/>
      <c r="G1657" s="150"/>
      <c r="H1657" s="59">
        <f t="shared" si="63"/>
        <v>0</v>
      </c>
      <c r="I1657" s="145"/>
    </row>
    <row r="1658" ht="22.5" customHeight="1">
      <c r="A1658" s="147"/>
      <c r="B1658" s="131"/>
      <c r="C1658" s="148"/>
      <c r="D1658" s="51"/>
      <c r="E1658" s="149"/>
      <c r="F1658" s="56"/>
      <c r="G1658" s="150"/>
      <c r="H1658" s="59">
        <f t="shared" si="63"/>
        <v>0</v>
      </c>
      <c r="I1658" s="145"/>
    </row>
    <row r="1659" ht="22.5" customHeight="1">
      <c r="A1659" s="147"/>
      <c r="B1659" s="131"/>
      <c r="C1659" s="148"/>
      <c r="D1659" s="51"/>
      <c r="E1659" s="149"/>
      <c r="F1659" s="56"/>
      <c r="G1659" s="150"/>
      <c r="H1659" s="59">
        <f t="shared" si="63"/>
        <v>0</v>
      </c>
      <c r="I1659" s="145"/>
    </row>
    <row r="1660" ht="22.5" customHeight="1">
      <c r="A1660" s="147"/>
      <c r="B1660" s="131"/>
      <c r="C1660" s="148"/>
      <c r="D1660" s="51"/>
      <c r="E1660" s="149"/>
      <c r="F1660" s="56"/>
      <c r="G1660" s="150"/>
      <c r="H1660" s="59">
        <f t="shared" si="63"/>
        <v>0</v>
      </c>
      <c r="I1660" s="145"/>
    </row>
    <row r="1661" ht="22.5" customHeight="1">
      <c r="A1661" s="147"/>
      <c r="B1661" s="131"/>
      <c r="C1661" s="148"/>
      <c r="D1661" s="51"/>
      <c r="E1661" s="149"/>
      <c r="F1661" s="56"/>
      <c r="G1661" s="150"/>
      <c r="H1661" s="59">
        <f t="shared" si="63"/>
        <v>0</v>
      </c>
      <c r="I1661" s="145"/>
    </row>
    <row r="1662" ht="22.5" customHeight="1">
      <c r="A1662" s="147"/>
      <c r="B1662" s="131"/>
      <c r="C1662" s="148"/>
      <c r="D1662" s="51"/>
      <c r="E1662" s="149"/>
      <c r="F1662" s="56"/>
      <c r="G1662" s="150"/>
      <c r="H1662" s="59">
        <f t="shared" si="63"/>
        <v>0</v>
      </c>
      <c r="I1662" s="145"/>
    </row>
    <row r="1663" ht="22.5" customHeight="1">
      <c r="A1663" s="147"/>
      <c r="B1663" s="131"/>
      <c r="C1663" s="148"/>
      <c r="D1663" s="51"/>
      <c r="E1663" s="149"/>
      <c r="F1663" s="56"/>
      <c r="G1663" s="150"/>
      <c r="H1663" s="59">
        <f t="shared" si="63"/>
        <v>0</v>
      </c>
      <c r="I1663" s="145"/>
    </row>
    <row r="1664" ht="22.5" customHeight="1">
      <c r="A1664" s="147"/>
      <c r="B1664" s="131"/>
      <c r="C1664" s="148"/>
      <c r="D1664" s="51"/>
      <c r="E1664" s="149"/>
      <c r="F1664" s="56"/>
      <c r="G1664" s="150"/>
      <c r="H1664" s="59">
        <f t="shared" si="63"/>
        <v>0</v>
      </c>
      <c r="I1664" s="145"/>
    </row>
    <row r="1665" ht="22.5" customHeight="1">
      <c r="A1665" s="147"/>
      <c r="B1665" s="131"/>
      <c r="C1665" s="148"/>
      <c r="D1665" s="51"/>
      <c r="E1665" s="149"/>
      <c r="F1665" s="56"/>
      <c r="G1665" s="150"/>
      <c r="H1665" s="59">
        <f t="shared" si="63"/>
        <v>0</v>
      </c>
      <c r="I1665" s="145"/>
    </row>
    <row r="1666" ht="22.5" customHeight="1">
      <c r="A1666" s="147"/>
      <c r="B1666" s="131"/>
      <c r="C1666" s="148"/>
      <c r="D1666" s="51"/>
      <c r="E1666" s="149"/>
      <c r="F1666" s="56"/>
      <c r="G1666" s="150"/>
      <c r="H1666" s="59">
        <f t="shared" si="63"/>
        <v>0</v>
      </c>
      <c r="I1666" s="145"/>
    </row>
    <row r="1667" ht="22.5" customHeight="1">
      <c r="A1667" s="147"/>
      <c r="B1667" s="131"/>
      <c r="C1667" s="148"/>
      <c r="D1667" s="51"/>
      <c r="E1667" s="149"/>
      <c r="F1667" s="56"/>
      <c r="G1667" s="150"/>
      <c r="H1667" s="59">
        <f t="shared" si="63"/>
        <v>0</v>
      </c>
      <c r="I1667" s="145"/>
    </row>
    <row r="1668" ht="22.5" customHeight="1">
      <c r="A1668" s="147"/>
      <c r="B1668" s="131"/>
      <c r="C1668" s="148"/>
      <c r="D1668" s="51"/>
      <c r="E1668" s="149"/>
      <c r="F1668" s="56"/>
      <c r="G1668" s="150"/>
      <c r="H1668" s="59">
        <f t="shared" si="63"/>
        <v>0</v>
      </c>
      <c r="I1668" s="145"/>
    </row>
    <row r="1669" ht="22.5" customHeight="1">
      <c r="A1669" s="147"/>
      <c r="B1669" s="131"/>
      <c r="C1669" s="148"/>
      <c r="D1669" s="51"/>
      <c r="E1669" s="149"/>
      <c r="F1669" s="56"/>
      <c r="G1669" s="150"/>
      <c r="H1669" s="59">
        <f t="shared" si="63"/>
        <v>0</v>
      </c>
      <c r="I1669" s="145"/>
    </row>
    <row r="1670" ht="22.5" customHeight="1">
      <c r="A1670" s="147"/>
      <c r="B1670" s="131"/>
      <c r="C1670" s="148"/>
      <c r="D1670" s="51"/>
      <c r="E1670" s="149"/>
      <c r="F1670" s="56"/>
      <c r="G1670" s="150"/>
      <c r="H1670" s="59">
        <f t="shared" si="63"/>
        <v>0</v>
      </c>
      <c r="I1670" s="145"/>
    </row>
    <row r="1671" ht="22.5" customHeight="1">
      <c r="A1671" s="147"/>
      <c r="B1671" s="131"/>
      <c r="C1671" s="148"/>
      <c r="D1671" s="51"/>
      <c r="E1671" s="149"/>
      <c r="F1671" s="56"/>
      <c r="G1671" s="150"/>
      <c r="H1671" s="59">
        <f t="shared" si="63"/>
        <v>0</v>
      </c>
      <c r="I1671" s="145"/>
    </row>
    <row r="1672" ht="22.5" customHeight="1">
      <c r="A1672" s="147"/>
      <c r="B1672" s="131"/>
      <c r="C1672" s="148"/>
      <c r="D1672" s="51"/>
      <c r="E1672" s="149"/>
      <c r="F1672" s="56"/>
      <c r="G1672" s="150"/>
      <c r="H1672" s="59">
        <f t="shared" si="63"/>
        <v>0</v>
      </c>
      <c r="I1672" s="145"/>
    </row>
    <row r="1673" ht="22.5" customHeight="1">
      <c r="A1673" s="147"/>
      <c r="B1673" s="131"/>
      <c r="C1673" s="148"/>
      <c r="D1673" s="51"/>
      <c r="E1673" s="149"/>
      <c r="F1673" s="56"/>
      <c r="G1673" s="150"/>
      <c r="H1673" s="59">
        <f t="shared" si="63"/>
        <v>0</v>
      </c>
      <c r="I1673" s="145"/>
    </row>
    <row r="1674" ht="22.5" customHeight="1">
      <c r="A1674" s="147"/>
      <c r="B1674" s="131"/>
      <c r="C1674" s="148"/>
      <c r="D1674" s="51"/>
      <c r="E1674" s="149"/>
      <c r="F1674" s="56"/>
      <c r="G1674" s="150"/>
      <c r="H1674" s="59">
        <f t="shared" si="63"/>
        <v>0</v>
      </c>
      <c r="I1674" s="145"/>
    </row>
    <row r="1675" ht="22.5" customHeight="1">
      <c r="A1675" s="147"/>
      <c r="B1675" s="131"/>
      <c r="C1675" s="148"/>
      <c r="D1675" s="51"/>
      <c r="E1675" s="149"/>
      <c r="F1675" s="56"/>
      <c r="G1675" s="150"/>
      <c r="H1675" s="59">
        <f t="shared" si="63"/>
        <v>0</v>
      </c>
      <c r="I1675" s="145"/>
    </row>
    <row r="1676" ht="22.5" customHeight="1">
      <c r="A1676" s="147"/>
      <c r="B1676" s="131"/>
      <c r="C1676" s="148"/>
      <c r="D1676" s="51"/>
      <c r="E1676" s="149"/>
      <c r="F1676" s="56"/>
      <c r="G1676" s="150"/>
      <c r="H1676" s="59">
        <f t="shared" si="63"/>
        <v>0</v>
      </c>
      <c r="I1676" s="145"/>
    </row>
    <row r="1677" ht="22.5" customHeight="1">
      <c r="A1677" s="147"/>
      <c r="B1677" s="131"/>
      <c r="C1677" s="148"/>
      <c r="D1677" s="51"/>
      <c r="E1677" s="149"/>
      <c r="F1677" s="56"/>
      <c r="G1677" s="150"/>
      <c r="H1677" s="59">
        <f t="shared" si="63"/>
        <v>0</v>
      </c>
      <c r="I1677" s="145"/>
    </row>
    <row r="1678" ht="22.5" customHeight="1">
      <c r="A1678" s="147"/>
      <c r="B1678" s="131"/>
      <c r="C1678" s="148"/>
      <c r="D1678" s="51"/>
      <c r="E1678" s="149"/>
      <c r="F1678" s="56"/>
      <c r="G1678" s="150"/>
      <c r="H1678" s="59">
        <f t="shared" si="63"/>
        <v>0</v>
      </c>
      <c r="I1678" s="145"/>
    </row>
    <row r="1679" ht="22.5" customHeight="1">
      <c r="A1679" s="147"/>
      <c r="B1679" s="131"/>
      <c r="C1679" s="148"/>
      <c r="D1679" s="51"/>
      <c r="E1679" s="149"/>
      <c r="F1679" s="56"/>
      <c r="G1679" s="150"/>
      <c r="H1679" s="59">
        <f t="shared" si="63"/>
        <v>0</v>
      </c>
      <c r="I1679" s="145"/>
    </row>
    <row r="1680" ht="22.5" customHeight="1">
      <c r="A1680" s="147"/>
      <c r="B1680" s="131"/>
      <c r="C1680" s="148"/>
      <c r="D1680" s="51"/>
      <c r="E1680" s="149"/>
      <c r="F1680" s="56"/>
      <c r="G1680" s="150"/>
      <c r="H1680" s="59">
        <f t="shared" si="63"/>
        <v>0</v>
      </c>
      <c r="I1680" s="145"/>
    </row>
    <row r="1681" ht="22.5" customHeight="1">
      <c r="A1681" s="147"/>
      <c r="B1681" s="131"/>
      <c r="C1681" s="148"/>
      <c r="D1681" s="51"/>
      <c r="E1681" s="149"/>
      <c r="F1681" s="56"/>
      <c r="G1681" s="150"/>
      <c r="H1681" s="59">
        <f t="shared" si="63"/>
        <v>0</v>
      </c>
      <c r="I1681" s="145"/>
    </row>
    <row r="1682" ht="22.5" customHeight="1">
      <c r="A1682" s="147"/>
      <c r="B1682" s="131"/>
      <c r="C1682" s="148"/>
      <c r="D1682" s="51"/>
      <c r="E1682" s="149"/>
      <c r="F1682" s="56"/>
      <c r="G1682" s="150"/>
      <c r="H1682" s="59">
        <f t="shared" si="63"/>
        <v>0</v>
      </c>
      <c r="I1682" s="145"/>
    </row>
    <row r="1683" ht="22.5" customHeight="1">
      <c r="A1683" s="147"/>
      <c r="B1683" s="131"/>
      <c r="C1683" s="148"/>
      <c r="D1683" s="51"/>
      <c r="E1683" s="149"/>
      <c r="F1683" s="56"/>
      <c r="G1683" s="150"/>
      <c r="H1683" s="59">
        <f t="shared" si="63"/>
        <v>0</v>
      </c>
      <c r="I1683" s="145"/>
    </row>
    <row r="1684" ht="22.5" customHeight="1">
      <c r="A1684" s="147"/>
      <c r="B1684" s="131"/>
      <c r="C1684" s="148"/>
      <c r="D1684" s="51"/>
      <c r="E1684" s="149"/>
      <c r="F1684" s="56"/>
      <c r="G1684" s="150"/>
      <c r="H1684" s="59">
        <f t="shared" si="63"/>
        <v>0</v>
      </c>
      <c r="I1684" s="145"/>
    </row>
    <row r="1685" ht="22.5" customHeight="1">
      <c r="A1685" s="147"/>
      <c r="B1685" s="131"/>
      <c r="C1685" s="148"/>
      <c r="D1685" s="51"/>
      <c r="E1685" s="149"/>
      <c r="F1685" s="56"/>
      <c r="G1685" s="150"/>
      <c r="H1685" s="59">
        <f t="shared" si="63"/>
        <v>0</v>
      </c>
      <c r="I1685" s="145"/>
    </row>
    <row r="1686" ht="22.5" customHeight="1">
      <c r="A1686" s="147"/>
      <c r="B1686" s="131"/>
      <c r="C1686" s="148"/>
      <c r="D1686" s="51"/>
      <c r="E1686" s="149"/>
      <c r="F1686" s="56"/>
      <c r="G1686" s="150"/>
      <c r="H1686" s="59">
        <f t="shared" si="63"/>
        <v>0</v>
      </c>
      <c r="I1686" s="145"/>
    </row>
    <row r="1687" ht="22.5" customHeight="1">
      <c r="A1687" s="147"/>
      <c r="B1687" s="131"/>
      <c r="C1687" s="148"/>
      <c r="D1687" s="51"/>
      <c r="E1687" s="149"/>
      <c r="F1687" s="56"/>
      <c r="G1687" s="150"/>
      <c r="H1687" s="59">
        <f t="shared" si="63"/>
        <v>0</v>
      </c>
      <c r="I1687" s="145"/>
    </row>
    <row r="1688" ht="22.5" customHeight="1">
      <c r="A1688" s="147"/>
      <c r="B1688" s="131"/>
      <c r="C1688" s="148"/>
      <c r="D1688" s="51"/>
      <c r="E1688" s="149"/>
      <c r="F1688" s="56"/>
      <c r="G1688" s="150"/>
      <c r="H1688" s="59">
        <f t="shared" si="63"/>
        <v>0</v>
      </c>
      <c r="I1688" s="145"/>
    </row>
    <row r="1689" ht="22.5" customHeight="1">
      <c r="A1689" s="147"/>
      <c r="B1689" s="131"/>
      <c r="C1689" s="148"/>
      <c r="D1689" s="51"/>
      <c r="E1689" s="149"/>
      <c r="F1689" s="56"/>
      <c r="G1689" s="150"/>
      <c r="H1689" s="59">
        <f t="shared" si="63"/>
        <v>0</v>
      </c>
      <c r="I1689" s="145"/>
    </row>
    <row r="1690" ht="22.5" customHeight="1">
      <c r="A1690" s="147"/>
      <c r="B1690" s="131"/>
      <c r="C1690" s="148"/>
      <c r="D1690" s="51"/>
      <c r="E1690" s="149"/>
      <c r="F1690" s="56"/>
      <c r="G1690" s="150"/>
      <c r="H1690" s="59">
        <f t="shared" si="63"/>
        <v>0</v>
      </c>
      <c r="I1690" s="145"/>
    </row>
    <row r="1691" ht="22.5" customHeight="1">
      <c r="A1691" s="147"/>
      <c r="B1691" s="131"/>
      <c r="C1691" s="148"/>
      <c r="D1691" s="51"/>
      <c r="E1691" s="149"/>
      <c r="F1691" s="56"/>
      <c r="G1691" s="150"/>
      <c r="H1691" s="59">
        <f t="shared" si="63"/>
        <v>0</v>
      </c>
      <c r="I1691" s="145"/>
    </row>
    <row r="1692" ht="22.5" customHeight="1">
      <c r="A1692" s="147"/>
      <c r="B1692" s="131"/>
      <c r="C1692" s="148"/>
      <c r="D1692" s="51"/>
      <c r="E1692" s="149"/>
      <c r="F1692" s="56"/>
      <c r="G1692" s="150"/>
      <c r="H1692" s="59">
        <f t="shared" si="63"/>
        <v>0</v>
      </c>
      <c r="I1692" s="145"/>
    </row>
    <row r="1693" ht="22.5" customHeight="1">
      <c r="A1693" s="147"/>
      <c r="B1693" s="131"/>
      <c r="C1693" s="148"/>
      <c r="D1693" s="51"/>
      <c r="E1693" s="149"/>
      <c r="F1693" s="56"/>
      <c r="G1693" s="150"/>
      <c r="H1693" s="59">
        <f t="shared" si="63"/>
        <v>0</v>
      </c>
      <c r="I1693" s="145"/>
    </row>
    <row r="1694" ht="22.5" customHeight="1">
      <c r="A1694" s="147"/>
      <c r="B1694" s="131"/>
      <c r="C1694" s="148"/>
      <c r="D1694" s="51"/>
      <c r="E1694" s="149"/>
      <c r="F1694" s="56"/>
      <c r="G1694" s="150"/>
      <c r="H1694" s="59">
        <f t="shared" si="63"/>
        <v>0</v>
      </c>
      <c r="I1694" s="145"/>
    </row>
    <row r="1695" ht="22.5" customHeight="1">
      <c r="A1695" s="147"/>
      <c r="B1695" s="131"/>
      <c r="C1695" s="148"/>
      <c r="D1695" s="51"/>
      <c r="E1695" s="149"/>
      <c r="F1695" s="56"/>
      <c r="G1695" s="150"/>
      <c r="H1695" s="59">
        <f t="shared" si="63"/>
        <v>0</v>
      </c>
      <c r="I1695" s="145"/>
    </row>
    <row r="1696" ht="22.5" customHeight="1">
      <c r="A1696" s="147"/>
      <c r="B1696" s="131"/>
      <c r="C1696" s="148"/>
      <c r="D1696" s="51"/>
      <c r="E1696" s="149"/>
      <c r="F1696" s="56"/>
      <c r="G1696" s="150"/>
      <c r="H1696" s="59">
        <f t="shared" si="63"/>
        <v>0</v>
      </c>
      <c r="I1696" s="145"/>
    </row>
    <row r="1697" ht="22.5" customHeight="1">
      <c r="A1697" s="147"/>
      <c r="B1697" s="131"/>
      <c r="C1697" s="148"/>
      <c r="D1697" s="51"/>
      <c r="E1697" s="149"/>
      <c r="F1697" s="56"/>
      <c r="G1697" s="150"/>
      <c r="H1697" s="59">
        <f t="shared" si="63"/>
        <v>0</v>
      </c>
      <c r="I1697" s="145"/>
    </row>
    <row r="1698" ht="22.5" customHeight="1">
      <c r="A1698" s="147"/>
      <c r="B1698" s="131"/>
      <c r="C1698" s="148"/>
      <c r="D1698" s="51"/>
      <c r="E1698" s="149"/>
      <c r="F1698" s="56"/>
      <c r="G1698" s="150"/>
      <c r="H1698" s="59">
        <f t="shared" si="63"/>
        <v>0</v>
      </c>
      <c r="I1698" s="145"/>
    </row>
    <row r="1699" ht="22.5" customHeight="1">
      <c r="A1699" s="147"/>
      <c r="B1699" s="131"/>
      <c r="C1699" s="148"/>
      <c r="D1699" s="51"/>
      <c r="E1699" s="149"/>
      <c r="F1699" s="56"/>
      <c r="G1699" s="150"/>
      <c r="H1699" s="59">
        <f t="shared" si="63"/>
        <v>0</v>
      </c>
      <c r="I1699" s="145"/>
    </row>
    <row r="1700" ht="22.5" customHeight="1">
      <c r="A1700" s="147"/>
      <c r="B1700" s="131"/>
      <c r="C1700" s="148"/>
      <c r="D1700" s="51"/>
      <c r="E1700" s="149"/>
      <c r="F1700" s="56"/>
      <c r="G1700" s="150"/>
      <c r="H1700" s="59">
        <f t="shared" si="63"/>
        <v>0</v>
      </c>
      <c r="I1700" s="145"/>
    </row>
    <row r="1701" ht="22.5" customHeight="1">
      <c r="A1701" s="147"/>
      <c r="B1701" s="131"/>
      <c r="C1701" s="148"/>
      <c r="D1701" s="51"/>
      <c r="E1701" s="149"/>
      <c r="F1701" s="56"/>
      <c r="G1701" s="150"/>
      <c r="H1701" s="59">
        <f t="shared" si="63"/>
        <v>0</v>
      </c>
      <c r="I1701" s="145"/>
    </row>
    <row r="1702" ht="22.5" customHeight="1">
      <c r="A1702" s="147"/>
      <c r="B1702" s="131"/>
      <c r="C1702" s="148"/>
      <c r="D1702" s="51"/>
      <c r="E1702" s="149"/>
      <c r="F1702" s="56"/>
      <c r="G1702" s="150"/>
      <c r="H1702" s="59">
        <f t="shared" si="63"/>
        <v>0</v>
      </c>
      <c r="I1702" s="145"/>
    </row>
    <row r="1703" ht="22.5" customHeight="1">
      <c r="A1703" s="147"/>
      <c r="B1703" s="131"/>
      <c r="C1703" s="148"/>
      <c r="D1703" s="51"/>
      <c r="E1703" s="149"/>
      <c r="F1703" s="56"/>
      <c r="G1703" s="150"/>
      <c r="H1703" s="59">
        <f t="shared" si="63"/>
        <v>0</v>
      </c>
      <c r="I1703" s="145"/>
    </row>
    <row r="1704" ht="22.5" customHeight="1">
      <c r="A1704" s="147"/>
      <c r="B1704" s="131"/>
      <c r="C1704" s="148"/>
      <c r="D1704" s="51"/>
      <c r="E1704" s="149"/>
      <c r="F1704" s="56"/>
      <c r="G1704" s="150"/>
      <c r="H1704" s="59">
        <f t="shared" si="63"/>
        <v>0</v>
      </c>
      <c r="I1704" s="145"/>
    </row>
    <row r="1705" ht="22.5" customHeight="1">
      <c r="A1705" s="147"/>
      <c r="B1705" s="131"/>
      <c r="C1705" s="148"/>
      <c r="D1705" s="51"/>
      <c r="E1705" s="149"/>
      <c r="F1705" s="56"/>
      <c r="G1705" s="150"/>
      <c r="H1705" s="59">
        <f t="shared" si="63"/>
        <v>0</v>
      </c>
      <c r="I1705" s="145"/>
    </row>
    <row r="1706" ht="22.5" customHeight="1">
      <c r="A1706" s="147"/>
      <c r="B1706" s="131"/>
      <c r="C1706" s="148"/>
      <c r="D1706" s="51"/>
      <c r="E1706" s="149"/>
      <c r="F1706" s="56"/>
      <c r="G1706" s="150"/>
      <c r="H1706" s="59">
        <f t="shared" si="63"/>
        <v>0</v>
      </c>
      <c r="I1706" s="145"/>
    </row>
    <row r="1707" ht="22.5" customHeight="1">
      <c r="A1707" s="147"/>
      <c r="B1707" s="131"/>
      <c r="C1707" s="148"/>
      <c r="D1707" s="51"/>
      <c r="E1707" s="149"/>
      <c r="F1707" s="56"/>
      <c r="G1707" s="150"/>
      <c r="H1707" s="59">
        <f t="shared" si="63"/>
        <v>0</v>
      </c>
      <c r="I1707" s="145"/>
    </row>
    <row r="1708" ht="22.5" customHeight="1">
      <c r="A1708" s="147"/>
      <c r="B1708" s="131"/>
      <c r="C1708" s="148"/>
      <c r="D1708" s="51"/>
      <c r="E1708" s="149"/>
      <c r="F1708" s="56"/>
      <c r="G1708" s="150"/>
      <c r="H1708" s="59">
        <f t="shared" si="63"/>
        <v>0</v>
      </c>
      <c r="I1708" s="145"/>
    </row>
    <row r="1709" ht="22.5" customHeight="1">
      <c r="A1709" s="147"/>
      <c r="B1709" s="131"/>
      <c r="C1709" s="148"/>
      <c r="D1709" s="51"/>
      <c r="E1709" s="149"/>
      <c r="F1709" s="56"/>
      <c r="G1709" s="150"/>
      <c r="H1709" s="59">
        <f t="shared" si="63"/>
        <v>0</v>
      </c>
      <c r="I1709" s="145"/>
    </row>
    <row r="1710" ht="22.5" customHeight="1">
      <c r="A1710" s="147"/>
      <c r="B1710" s="131"/>
      <c r="C1710" s="148"/>
      <c r="D1710" s="51"/>
      <c r="E1710" s="149"/>
      <c r="F1710" s="56"/>
      <c r="G1710" s="150"/>
      <c r="H1710" s="59">
        <f t="shared" si="63"/>
        <v>0</v>
      </c>
      <c r="I1710" s="145"/>
    </row>
    <row r="1711" ht="22.5" customHeight="1">
      <c r="A1711" s="147"/>
      <c r="B1711" s="131"/>
      <c r="C1711" s="148"/>
      <c r="D1711" s="51"/>
      <c r="E1711" s="149"/>
      <c r="F1711" s="56"/>
      <c r="G1711" s="150"/>
      <c r="H1711" s="59">
        <f t="shared" si="63"/>
        <v>0</v>
      </c>
      <c r="I1711" s="145"/>
    </row>
    <row r="1712" ht="22.5" customHeight="1">
      <c r="A1712" s="147"/>
      <c r="B1712" s="131"/>
      <c r="C1712" s="148"/>
      <c r="D1712" s="51"/>
      <c r="E1712" s="149"/>
      <c r="F1712" s="56"/>
      <c r="G1712" s="150"/>
      <c r="H1712" s="59">
        <f t="shared" si="63"/>
        <v>0</v>
      </c>
      <c r="I1712" s="145"/>
    </row>
    <row r="1713" ht="22.5" customHeight="1">
      <c r="A1713" s="147"/>
      <c r="B1713" s="131"/>
      <c r="C1713" s="148"/>
      <c r="D1713" s="51"/>
      <c r="E1713" s="149"/>
      <c r="F1713" s="56"/>
      <c r="G1713" s="150"/>
      <c r="H1713" s="59">
        <f t="shared" si="63"/>
        <v>0</v>
      </c>
      <c r="I1713" s="145"/>
    </row>
    <row r="1714" ht="22.5" customHeight="1">
      <c r="A1714" s="147"/>
      <c r="B1714" s="131"/>
      <c r="C1714" s="148"/>
      <c r="D1714" s="51"/>
      <c r="E1714" s="149"/>
      <c r="F1714" s="56"/>
      <c r="G1714" s="150"/>
      <c r="H1714" s="59">
        <f t="shared" si="63"/>
        <v>0</v>
      </c>
      <c r="I1714" s="145"/>
    </row>
    <row r="1715" ht="22.5" customHeight="1">
      <c r="A1715" s="147"/>
      <c r="B1715" s="131"/>
      <c r="C1715" s="148"/>
      <c r="D1715" s="51"/>
      <c r="E1715" s="149"/>
      <c r="F1715" s="56"/>
      <c r="G1715" s="150"/>
      <c r="H1715" s="59">
        <f t="shared" si="63"/>
        <v>0</v>
      </c>
      <c r="I1715" s="145"/>
    </row>
    <row r="1716" ht="22.5" customHeight="1">
      <c r="A1716" s="147"/>
      <c r="B1716" s="131"/>
      <c r="C1716" s="148"/>
      <c r="D1716" s="51"/>
      <c r="E1716" s="149"/>
      <c r="F1716" s="56"/>
      <c r="G1716" s="150"/>
      <c r="H1716" s="59">
        <f t="shared" si="63"/>
        <v>0</v>
      </c>
      <c r="I1716" s="145"/>
    </row>
    <row r="1717" ht="22.5" customHeight="1">
      <c r="A1717" s="147"/>
      <c r="B1717" s="131"/>
      <c r="C1717" s="148"/>
      <c r="D1717" s="51"/>
      <c r="E1717" s="149"/>
      <c r="F1717" s="56"/>
      <c r="G1717" s="150"/>
      <c r="H1717" s="59">
        <f t="shared" si="63"/>
        <v>0</v>
      </c>
      <c r="I1717" s="145"/>
    </row>
    <row r="1718" ht="22.5" customHeight="1">
      <c r="A1718" s="147"/>
      <c r="B1718" s="131"/>
      <c r="C1718" s="148"/>
      <c r="D1718" s="51"/>
      <c r="E1718" s="149"/>
      <c r="F1718" s="56"/>
      <c r="G1718" s="150"/>
      <c r="H1718" s="59">
        <f t="shared" si="63"/>
        <v>0</v>
      </c>
      <c r="I1718" s="145"/>
    </row>
    <row r="1719" ht="22.5" customHeight="1">
      <c r="A1719" s="147"/>
      <c r="B1719" s="131"/>
      <c r="C1719" s="148"/>
      <c r="D1719" s="51"/>
      <c r="E1719" s="149"/>
      <c r="F1719" s="56"/>
      <c r="G1719" s="150"/>
      <c r="H1719" s="59">
        <f t="shared" si="63"/>
        <v>0</v>
      </c>
      <c r="I1719" s="145"/>
    </row>
    <row r="1720" ht="22.5" customHeight="1">
      <c r="A1720" s="147"/>
      <c r="B1720" s="131"/>
      <c r="C1720" s="148"/>
      <c r="D1720" s="51"/>
      <c r="E1720" s="149"/>
      <c r="F1720" s="56"/>
      <c r="G1720" s="150"/>
      <c r="H1720" s="59">
        <f t="shared" si="63"/>
        <v>0</v>
      </c>
      <c r="I1720" s="145"/>
    </row>
    <row r="1721" ht="22.5" customHeight="1">
      <c r="A1721" s="147"/>
      <c r="B1721" s="131"/>
      <c r="C1721" s="148"/>
      <c r="D1721" s="51"/>
      <c r="E1721" s="149"/>
      <c r="F1721" s="56"/>
      <c r="G1721" s="150"/>
      <c r="H1721" s="59">
        <f t="shared" si="63"/>
        <v>0</v>
      </c>
      <c r="I1721" s="145"/>
    </row>
    <row r="1722" ht="22.5" customHeight="1">
      <c r="A1722" s="147"/>
      <c r="B1722" s="131"/>
      <c r="C1722" s="148"/>
      <c r="D1722" s="51"/>
      <c r="E1722" s="149"/>
      <c r="F1722" s="56"/>
      <c r="G1722" s="150"/>
      <c r="H1722" s="59">
        <f t="shared" si="63"/>
        <v>0</v>
      </c>
      <c r="I1722" s="145"/>
    </row>
    <row r="1723" ht="22.5" customHeight="1">
      <c r="A1723" s="147"/>
      <c r="B1723" s="131"/>
      <c r="C1723" s="148"/>
      <c r="D1723" s="51"/>
      <c r="E1723" s="149"/>
      <c r="F1723" s="56"/>
      <c r="G1723" s="150"/>
      <c r="H1723" s="59">
        <f t="shared" si="63"/>
        <v>0</v>
      </c>
      <c r="I1723" s="145"/>
    </row>
    <row r="1724" ht="22.5" customHeight="1">
      <c r="A1724" s="147"/>
      <c r="B1724" s="131"/>
      <c r="C1724" s="148"/>
      <c r="D1724" s="51"/>
      <c r="E1724" s="149"/>
      <c r="F1724" s="56"/>
      <c r="G1724" s="150"/>
      <c r="H1724" s="59">
        <f t="shared" si="63"/>
        <v>0</v>
      </c>
      <c r="I1724" s="145"/>
    </row>
    <row r="1725" ht="22.5" customHeight="1">
      <c r="A1725" s="147"/>
      <c r="B1725" s="131"/>
      <c r="C1725" s="148"/>
      <c r="D1725" s="51"/>
      <c r="E1725" s="149"/>
      <c r="F1725" s="56"/>
      <c r="G1725" s="150"/>
      <c r="H1725" s="59">
        <f t="shared" si="63"/>
        <v>0</v>
      </c>
      <c r="I1725" s="145"/>
    </row>
    <row r="1726" ht="22.5" customHeight="1">
      <c r="A1726" s="147"/>
      <c r="B1726" s="131"/>
      <c r="C1726" s="148"/>
      <c r="D1726" s="51"/>
      <c r="E1726" s="149"/>
      <c r="F1726" s="56"/>
      <c r="G1726" s="150"/>
      <c r="H1726" s="59">
        <f t="shared" si="63"/>
        <v>0</v>
      </c>
      <c r="I1726" s="145"/>
    </row>
    <row r="1727" ht="22.5" customHeight="1">
      <c r="A1727" s="147"/>
      <c r="B1727" s="131"/>
      <c r="C1727" s="148"/>
      <c r="D1727" s="51"/>
      <c r="E1727" s="149"/>
      <c r="F1727" s="56"/>
      <c r="G1727" s="150"/>
      <c r="H1727" s="59">
        <f t="shared" si="63"/>
        <v>0</v>
      </c>
      <c r="I1727" s="145"/>
    </row>
    <row r="1728" ht="22.5" customHeight="1">
      <c r="A1728" s="147"/>
      <c r="B1728" s="131"/>
      <c r="C1728" s="148"/>
      <c r="D1728" s="51"/>
      <c r="E1728" s="149"/>
      <c r="F1728" s="56"/>
      <c r="G1728" s="150"/>
      <c r="H1728" s="59">
        <f t="shared" si="63"/>
        <v>0</v>
      </c>
      <c r="I1728" s="145"/>
    </row>
    <row r="1729" ht="22.5" customHeight="1">
      <c r="A1729" s="147"/>
      <c r="B1729" s="131"/>
      <c r="C1729" s="148"/>
      <c r="D1729" s="51"/>
      <c r="E1729" s="149"/>
      <c r="F1729" s="56"/>
      <c r="G1729" s="150"/>
      <c r="H1729" s="59">
        <f t="shared" si="63"/>
        <v>0</v>
      </c>
      <c r="I1729" s="145"/>
    </row>
    <row r="1730" ht="22.5" customHeight="1">
      <c r="A1730" s="147"/>
      <c r="B1730" s="131"/>
      <c r="C1730" s="148"/>
      <c r="D1730" s="51"/>
      <c r="E1730" s="149"/>
      <c r="F1730" s="56"/>
      <c r="G1730" s="150"/>
      <c r="H1730" s="59">
        <f t="shared" si="63"/>
        <v>0</v>
      </c>
      <c r="I1730" s="145"/>
    </row>
    <row r="1731" ht="22.5" customHeight="1">
      <c r="A1731" s="147"/>
      <c r="B1731" s="131"/>
      <c r="C1731" s="148"/>
      <c r="D1731" s="51"/>
      <c r="E1731" s="149"/>
      <c r="F1731" s="56"/>
      <c r="G1731" s="150"/>
      <c r="H1731" s="59">
        <f t="shared" si="63"/>
        <v>0</v>
      </c>
      <c r="I1731" s="145"/>
    </row>
    <row r="1732" ht="22.5" customHeight="1">
      <c r="A1732" s="147"/>
      <c r="B1732" s="131"/>
      <c r="C1732" s="148"/>
      <c r="D1732" s="51"/>
      <c r="E1732" s="149"/>
      <c r="F1732" s="56"/>
      <c r="G1732" s="150"/>
      <c r="H1732" s="59">
        <f t="shared" si="63"/>
        <v>0</v>
      </c>
      <c r="I1732" s="145"/>
    </row>
    <row r="1733" ht="22.5" customHeight="1">
      <c r="A1733" s="147"/>
      <c r="B1733" s="131"/>
      <c r="C1733" s="148"/>
      <c r="D1733" s="51"/>
      <c r="E1733" s="149"/>
      <c r="F1733" s="56"/>
      <c r="G1733" s="150"/>
      <c r="H1733" s="59">
        <f t="shared" si="63"/>
        <v>0</v>
      </c>
      <c r="I1733" s="145"/>
    </row>
    <row r="1734" ht="22.5" customHeight="1">
      <c r="A1734" s="147"/>
      <c r="B1734" s="131"/>
      <c r="C1734" s="148"/>
      <c r="D1734" s="51"/>
      <c r="E1734" s="149"/>
      <c r="F1734" s="56"/>
      <c r="G1734" s="150"/>
      <c r="H1734" s="59">
        <f t="shared" si="63"/>
        <v>0</v>
      </c>
      <c r="I1734" s="145"/>
    </row>
    <row r="1735" ht="22.5" customHeight="1">
      <c r="A1735" s="147"/>
      <c r="B1735" s="131"/>
      <c r="C1735" s="148"/>
      <c r="D1735" s="51"/>
      <c r="E1735" s="149"/>
      <c r="F1735" s="56"/>
      <c r="G1735" s="150"/>
      <c r="H1735" s="59">
        <f t="shared" si="63"/>
        <v>0</v>
      </c>
      <c r="I1735" s="145"/>
    </row>
    <row r="1736" ht="22.5" customHeight="1">
      <c r="A1736" s="147"/>
      <c r="B1736" s="131"/>
      <c r="C1736" s="148"/>
      <c r="D1736" s="51"/>
      <c r="E1736" s="149"/>
      <c r="F1736" s="56"/>
      <c r="G1736" s="150"/>
      <c r="H1736" s="59">
        <f t="shared" si="63"/>
        <v>0</v>
      </c>
      <c r="I1736" s="145"/>
    </row>
    <row r="1737" ht="22.5" customHeight="1">
      <c r="A1737" s="147"/>
      <c r="B1737" s="131"/>
      <c r="C1737" s="148"/>
      <c r="D1737" s="51"/>
      <c r="E1737" s="149"/>
      <c r="F1737" s="56"/>
      <c r="G1737" s="150"/>
      <c r="H1737" s="59">
        <f t="shared" si="63"/>
        <v>0</v>
      </c>
      <c r="I1737" s="145"/>
    </row>
    <row r="1738" ht="22.5" customHeight="1">
      <c r="A1738" s="147"/>
      <c r="B1738" s="131"/>
      <c r="C1738" s="148"/>
      <c r="D1738" s="51"/>
      <c r="E1738" s="149"/>
      <c r="F1738" s="56"/>
      <c r="G1738" s="150"/>
      <c r="H1738" s="59">
        <f t="shared" si="63"/>
        <v>0</v>
      </c>
      <c r="I1738" s="145"/>
    </row>
    <row r="1739" ht="22.5" customHeight="1">
      <c r="A1739" s="147"/>
      <c r="B1739" s="131"/>
      <c r="C1739" s="148"/>
      <c r="D1739" s="51"/>
      <c r="E1739" s="149"/>
      <c r="F1739" s="56"/>
      <c r="G1739" s="150"/>
      <c r="H1739" s="59">
        <f t="shared" si="63"/>
        <v>0</v>
      </c>
      <c r="I1739" s="145"/>
    </row>
    <row r="1740" ht="22.5" customHeight="1">
      <c r="A1740" s="147"/>
      <c r="B1740" s="131"/>
      <c r="C1740" s="148"/>
      <c r="D1740" s="51"/>
      <c r="E1740" s="149"/>
      <c r="F1740" s="56"/>
      <c r="G1740" s="150"/>
      <c r="H1740" s="59">
        <f t="shared" si="63"/>
        <v>0</v>
      </c>
      <c r="I1740" s="145"/>
    </row>
    <row r="1741" ht="22.5" customHeight="1">
      <c r="A1741" s="147"/>
      <c r="B1741" s="131"/>
      <c r="C1741" s="148"/>
      <c r="D1741" s="51"/>
      <c r="E1741" s="149"/>
      <c r="F1741" s="56"/>
      <c r="G1741" s="150"/>
      <c r="H1741" s="59">
        <f t="shared" si="63"/>
        <v>0</v>
      </c>
      <c r="I1741" s="145"/>
    </row>
    <row r="1742" ht="22.5" customHeight="1">
      <c r="A1742" s="147"/>
      <c r="B1742" s="131"/>
      <c r="C1742" s="148"/>
      <c r="D1742" s="51"/>
      <c r="E1742" s="149"/>
      <c r="F1742" s="56"/>
      <c r="G1742" s="150"/>
      <c r="H1742" s="59">
        <f t="shared" si="63"/>
        <v>0</v>
      </c>
      <c r="I1742" s="145"/>
    </row>
    <row r="1743" ht="22.5" customHeight="1">
      <c r="A1743" s="147"/>
      <c r="B1743" s="131"/>
      <c r="C1743" s="148"/>
      <c r="D1743" s="51"/>
      <c r="E1743" s="149"/>
      <c r="F1743" s="56"/>
      <c r="G1743" s="150"/>
      <c r="H1743" s="59">
        <f t="shared" si="63"/>
        <v>0</v>
      </c>
      <c r="I1743" s="145"/>
    </row>
    <row r="1744" ht="22.5" customHeight="1">
      <c r="A1744" s="147"/>
      <c r="B1744" s="131"/>
      <c r="C1744" s="148"/>
      <c r="D1744" s="51"/>
      <c r="E1744" s="149"/>
      <c r="F1744" s="56"/>
      <c r="G1744" s="150"/>
      <c r="H1744" s="59">
        <f t="shared" si="63"/>
        <v>0</v>
      </c>
      <c r="I1744" s="145"/>
    </row>
    <row r="1745" ht="22.5" customHeight="1">
      <c r="A1745" s="147"/>
      <c r="B1745" s="131"/>
      <c r="C1745" s="148"/>
      <c r="D1745" s="51"/>
      <c r="E1745" s="149"/>
      <c r="F1745" s="56"/>
      <c r="G1745" s="150"/>
      <c r="H1745" s="59">
        <f t="shared" si="63"/>
        <v>0</v>
      </c>
      <c r="I1745" s="145"/>
    </row>
    <row r="1746" ht="22.5" customHeight="1">
      <c r="A1746" s="147"/>
      <c r="B1746" s="131"/>
      <c r="C1746" s="148"/>
      <c r="D1746" s="51"/>
      <c r="E1746" s="149"/>
      <c r="F1746" s="56"/>
      <c r="G1746" s="150"/>
      <c r="H1746" s="59">
        <f t="shared" si="63"/>
        <v>0</v>
      </c>
      <c r="I1746" s="145"/>
    </row>
    <row r="1747" ht="22.5" customHeight="1">
      <c r="A1747" s="147"/>
      <c r="B1747" s="131"/>
      <c r="C1747" s="148"/>
      <c r="D1747" s="51"/>
      <c r="E1747" s="149"/>
      <c r="F1747" s="56"/>
      <c r="G1747" s="150"/>
      <c r="H1747" s="59">
        <f t="shared" si="63"/>
        <v>0</v>
      </c>
      <c r="I1747" s="145"/>
    </row>
    <row r="1748" ht="22.5" customHeight="1">
      <c r="A1748" s="147"/>
      <c r="B1748" s="131"/>
      <c r="C1748" s="148"/>
      <c r="D1748" s="51"/>
      <c r="E1748" s="149"/>
      <c r="F1748" s="56"/>
      <c r="G1748" s="150"/>
      <c r="H1748" s="59">
        <f t="shared" si="63"/>
        <v>0</v>
      </c>
      <c r="I1748" s="145"/>
    </row>
    <row r="1749" ht="22.5" customHeight="1">
      <c r="A1749" s="147"/>
      <c r="B1749" s="131"/>
      <c r="C1749" s="148"/>
      <c r="D1749" s="51"/>
      <c r="E1749" s="149"/>
      <c r="F1749" s="56"/>
      <c r="G1749" s="150"/>
      <c r="H1749" s="59">
        <f t="shared" si="63"/>
        <v>0</v>
      </c>
      <c r="I1749" s="145"/>
    </row>
    <row r="1750" ht="22.5" customHeight="1">
      <c r="A1750" s="147"/>
      <c r="B1750" s="131"/>
      <c r="C1750" s="148"/>
      <c r="D1750" s="51"/>
      <c r="E1750" s="149"/>
      <c r="F1750" s="56"/>
      <c r="G1750" s="150"/>
      <c r="H1750" s="59">
        <f t="shared" si="63"/>
        <v>0</v>
      </c>
      <c r="I1750" s="145"/>
    </row>
    <row r="1751" ht="22.5" customHeight="1">
      <c r="A1751" s="147"/>
      <c r="B1751" s="131"/>
      <c r="C1751" s="148"/>
      <c r="D1751" s="51"/>
      <c r="E1751" s="149"/>
      <c r="F1751" s="56"/>
      <c r="G1751" s="150"/>
      <c r="H1751" s="59">
        <f t="shared" si="63"/>
        <v>0</v>
      </c>
      <c r="I1751" s="145"/>
    </row>
    <row r="1752" ht="22.5" customHeight="1">
      <c r="A1752" s="147"/>
      <c r="B1752" s="131"/>
      <c r="C1752" s="148"/>
      <c r="D1752" s="51"/>
      <c r="E1752" s="149"/>
      <c r="F1752" s="56"/>
      <c r="G1752" s="150"/>
      <c r="H1752" s="59">
        <f t="shared" si="63"/>
        <v>0</v>
      </c>
      <c r="I1752" s="145"/>
    </row>
    <row r="1753" ht="22.5" customHeight="1">
      <c r="A1753" s="147"/>
      <c r="B1753" s="131"/>
      <c r="C1753" s="148"/>
      <c r="D1753" s="51"/>
      <c r="E1753" s="149"/>
      <c r="F1753" s="56"/>
      <c r="G1753" s="150"/>
      <c r="H1753" s="59">
        <f t="shared" si="63"/>
        <v>0</v>
      </c>
      <c r="I1753" s="145"/>
    </row>
    <row r="1754" ht="22.5" customHeight="1">
      <c r="A1754" s="147"/>
      <c r="B1754" s="131"/>
      <c r="C1754" s="148"/>
      <c r="D1754" s="51"/>
      <c r="E1754" s="149"/>
      <c r="F1754" s="56"/>
      <c r="G1754" s="150"/>
      <c r="H1754" s="59">
        <f t="shared" si="63"/>
        <v>0</v>
      </c>
      <c r="I1754" s="145"/>
    </row>
    <row r="1755" ht="22.5" customHeight="1">
      <c r="A1755" s="147"/>
      <c r="B1755" s="131"/>
      <c r="C1755" s="148"/>
      <c r="D1755" s="51"/>
      <c r="E1755" s="149"/>
      <c r="F1755" s="56"/>
      <c r="G1755" s="150"/>
      <c r="H1755" s="59">
        <f t="shared" si="63"/>
        <v>0</v>
      </c>
      <c r="I1755" s="145"/>
    </row>
    <row r="1756" ht="22.5" customHeight="1">
      <c r="A1756" s="147"/>
      <c r="B1756" s="131"/>
      <c r="C1756" s="148"/>
      <c r="D1756" s="51"/>
      <c r="E1756" s="149"/>
      <c r="F1756" s="56"/>
      <c r="G1756" s="150"/>
      <c r="H1756" s="59">
        <f t="shared" si="63"/>
        <v>0</v>
      </c>
      <c r="I1756" s="145"/>
    </row>
    <row r="1757" ht="22.5" customHeight="1">
      <c r="A1757" s="147"/>
      <c r="B1757" s="131"/>
      <c r="C1757" s="148"/>
      <c r="D1757" s="51"/>
      <c r="E1757" s="149"/>
      <c r="F1757" s="56"/>
      <c r="G1757" s="150"/>
      <c r="H1757" s="59">
        <f t="shared" si="63"/>
        <v>0</v>
      </c>
      <c r="I1757" s="145"/>
    </row>
    <row r="1758" ht="22.5" customHeight="1">
      <c r="A1758" s="147"/>
      <c r="B1758" s="131"/>
      <c r="C1758" s="148"/>
      <c r="D1758" s="51"/>
      <c r="E1758" s="149"/>
      <c r="F1758" s="56"/>
      <c r="G1758" s="150"/>
      <c r="H1758" s="59">
        <f t="shared" si="63"/>
        <v>0</v>
      </c>
      <c r="I1758" s="145"/>
    </row>
    <row r="1759" ht="22.5" customHeight="1">
      <c r="A1759" s="147"/>
      <c r="B1759" s="131"/>
      <c r="C1759" s="148"/>
      <c r="D1759" s="51"/>
      <c r="E1759" s="149"/>
      <c r="F1759" s="56"/>
      <c r="G1759" s="150"/>
      <c r="H1759" s="59">
        <f t="shared" si="63"/>
        <v>0</v>
      </c>
      <c r="I1759" s="145"/>
    </row>
    <row r="1760" ht="22.5" customHeight="1">
      <c r="A1760" s="147"/>
      <c r="B1760" s="131"/>
      <c r="C1760" s="148"/>
      <c r="D1760" s="51"/>
      <c r="E1760" s="149"/>
      <c r="F1760" s="56"/>
      <c r="G1760" s="150"/>
      <c r="H1760" s="59">
        <f t="shared" si="63"/>
        <v>0</v>
      </c>
      <c r="I1760" s="145"/>
    </row>
    <row r="1761" ht="22.5" customHeight="1">
      <c r="A1761" s="147"/>
      <c r="B1761" s="131"/>
      <c r="C1761" s="148"/>
      <c r="D1761" s="51"/>
      <c r="E1761" s="149"/>
      <c r="F1761" s="56"/>
      <c r="G1761" s="150"/>
      <c r="H1761" s="59">
        <f t="shared" si="63"/>
        <v>0</v>
      </c>
      <c r="I1761" s="145"/>
    </row>
    <row r="1762" ht="22.5" customHeight="1">
      <c r="A1762" s="147"/>
      <c r="B1762" s="131"/>
      <c r="C1762" s="148"/>
      <c r="D1762" s="51"/>
      <c r="E1762" s="149"/>
      <c r="F1762" s="56"/>
      <c r="G1762" s="150"/>
      <c r="H1762" s="59">
        <f t="shared" si="63"/>
        <v>0</v>
      </c>
      <c r="I1762" s="145"/>
    </row>
    <row r="1763" ht="22.5" customHeight="1">
      <c r="A1763" s="147"/>
      <c r="B1763" s="131"/>
      <c r="C1763" s="148"/>
      <c r="D1763" s="51"/>
      <c r="E1763" s="149"/>
      <c r="F1763" s="56"/>
      <c r="G1763" s="150"/>
      <c r="H1763" s="59">
        <f t="shared" si="63"/>
        <v>0</v>
      </c>
      <c r="I1763" s="145"/>
    </row>
    <row r="1764" ht="22.5" customHeight="1">
      <c r="A1764" s="147"/>
      <c r="B1764" s="131"/>
      <c r="C1764" s="148"/>
      <c r="D1764" s="51"/>
      <c r="E1764" s="149"/>
      <c r="F1764" s="56"/>
      <c r="G1764" s="150"/>
      <c r="H1764" s="59">
        <f t="shared" si="63"/>
        <v>0</v>
      </c>
      <c r="I1764" s="145"/>
    </row>
    <row r="1765" ht="22.5" customHeight="1">
      <c r="A1765" s="147"/>
      <c r="B1765" s="131"/>
      <c r="C1765" s="148"/>
      <c r="D1765" s="51"/>
      <c r="E1765" s="149"/>
      <c r="F1765" s="56"/>
      <c r="G1765" s="150"/>
      <c r="H1765" s="59">
        <f t="shared" si="63"/>
        <v>0</v>
      </c>
      <c r="I1765" s="145"/>
    </row>
    <row r="1766" ht="22.5" customHeight="1">
      <c r="A1766" s="147"/>
      <c r="B1766" s="131"/>
      <c r="C1766" s="148"/>
      <c r="D1766" s="51"/>
      <c r="E1766" s="149"/>
      <c r="F1766" s="56"/>
      <c r="G1766" s="150"/>
      <c r="H1766" s="59">
        <f t="shared" si="63"/>
        <v>0</v>
      </c>
      <c r="I1766" s="145"/>
    </row>
    <row r="1767" ht="22.5" customHeight="1">
      <c r="A1767" s="147"/>
      <c r="B1767" s="131"/>
      <c r="C1767" s="148"/>
      <c r="D1767" s="51"/>
      <c r="E1767" s="149"/>
      <c r="F1767" s="56"/>
      <c r="G1767" s="150"/>
      <c r="H1767" s="59">
        <f t="shared" si="63"/>
        <v>0</v>
      </c>
      <c r="I1767" s="145"/>
    </row>
    <row r="1768" ht="22.5" customHeight="1">
      <c r="A1768" s="147"/>
      <c r="B1768" s="131"/>
      <c r="C1768" s="148"/>
      <c r="D1768" s="51"/>
      <c r="E1768" s="149"/>
      <c r="F1768" s="56"/>
      <c r="G1768" s="150"/>
      <c r="H1768" s="59">
        <f t="shared" si="63"/>
        <v>0</v>
      </c>
      <c r="I1768" s="145"/>
    </row>
    <row r="1769" ht="22.5" customHeight="1">
      <c r="A1769" s="147"/>
      <c r="B1769" s="131"/>
      <c r="C1769" s="148"/>
      <c r="D1769" s="51"/>
      <c r="E1769" s="149"/>
      <c r="F1769" s="56"/>
      <c r="G1769" s="150"/>
      <c r="H1769" s="59">
        <f t="shared" si="63"/>
        <v>0</v>
      </c>
      <c r="I1769" s="145"/>
    </row>
    <row r="1770" ht="22.5" customHeight="1">
      <c r="A1770" s="147"/>
      <c r="B1770" s="131"/>
      <c r="C1770" s="148"/>
      <c r="D1770" s="51"/>
      <c r="E1770" s="149"/>
      <c r="F1770" s="56"/>
      <c r="G1770" s="150"/>
      <c r="H1770" s="59">
        <f t="shared" si="63"/>
        <v>0</v>
      </c>
      <c r="I1770" s="145"/>
    </row>
    <row r="1771" ht="22.5" customHeight="1">
      <c r="A1771" s="147"/>
      <c r="B1771" s="131"/>
      <c r="C1771" s="148"/>
      <c r="D1771" s="51"/>
      <c r="E1771" s="149"/>
      <c r="F1771" s="56"/>
      <c r="G1771" s="150"/>
      <c r="H1771" s="59">
        <f t="shared" si="63"/>
        <v>0</v>
      </c>
      <c r="I1771" s="145"/>
    </row>
    <row r="1772" ht="22.5" customHeight="1">
      <c r="A1772" s="147"/>
      <c r="B1772" s="131"/>
      <c r="C1772" s="148"/>
      <c r="D1772" s="51"/>
      <c r="E1772" s="149"/>
      <c r="F1772" s="56"/>
      <c r="G1772" s="150"/>
      <c r="H1772" s="59">
        <f t="shared" si="63"/>
        <v>0</v>
      </c>
      <c r="I1772" s="145"/>
    </row>
    <row r="1773" ht="22.5" customHeight="1">
      <c r="A1773" s="147"/>
      <c r="B1773" s="131"/>
      <c r="C1773" s="148"/>
      <c r="D1773" s="51"/>
      <c r="E1773" s="149"/>
      <c r="F1773" s="56"/>
      <c r="G1773" s="150"/>
      <c r="H1773" s="59">
        <f t="shared" si="63"/>
        <v>0</v>
      </c>
      <c r="I1773" s="145"/>
    </row>
    <row r="1774" ht="22.5" customHeight="1">
      <c r="A1774" s="147"/>
      <c r="B1774" s="131"/>
      <c r="C1774" s="148"/>
      <c r="D1774" s="51"/>
      <c r="E1774" s="149"/>
      <c r="F1774" s="56"/>
      <c r="G1774" s="150"/>
      <c r="H1774" s="59">
        <f t="shared" si="63"/>
        <v>0</v>
      </c>
      <c r="I1774" s="145"/>
    </row>
    <row r="1775" ht="22.5" customHeight="1">
      <c r="A1775" s="147"/>
      <c r="B1775" s="131"/>
      <c r="C1775" s="148"/>
      <c r="D1775" s="51"/>
      <c r="E1775" s="149"/>
      <c r="F1775" s="56"/>
      <c r="G1775" s="150"/>
      <c r="H1775" s="59">
        <f t="shared" si="63"/>
        <v>0</v>
      </c>
      <c r="I1775" s="145"/>
    </row>
    <row r="1776" ht="22.5" customHeight="1">
      <c r="A1776" s="147"/>
      <c r="B1776" s="131"/>
      <c r="C1776" s="148"/>
      <c r="D1776" s="51"/>
      <c r="E1776" s="149"/>
      <c r="F1776" s="56"/>
      <c r="G1776" s="150"/>
      <c r="H1776" s="59">
        <f t="shared" si="63"/>
        <v>0</v>
      </c>
      <c r="I1776" s="145"/>
    </row>
    <row r="1777" ht="22.5" customHeight="1">
      <c r="A1777" s="147"/>
      <c r="B1777" s="131"/>
      <c r="C1777" s="148"/>
      <c r="D1777" s="51"/>
      <c r="E1777" s="149"/>
      <c r="F1777" s="56"/>
      <c r="G1777" s="150"/>
      <c r="H1777" s="59">
        <f t="shared" si="63"/>
        <v>0</v>
      </c>
      <c r="I1777" s="145"/>
    </row>
    <row r="1778" ht="22.5" customHeight="1">
      <c r="A1778" s="147"/>
      <c r="B1778" s="131"/>
      <c r="C1778" s="148"/>
      <c r="D1778" s="51"/>
      <c r="E1778" s="149"/>
      <c r="F1778" s="56"/>
      <c r="G1778" s="150"/>
      <c r="H1778" s="59">
        <f t="shared" si="63"/>
        <v>0</v>
      </c>
      <c r="I1778" s="145"/>
    </row>
    <row r="1779" ht="22.5" customHeight="1">
      <c r="A1779" s="147"/>
      <c r="B1779" s="131"/>
      <c r="C1779" s="148"/>
      <c r="D1779" s="51"/>
      <c r="E1779" s="149"/>
      <c r="F1779" s="56"/>
      <c r="G1779" s="150"/>
      <c r="H1779" s="59">
        <f t="shared" si="63"/>
        <v>0</v>
      </c>
      <c r="I1779" s="145"/>
    </row>
    <row r="1780" ht="22.5" customHeight="1">
      <c r="A1780" s="147"/>
      <c r="B1780" s="131"/>
      <c r="C1780" s="148"/>
      <c r="D1780" s="51"/>
      <c r="E1780" s="149"/>
      <c r="F1780" s="56"/>
      <c r="G1780" s="150"/>
      <c r="H1780" s="59">
        <f t="shared" si="63"/>
        <v>0</v>
      </c>
      <c r="I1780" s="145"/>
    </row>
    <row r="1781" ht="22.5" customHeight="1">
      <c r="A1781" s="147"/>
      <c r="B1781" s="131"/>
      <c r="C1781" s="148"/>
      <c r="D1781" s="51"/>
      <c r="E1781" s="149"/>
      <c r="F1781" s="56"/>
      <c r="G1781" s="150"/>
      <c r="H1781" s="59">
        <f t="shared" si="63"/>
        <v>0</v>
      </c>
      <c r="I1781" s="145"/>
    </row>
    <row r="1782" ht="22.5" customHeight="1">
      <c r="A1782" s="147"/>
      <c r="B1782" s="131"/>
      <c r="C1782" s="148"/>
      <c r="D1782" s="51"/>
      <c r="E1782" s="149"/>
      <c r="F1782" s="56"/>
      <c r="G1782" s="150"/>
      <c r="H1782" s="59">
        <f t="shared" si="63"/>
        <v>0</v>
      </c>
      <c r="I1782" s="145"/>
    </row>
    <row r="1783" ht="22.5" customHeight="1">
      <c r="A1783" s="147"/>
      <c r="B1783" s="131"/>
      <c r="C1783" s="148"/>
      <c r="D1783" s="51"/>
      <c r="E1783" s="149"/>
      <c r="F1783" s="56"/>
      <c r="G1783" s="150"/>
      <c r="H1783" s="59">
        <f t="shared" si="63"/>
        <v>0</v>
      </c>
      <c r="I1783" s="145"/>
    </row>
    <row r="1784" ht="22.5" customHeight="1">
      <c r="A1784" s="147"/>
      <c r="B1784" s="131"/>
      <c r="C1784" s="148"/>
      <c r="D1784" s="51"/>
      <c r="E1784" s="149"/>
      <c r="F1784" s="56"/>
      <c r="G1784" s="150"/>
      <c r="H1784" s="59">
        <f t="shared" si="63"/>
        <v>0</v>
      </c>
      <c r="I1784" s="145"/>
    </row>
    <row r="1785" ht="22.5" customHeight="1">
      <c r="A1785" s="147"/>
      <c r="B1785" s="131"/>
      <c r="C1785" s="148"/>
      <c r="D1785" s="51"/>
      <c r="E1785" s="149"/>
      <c r="F1785" s="56"/>
      <c r="G1785" s="150"/>
      <c r="H1785" s="59">
        <f t="shared" si="63"/>
        <v>0</v>
      </c>
      <c r="I1785" s="145"/>
    </row>
    <row r="1786" ht="22.5" customHeight="1">
      <c r="A1786" s="147"/>
      <c r="B1786" s="131"/>
      <c r="C1786" s="148"/>
      <c r="D1786" s="51"/>
      <c r="E1786" s="149"/>
      <c r="F1786" s="56"/>
      <c r="G1786" s="150"/>
      <c r="H1786" s="59">
        <f t="shared" si="63"/>
        <v>0</v>
      </c>
      <c r="I1786" s="145"/>
    </row>
    <row r="1787" ht="22.5" customHeight="1">
      <c r="A1787" s="147"/>
      <c r="B1787" s="131"/>
      <c r="C1787" s="148"/>
      <c r="D1787" s="51"/>
      <c r="E1787" s="149"/>
      <c r="F1787" s="56"/>
      <c r="G1787" s="150"/>
      <c r="H1787" s="59">
        <f t="shared" si="63"/>
        <v>0</v>
      </c>
      <c r="I1787" s="145"/>
    </row>
    <row r="1788" ht="22.5" customHeight="1">
      <c r="A1788" s="147"/>
      <c r="B1788" s="131"/>
      <c r="C1788" s="148"/>
      <c r="D1788" s="51"/>
      <c r="E1788" s="149"/>
      <c r="F1788" s="56"/>
      <c r="G1788" s="150"/>
      <c r="H1788" s="59">
        <f t="shared" si="63"/>
        <v>0</v>
      </c>
      <c r="I1788" s="145"/>
    </row>
    <row r="1789" ht="22.5" customHeight="1">
      <c r="A1789" s="147"/>
      <c r="B1789" s="131"/>
      <c r="C1789" s="148"/>
      <c r="D1789" s="51"/>
      <c r="E1789" s="149"/>
      <c r="F1789" s="56"/>
      <c r="G1789" s="150"/>
      <c r="H1789" s="59">
        <f t="shared" si="63"/>
        <v>0</v>
      </c>
      <c r="I1789" s="145"/>
    </row>
    <row r="1790" ht="22.5" customHeight="1">
      <c r="A1790" s="147"/>
      <c r="B1790" s="131"/>
      <c r="C1790" s="148"/>
      <c r="D1790" s="51"/>
      <c r="E1790" s="149"/>
      <c r="F1790" s="56"/>
      <c r="G1790" s="150"/>
      <c r="H1790" s="59">
        <f t="shared" si="63"/>
        <v>0</v>
      </c>
      <c r="I1790" s="145"/>
    </row>
    <row r="1791" ht="22.5" customHeight="1">
      <c r="A1791" s="147"/>
      <c r="B1791" s="131"/>
      <c r="C1791" s="148"/>
      <c r="D1791" s="51"/>
      <c r="E1791" s="149"/>
      <c r="F1791" s="56"/>
      <c r="G1791" s="150"/>
      <c r="H1791" s="59">
        <f t="shared" si="63"/>
        <v>0</v>
      </c>
      <c r="I1791" s="145"/>
    </row>
    <row r="1792" ht="22.5" customHeight="1">
      <c r="A1792" s="147"/>
      <c r="B1792" s="131"/>
      <c r="C1792" s="148"/>
      <c r="D1792" s="51"/>
      <c r="E1792" s="149"/>
      <c r="F1792" s="56"/>
      <c r="G1792" s="150"/>
      <c r="H1792" s="59">
        <f t="shared" si="63"/>
        <v>0</v>
      </c>
      <c r="I1792" s="145"/>
    </row>
    <row r="1793" ht="22.5" customHeight="1">
      <c r="A1793" s="147"/>
      <c r="B1793" s="131"/>
      <c r="C1793" s="148"/>
      <c r="D1793" s="51"/>
      <c r="E1793" s="149"/>
      <c r="F1793" s="56"/>
      <c r="G1793" s="150"/>
      <c r="H1793" s="59">
        <f t="shared" si="63"/>
        <v>0</v>
      </c>
      <c r="I1793" s="145"/>
    </row>
    <row r="1794" ht="22.5" customHeight="1">
      <c r="A1794" s="147"/>
      <c r="B1794" s="131"/>
      <c r="C1794" s="148"/>
      <c r="D1794" s="51"/>
      <c r="E1794" s="149"/>
      <c r="F1794" s="56"/>
      <c r="G1794" s="150"/>
      <c r="H1794" s="59">
        <f t="shared" si="63"/>
        <v>0</v>
      </c>
      <c r="I1794" s="145"/>
    </row>
    <row r="1795" ht="22.5" customHeight="1">
      <c r="A1795" s="147"/>
      <c r="B1795" s="131"/>
      <c r="C1795" s="148"/>
      <c r="D1795" s="51"/>
      <c r="E1795" s="149"/>
      <c r="F1795" s="56"/>
      <c r="G1795" s="150"/>
      <c r="H1795" s="59">
        <f t="shared" si="63"/>
        <v>0</v>
      </c>
      <c r="I1795" s="145"/>
    </row>
    <row r="1796" ht="22.5" customHeight="1">
      <c r="A1796" s="147"/>
      <c r="B1796" s="131"/>
      <c r="C1796" s="148"/>
      <c r="D1796" s="51"/>
      <c r="E1796" s="149"/>
      <c r="F1796" s="56"/>
      <c r="G1796" s="150"/>
      <c r="H1796" s="59">
        <f t="shared" si="63"/>
        <v>0</v>
      </c>
      <c r="I1796" s="145"/>
    </row>
    <row r="1797" ht="22.5" customHeight="1">
      <c r="A1797" s="147"/>
      <c r="B1797" s="131"/>
      <c r="C1797" s="148"/>
      <c r="D1797" s="51"/>
      <c r="E1797" s="149"/>
      <c r="F1797" s="56"/>
      <c r="G1797" s="150"/>
      <c r="H1797" s="59">
        <f t="shared" si="63"/>
        <v>0</v>
      </c>
      <c r="I1797" s="145"/>
    </row>
    <row r="1798" ht="22.5" customHeight="1">
      <c r="A1798" s="147"/>
      <c r="B1798" s="131"/>
      <c r="C1798" s="148"/>
      <c r="D1798" s="51"/>
      <c r="E1798" s="149"/>
      <c r="F1798" s="56"/>
      <c r="G1798" s="150"/>
      <c r="H1798" s="59">
        <f t="shared" si="63"/>
        <v>0</v>
      </c>
      <c r="I1798" s="145"/>
    </row>
    <row r="1799" ht="22.5" customHeight="1">
      <c r="A1799" s="147"/>
      <c r="B1799" s="131"/>
      <c r="C1799" s="148"/>
      <c r="D1799" s="51"/>
      <c r="E1799" s="149"/>
      <c r="F1799" s="56"/>
      <c r="G1799" s="150"/>
      <c r="H1799" s="59">
        <f t="shared" si="63"/>
        <v>0</v>
      </c>
      <c r="I1799" s="145"/>
    </row>
    <row r="1800" ht="22.5" customHeight="1">
      <c r="A1800" s="147"/>
      <c r="B1800" s="131"/>
      <c r="C1800" s="148"/>
      <c r="D1800" s="51"/>
      <c r="E1800" s="149"/>
      <c r="F1800" s="56"/>
      <c r="G1800" s="150"/>
      <c r="H1800" s="59">
        <f t="shared" si="63"/>
        <v>0</v>
      </c>
      <c r="I1800" s="145"/>
    </row>
    <row r="1801" ht="22.5" customHeight="1">
      <c r="A1801" s="147"/>
      <c r="B1801" s="131"/>
      <c r="C1801" s="148"/>
      <c r="D1801" s="51"/>
      <c r="E1801" s="149"/>
      <c r="F1801" s="56"/>
      <c r="G1801" s="150"/>
      <c r="H1801" s="59">
        <f t="shared" si="63"/>
        <v>0</v>
      </c>
      <c r="I1801" s="145"/>
    </row>
    <row r="1802" ht="22.5" customHeight="1">
      <c r="A1802" s="147"/>
      <c r="B1802" s="131"/>
      <c r="C1802" s="148"/>
      <c r="D1802" s="51"/>
      <c r="E1802" s="149"/>
      <c r="F1802" s="56"/>
      <c r="G1802" s="150"/>
      <c r="H1802" s="59">
        <f t="shared" si="63"/>
        <v>0</v>
      </c>
      <c r="I1802" s="145"/>
    </row>
    <row r="1803" ht="22.5" customHeight="1">
      <c r="A1803" s="147"/>
      <c r="B1803" s="131"/>
      <c r="C1803" s="148"/>
      <c r="D1803" s="51"/>
      <c r="E1803" s="149"/>
      <c r="F1803" s="56"/>
      <c r="G1803" s="150"/>
      <c r="H1803" s="59">
        <f t="shared" si="63"/>
        <v>0</v>
      </c>
      <c r="I1803" s="145"/>
    </row>
    <row r="1804" ht="22.5" customHeight="1">
      <c r="A1804" s="147"/>
      <c r="B1804" s="131"/>
      <c r="C1804" s="148"/>
      <c r="D1804" s="51"/>
      <c r="E1804" s="149"/>
      <c r="F1804" s="56"/>
      <c r="G1804" s="150"/>
      <c r="H1804" s="59">
        <f t="shared" si="63"/>
        <v>0</v>
      </c>
      <c r="I1804" s="145"/>
    </row>
    <row r="1805" ht="22.5" customHeight="1">
      <c r="A1805" s="147"/>
      <c r="B1805" s="131"/>
      <c r="C1805" s="148"/>
      <c r="D1805" s="51"/>
      <c r="E1805" s="149"/>
      <c r="F1805" s="56"/>
      <c r="G1805" s="150"/>
      <c r="H1805" s="59">
        <f t="shared" si="63"/>
        <v>0</v>
      </c>
      <c r="I1805" s="145"/>
    </row>
    <row r="1806" ht="22.5" customHeight="1">
      <c r="A1806" s="147"/>
      <c r="B1806" s="131"/>
      <c r="C1806" s="148"/>
      <c r="D1806" s="51"/>
      <c r="E1806" s="149"/>
      <c r="F1806" s="56"/>
      <c r="G1806" s="150"/>
      <c r="H1806" s="59">
        <f t="shared" si="63"/>
        <v>0</v>
      </c>
      <c r="I1806" s="145"/>
    </row>
    <row r="1807" ht="22.5" customHeight="1">
      <c r="A1807" s="147"/>
      <c r="B1807" s="131"/>
      <c r="C1807" s="148"/>
      <c r="D1807" s="51"/>
      <c r="E1807" s="149"/>
      <c r="F1807" s="56"/>
      <c r="G1807" s="150"/>
      <c r="H1807" s="59">
        <f t="shared" si="63"/>
        <v>0</v>
      </c>
      <c r="I1807" s="145"/>
    </row>
    <row r="1808" ht="22.5" customHeight="1">
      <c r="A1808" s="147"/>
      <c r="B1808" s="131"/>
      <c r="C1808" s="148"/>
      <c r="D1808" s="51"/>
      <c r="E1808" s="149"/>
      <c r="F1808" s="56"/>
      <c r="G1808" s="150"/>
      <c r="H1808" s="59">
        <f t="shared" si="63"/>
        <v>0</v>
      </c>
      <c r="I1808" s="145"/>
    </row>
    <row r="1809" ht="22.5" customHeight="1">
      <c r="A1809" s="147"/>
      <c r="B1809" s="131"/>
      <c r="C1809" s="148"/>
      <c r="D1809" s="51"/>
      <c r="E1809" s="149"/>
      <c r="F1809" s="56"/>
      <c r="G1809" s="150"/>
      <c r="H1809" s="59">
        <f t="shared" si="63"/>
        <v>0</v>
      </c>
      <c r="I1809" s="145"/>
    </row>
    <row r="1810" ht="22.5" customHeight="1">
      <c r="A1810" s="147"/>
      <c r="B1810" s="131"/>
      <c r="C1810" s="148"/>
      <c r="D1810" s="51"/>
      <c r="E1810" s="149"/>
      <c r="F1810" s="56"/>
      <c r="G1810" s="150"/>
      <c r="H1810" s="59">
        <f t="shared" si="63"/>
        <v>0</v>
      </c>
      <c r="I1810" s="145"/>
    </row>
    <row r="1811" ht="22.5" customHeight="1">
      <c r="A1811" s="147"/>
      <c r="B1811" s="131"/>
      <c r="C1811" s="148"/>
      <c r="D1811" s="51"/>
      <c r="E1811" s="149"/>
      <c r="F1811" s="56"/>
      <c r="G1811" s="150"/>
      <c r="H1811" s="59">
        <f t="shared" si="63"/>
        <v>0</v>
      </c>
      <c r="I1811" s="145"/>
    </row>
    <row r="1812" ht="22.5" customHeight="1">
      <c r="A1812" s="147"/>
      <c r="B1812" s="131"/>
      <c r="C1812" s="148"/>
      <c r="D1812" s="51"/>
      <c r="E1812" s="149"/>
      <c r="F1812" s="56"/>
      <c r="G1812" s="150"/>
      <c r="H1812" s="59">
        <f t="shared" si="63"/>
        <v>0</v>
      </c>
      <c r="I1812" s="145"/>
    </row>
    <row r="1813" ht="22.5" customHeight="1">
      <c r="A1813" s="147"/>
      <c r="B1813" s="131"/>
      <c r="C1813" s="148"/>
      <c r="D1813" s="51"/>
      <c r="E1813" s="149"/>
      <c r="F1813" s="56"/>
      <c r="G1813" s="150"/>
      <c r="H1813" s="59">
        <f t="shared" si="63"/>
        <v>0</v>
      </c>
      <c r="I1813" s="145"/>
    </row>
    <row r="1814" ht="22.5" customHeight="1">
      <c r="A1814" s="147"/>
      <c r="B1814" s="131"/>
      <c r="C1814" s="148"/>
      <c r="D1814" s="51"/>
      <c r="E1814" s="149"/>
      <c r="F1814" s="56"/>
      <c r="G1814" s="150"/>
      <c r="H1814" s="59">
        <f t="shared" si="63"/>
        <v>0</v>
      </c>
      <c r="I1814" s="145"/>
    </row>
    <row r="1815" ht="22.5" customHeight="1">
      <c r="A1815" s="147"/>
      <c r="B1815" s="131"/>
      <c r="C1815" s="148"/>
      <c r="D1815" s="51"/>
      <c r="E1815" s="149"/>
      <c r="F1815" s="56"/>
      <c r="G1815" s="150"/>
      <c r="H1815" s="59">
        <f t="shared" si="63"/>
        <v>0</v>
      </c>
      <c r="I1815" s="145"/>
    </row>
    <row r="1816" ht="22.5" customHeight="1">
      <c r="A1816" s="147"/>
      <c r="B1816" s="131"/>
      <c r="C1816" s="148"/>
      <c r="D1816" s="51"/>
      <c r="E1816" s="149"/>
      <c r="F1816" s="56"/>
      <c r="G1816" s="150"/>
      <c r="H1816" s="59">
        <f t="shared" si="63"/>
        <v>0</v>
      </c>
      <c r="I1816" s="145"/>
    </row>
    <row r="1817" ht="22.5" customHeight="1">
      <c r="A1817" s="147"/>
      <c r="B1817" s="131"/>
      <c r="C1817" s="148"/>
      <c r="D1817" s="51"/>
      <c r="E1817" s="149"/>
      <c r="F1817" s="56"/>
      <c r="G1817" s="150"/>
      <c r="H1817" s="59">
        <f t="shared" si="63"/>
        <v>0</v>
      </c>
      <c r="I1817" s="145"/>
    </row>
    <row r="1818" ht="22.5" customHeight="1">
      <c r="A1818" s="147"/>
      <c r="B1818" s="131"/>
      <c r="C1818" s="148"/>
      <c r="D1818" s="51"/>
      <c r="E1818" s="149"/>
      <c r="F1818" s="56"/>
      <c r="G1818" s="150"/>
      <c r="H1818" s="59">
        <f t="shared" si="63"/>
        <v>0</v>
      </c>
      <c r="I1818" s="145"/>
    </row>
    <row r="1819" ht="22.5" customHeight="1">
      <c r="A1819" s="147"/>
      <c r="B1819" s="131"/>
      <c r="C1819" s="148"/>
      <c r="D1819" s="51"/>
      <c r="E1819" s="149"/>
      <c r="F1819" s="56"/>
      <c r="G1819" s="150"/>
      <c r="H1819" s="59">
        <f t="shared" si="63"/>
        <v>0</v>
      </c>
      <c r="I1819" s="145"/>
    </row>
    <row r="1820" ht="22.5" customHeight="1">
      <c r="A1820" s="147"/>
      <c r="B1820" s="131"/>
      <c r="C1820" s="148"/>
      <c r="D1820" s="51"/>
      <c r="E1820" s="149"/>
      <c r="F1820" s="56"/>
      <c r="G1820" s="150"/>
      <c r="H1820" s="59">
        <f t="shared" si="63"/>
        <v>0</v>
      </c>
      <c r="I1820" s="145"/>
    </row>
    <row r="1821" ht="22.5" customHeight="1">
      <c r="A1821" s="147"/>
      <c r="B1821" s="131"/>
      <c r="C1821" s="148"/>
      <c r="D1821" s="51"/>
      <c r="E1821" s="149"/>
      <c r="F1821" s="56"/>
      <c r="G1821" s="150"/>
      <c r="H1821" s="59">
        <f t="shared" si="63"/>
        <v>0</v>
      </c>
      <c r="I1821" s="145"/>
    </row>
    <row r="1822" ht="22.5" customHeight="1">
      <c r="A1822" s="147"/>
      <c r="B1822" s="131"/>
      <c r="C1822" s="148"/>
      <c r="D1822" s="51"/>
      <c r="E1822" s="149"/>
      <c r="F1822" s="56"/>
      <c r="G1822" s="150"/>
      <c r="H1822" s="59">
        <f t="shared" si="63"/>
        <v>0</v>
      </c>
      <c r="I1822" s="145"/>
    </row>
    <row r="1823" ht="22.5" customHeight="1">
      <c r="A1823" s="147"/>
      <c r="B1823" s="131"/>
      <c r="C1823" s="148"/>
      <c r="D1823" s="51"/>
      <c r="E1823" s="149"/>
      <c r="F1823" s="56"/>
      <c r="G1823" s="150"/>
      <c r="H1823" s="59">
        <f t="shared" si="63"/>
        <v>0</v>
      </c>
      <c r="I1823" s="145"/>
    </row>
    <row r="1824" ht="22.5" customHeight="1">
      <c r="A1824" s="147"/>
      <c r="B1824" s="131"/>
      <c r="C1824" s="148"/>
      <c r="D1824" s="51"/>
      <c r="E1824" s="149"/>
      <c r="F1824" s="56"/>
      <c r="G1824" s="150"/>
      <c r="H1824" s="59">
        <f t="shared" si="63"/>
        <v>0</v>
      </c>
      <c r="I1824" s="145"/>
    </row>
    <row r="1825" ht="22.5" customHeight="1">
      <c r="A1825" s="147"/>
      <c r="B1825" s="131"/>
      <c r="C1825" s="148"/>
      <c r="D1825" s="51"/>
      <c r="E1825" s="149"/>
      <c r="F1825" s="56"/>
      <c r="G1825" s="150"/>
      <c r="H1825" s="59">
        <f t="shared" si="63"/>
        <v>0</v>
      </c>
      <c r="I1825" s="145"/>
    </row>
    <row r="1826" ht="22.5" customHeight="1">
      <c r="A1826" s="147"/>
      <c r="B1826" s="131"/>
      <c r="C1826" s="148"/>
      <c r="D1826" s="51"/>
      <c r="E1826" s="149"/>
      <c r="F1826" s="56"/>
      <c r="G1826" s="150"/>
      <c r="H1826" s="59">
        <f t="shared" si="63"/>
        <v>0</v>
      </c>
      <c r="I1826" s="145"/>
    </row>
    <row r="1827" ht="22.5" customHeight="1">
      <c r="A1827" s="147"/>
      <c r="B1827" s="131"/>
      <c r="C1827" s="148"/>
      <c r="D1827" s="51"/>
      <c r="E1827" s="149"/>
      <c r="F1827" s="56"/>
      <c r="G1827" s="150"/>
      <c r="H1827" s="59">
        <f t="shared" si="63"/>
        <v>0</v>
      </c>
      <c r="I1827" s="145"/>
    </row>
    <row r="1828" ht="22.5" customHeight="1">
      <c r="A1828" s="147"/>
      <c r="B1828" s="131"/>
      <c r="C1828" s="148"/>
      <c r="D1828" s="51"/>
      <c r="E1828" s="149"/>
      <c r="F1828" s="56"/>
      <c r="G1828" s="150"/>
      <c r="H1828" s="59">
        <f t="shared" si="63"/>
        <v>0</v>
      </c>
      <c r="I1828" s="145"/>
    </row>
    <row r="1829" ht="22.5" customHeight="1">
      <c r="A1829" s="147"/>
      <c r="B1829" s="131"/>
      <c r="C1829" s="148"/>
      <c r="D1829" s="51"/>
      <c r="E1829" s="149"/>
      <c r="F1829" s="56"/>
      <c r="G1829" s="150"/>
      <c r="H1829" s="59">
        <f t="shared" si="63"/>
        <v>0</v>
      </c>
      <c r="I1829" s="145"/>
    </row>
    <row r="1830" ht="22.5" customHeight="1">
      <c r="A1830" s="147"/>
      <c r="B1830" s="131"/>
      <c r="C1830" s="148"/>
      <c r="D1830" s="51"/>
      <c r="E1830" s="149"/>
      <c r="F1830" s="56"/>
      <c r="G1830" s="150"/>
      <c r="H1830" s="59">
        <f t="shared" si="63"/>
        <v>0</v>
      </c>
      <c r="I1830" s="145"/>
    </row>
    <row r="1831" ht="22.5" customHeight="1">
      <c r="A1831" s="147"/>
      <c r="B1831" s="131"/>
      <c r="C1831" s="148"/>
      <c r="D1831" s="51"/>
      <c r="E1831" s="149"/>
      <c r="F1831" s="56"/>
      <c r="G1831" s="150"/>
      <c r="H1831" s="59">
        <f t="shared" si="63"/>
        <v>0</v>
      </c>
      <c r="I1831" s="145"/>
    </row>
    <row r="1832" ht="22.5" customHeight="1">
      <c r="A1832" s="147"/>
      <c r="B1832" s="131"/>
      <c r="C1832" s="148"/>
      <c r="D1832" s="51"/>
      <c r="E1832" s="149"/>
      <c r="F1832" s="56"/>
      <c r="G1832" s="150"/>
      <c r="H1832" s="59">
        <f t="shared" si="63"/>
        <v>0</v>
      </c>
      <c r="I1832" s="145"/>
    </row>
    <row r="1833" ht="22.5" customHeight="1">
      <c r="A1833" s="147"/>
      <c r="B1833" s="131"/>
      <c r="C1833" s="148"/>
      <c r="D1833" s="51"/>
      <c r="E1833" s="149"/>
      <c r="F1833" s="56"/>
      <c r="G1833" s="150"/>
      <c r="H1833" s="59">
        <f t="shared" si="63"/>
        <v>0</v>
      </c>
      <c r="I1833" s="145"/>
    </row>
    <row r="1834" ht="22.5" customHeight="1">
      <c r="A1834" s="147"/>
      <c r="B1834" s="131"/>
      <c r="C1834" s="148"/>
      <c r="D1834" s="51"/>
      <c r="E1834" s="149"/>
      <c r="F1834" s="56"/>
      <c r="G1834" s="150"/>
      <c r="H1834" s="59">
        <f t="shared" si="63"/>
        <v>0</v>
      </c>
      <c r="I1834" s="145"/>
    </row>
    <row r="1835" ht="22.5" customHeight="1">
      <c r="A1835" s="147"/>
      <c r="B1835" s="131"/>
      <c r="C1835" s="148"/>
      <c r="D1835" s="51"/>
      <c r="E1835" s="149"/>
      <c r="F1835" s="56"/>
      <c r="G1835" s="150"/>
      <c r="H1835" s="59">
        <f t="shared" si="63"/>
        <v>0</v>
      </c>
      <c r="I1835" s="145"/>
    </row>
    <row r="1836" ht="22.5" customHeight="1">
      <c r="A1836" s="147"/>
      <c r="B1836" s="131"/>
      <c r="C1836" s="148"/>
      <c r="D1836" s="51"/>
      <c r="E1836" s="149"/>
      <c r="F1836" s="56"/>
      <c r="G1836" s="150"/>
      <c r="H1836" s="59">
        <f t="shared" si="63"/>
        <v>0</v>
      </c>
      <c r="I1836" s="145"/>
    </row>
    <row r="1837" ht="22.5" customHeight="1">
      <c r="A1837" s="147"/>
      <c r="B1837" s="131"/>
      <c r="C1837" s="148"/>
      <c r="D1837" s="51"/>
      <c r="E1837" s="149"/>
      <c r="F1837" s="56"/>
      <c r="G1837" s="150"/>
      <c r="H1837" s="59">
        <f t="shared" si="63"/>
        <v>0</v>
      </c>
      <c r="I1837" s="145"/>
    </row>
    <row r="1838" ht="22.5" customHeight="1">
      <c r="A1838" s="147"/>
      <c r="B1838" s="131"/>
      <c r="C1838" s="148"/>
      <c r="D1838" s="51"/>
      <c r="E1838" s="149"/>
      <c r="F1838" s="56"/>
      <c r="G1838" s="150"/>
      <c r="H1838" s="59">
        <f t="shared" si="63"/>
        <v>0</v>
      </c>
      <c r="I1838" s="145"/>
    </row>
    <row r="1839" ht="22.5" customHeight="1">
      <c r="A1839" s="147"/>
      <c r="B1839" s="131"/>
      <c r="C1839" s="148"/>
      <c r="D1839" s="51"/>
      <c r="E1839" s="149"/>
      <c r="F1839" s="56"/>
      <c r="G1839" s="150"/>
      <c r="H1839" s="59">
        <f t="shared" si="63"/>
        <v>0</v>
      </c>
      <c r="I1839" s="145"/>
    </row>
    <row r="1840" ht="22.5" customHeight="1">
      <c r="A1840" s="147"/>
      <c r="B1840" s="131"/>
      <c r="C1840" s="148"/>
      <c r="D1840" s="51"/>
      <c r="E1840" s="149"/>
      <c r="F1840" s="56"/>
      <c r="G1840" s="150"/>
      <c r="H1840" s="59">
        <f t="shared" si="63"/>
        <v>0</v>
      </c>
      <c r="I1840" s="145"/>
    </row>
    <row r="1841" ht="22.5" customHeight="1">
      <c r="A1841" s="147"/>
      <c r="B1841" s="131"/>
      <c r="C1841" s="148"/>
      <c r="D1841" s="51"/>
      <c r="E1841" s="149"/>
      <c r="F1841" s="56"/>
      <c r="G1841" s="150"/>
      <c r="H1841" s="59">
        <f t="shared" si="63"/>
        <v>0</v>
      </c>
      <c r="I1841" s="145"/>
    </row>
    <row r="1842" ht="22.5" customHeight="1">
      <c r="A1842" s="147"/>
      <c r="B1842" s="131"/>
      <c r="C1842" s="148"/>
      <c r="D1842" s="51"/>
      <c r="E1842" s="149"/>
      <c r="F1842" s="56"/>
      <c r="G1842" s="150"/>
      <c r="H1842" s="59">
        <f t="shared" si="63"/>
        <v>0</v>
      </c>
      <c r="I1842" s="145"/>
    </row>
    <row r="1843" ht="22.5" customHeight="1">
      <c r="A1843" s="147"/>
      <c r="B1843" s="131"/>
      <c r="C1843" s="148"/>
      <c r="D1843" s="51"/>
      <c r="E1843" s="149"/>
      <c r="F1843" s="56"/>
      <c r="G1843" s="150"/>
      <c r="H1843" s="59">
        <f t="shared" si="63"/>
        <v>0</v>
      </c>
      <c r="I1843" s="145"/>
    </row>
    <row r="1844" ht="22.5" customHeight="1">
      <c r="A1844" s="147"/>
      <c r="B1844" s="131"/>
      <c r="C1844" s="148"/>
      <c r="D1844" s="51"/>
      <c r="E1844" s="149"/>
      <c r="F1844" s="56"/>
      <c r="G1844" s="150"/>
      <c r="H1844" s="59">
        <f t="shared" si="63"/>
        <v>0</v>
      </c>
      <c r="I1844" s="145"/>
    </row>
    <row r="1845" ht="22.5" customHeight="1">
      <c r="A1845" s="147"/>
      <c r="B1845" s="131"/>
      <c r="C1845" s="148"/>
      <c r="D1845" s="51"/>
      <c r="E1845" s="149"/>
      <c r="F1845" s="56"/>
      <c r="G1845" s="150"/>
      <c r="H1845" s="59">
        <f t="shared" si="63"/>
        <v>0</v>
      </c>
      <c r="I1845" s="145"/>
    </row>
    <row r="1846" ht="22.5" customHeight="1">
      <c r="A1846" s="147"/>
      <c r="B1846" s="131"/>
      <c r="C1846" s="148"/>
      <c r="D1846" s="51"/>
      <c r="E1846" s="149"/>
      <c r="F1846" s="56"/>
      <c r="G1846" s="150"/>
      <c r="H1846" s="59">
        <f t="shared" si="63"/>
        <v>0</v>
      </c>
      <c r="I1846" s="145"/>
    </row>
    <row r="1847" ht="22.5" customHeight="1">
      <c r="A1847" s="147"/>
      <c r="B1847" s="131"/>
      <c r="C1847" s="148"/>
      <c r="D1847" s="51"/>
      <c r="E1847" s="149"/>
      <c r="F1847" s="56"/>
      <c r="G1847" s="150"/>
      <c r="H1847" s="59">
        <f t="shared" si="63"/>
        <v>0</v>
      </c>
      <c r="I1847" s="145"/>
    </row>
    <row r="1848" ht="22.5" customHeight="1">
      <c r="A1848" s="147"/>
      <c r="B1848" s="131"/>
      <c r="C1848" s="148"/>
      <c r="D1848" s="51"/>
      <c r="E1848" s="149"/>
      <c r="F1848" s="56"/>
      <c r="G1848" s="150"/>
      <c r="H1848" s="59">
        <f t="shared" si="63"/>
        <v>0</v>
      </c>
      <c r="I1848" s="145"/>
    </row>
    <row r="1849" ht="22.5" customHeight="1">
      <c r="A1849" s="147"/>
      <c r="B1849" s="131"/>
      <c r="C1849" s="148"/>
      <c r="D1849" s="51"/>
      <c r="E1849" s="149"/>
      <c r="F1849" s="56"/>
      <c r="G1849" s="150"/>
      <c r="H1849" s="59">
        <f t="shared" si="63"/>
        <v>0</v>
      </c>
      <c r="I1849" s="145"/>
    </row>
    <row r="1850" ht="22.5" customHeight="1">
      <c r="A1850" s="147"/>
      <c r="B1850" s="131"/>
      <c r="C1850" s="148"/>
      <c r="D1850" s="51"/>
      <c r="E1850" s="149"/>
      <c r="F1850" s="56"/>
      <c r="G1850" s="150"/>
      <c r="H1850" s="59">
        <f t="shared" si="63"/>
        <v>0</v>
      </c>
      <c r="I1850" s="145"/>
    </row>
    <row r="1851" ht="22.5" customHeight="1">
      <c r="A1851" s="147"/>
      <c r="B1851" s="131"/>
      <c r="C1851" s="148"/>
      <c r="D1851" s="51"/>
      <c r="E1851" s="149"/>
      <c r="F1851" s="56"/>
      <c r="G1851" s="150"/>
      <c r="H1851" s="59">
        <f t="shared" si="63"/>
        <v>0</v>
      </c>
      <c r="I1851" s="145"/>
    </row>
    <row r="1852" ht="22.5" customHeight="1">
      <c r="A1852" s="147"/>
      <c r="B1852" s="131"/>
      <c r="C1852" s="148"/>
      <c r="D1852" s="51"/>
      <c r="E1852" s="149"/>
      <c r="F1852" s="56"/>
      <c r="G1852" s="150"/>
      <c r="H1852" s="59">
        <f t="shared" si="63"/>
        <v>0</v>
      </c>
      <c r="I1852" s="145"/>
    </row>
    <row r="1853" ht="22.5" customHeight="1">
      <c r="A1853" s="147"/>
      <c r="B1853" s="131"/>
      <c r="C1853" s="148"/>
      <c r="D1853" s="51"/>
      <c r="E1853" s="149"/>
      <c r="F1853" s="56"/>
      <c r="G1853" s="150"/>
      <c r="H1853" s="59">
        <f t="shared" si="63"/>
        <v>0</v>
      </c>
      <c r="I1853" s="145"/>
    </row>
    <row r="1854" ht="22.5" customHeight="1">
      <c r="A1854" s="147"/>
      <c r="B1854" s="131"/>
      <c r="C1854" s="148"/>
      <c r="D1854" s="51"/>
      <c r="E1854" s="149"/>
      <c r="F1854" s="56"/>
      <c r="G1854" s="150"/>
      <c r="H1854" s="59">
        <f t="shared" si="63"/>
        <v>0</v>
      </c>
      <c r="I1854" s="145"/>
    </row>
    <row r="1855" ht="22.5" customHeight="1">
      <c r="A1855" s="147"/>
      <c r="B1855" s="131"/>
      <c r="C1855" s="148"/>
      <c r="D1855" s="51"/>
      <c r="E1855" s="149"/>
      <c r="F1855" s="56"/>
      <c r="G1855" s="150"/>
      <c r="H1855" s="59">
        <f t="shared" si="63"/>
        <v>0</v>
      </c>
      <c r="I1855" s="145"/>
    </row>
    <row r="1856" ht="22.5" customHeight="1">
      <c r="A1856" s="147"/>
      <c r="B1856" s="131"/>
      <c r="C1856" s="148"/>
      <c r="D1856" s="51"/>
      <c r="E1856" s="149"/>
      <c r="F1856" s="56"/>
      <c r="G1856" s="150"/>
      <c r="H1856" s="59">
        <f t="shared" si="63"/>
        <v>0</v>
      </c>
      <c r="I1856" s="145"/>
    </row>
    <row r="1857" ht="22.5" customHeight="1">
      <c r="A1857" s="147"/>
      <c r="B1857" s="131"/>
      <c r="C1857" s="148"/>
      <c r="D1857" s="51"/>
      <c r="E1857" s="149"/>
      <c r="F1857" s="56"/>
      <c r="G1857" s="150"/>
      <c r="H1857" s="59">
        <f t="shared" si="63"/>
        <v>0</v>
      </c>
      <c r="I1857" s="145"/>
    </row>
    <row r="1858" ht="22.5" customHeight="1">
      <c r="A1858" s="147"/>
      <c r="B1858" s="131"/>
      <c r="C1858" s="148"/>
      <c r="D1858" s="51"/>
      <c r="E1858" s="149"/>
      <c r="F1858" s="56"/>
      <c r="G1858" s="150"/>
      <c r="H1858" s="59">
        <f t="shared" si="63"/>
        <v>0</v>
      </c>
      <c r="I1858" s="145"/>
    </row>
    <row r="1859" ht="22.5" customHeight="1">
      <c r="A1859" s="147"/>
      <c r="B1859" s="131"/>
      <c r="C1859" s="148"/>
      <c r="D1859" s="51"/>
      <c r="E1859" s="149"/>
      <c r="F1859" s="56"/>
      <c r="G1859" s="150"/>
      <c r="H1859" s="59">
        <f t="shared" si="63"/>
        <v>0</v>
      </c>
      <c r="I1859" s="145"/>
    </row>
    <row r="1860" ht="22.5" customHeight="1">
      <c r="A1860" s="147"/>
      <c r="B1860" s="131"/>
      <c r="C1860" s="148"/>
      <c r="D1860" s="51"/>
      <c r="E1860" s="149"/>
      <c r="F1860" s="56"/>
      <c r="G1860" s="150"/>
      <c r="H1860" s="59">
        <f t="shared" si="63"/>
        <v>0</v>
      </c>
      <c r="I1860" s="145"/>
    </row>
    <row r="1861" ht="22.5" customHeight="1">
      <c r="A1861" s="147"/>
      <c r="B1861" s="131"/>
      <c r="C1861" s="148"/>
      <c r="D1861" s="51"/>
      <c r="E1861" s="149"/>
      <c r="F1861" s="56"/>
      <c r="G1861" s="150"/>
      <c r="H1861" s="59">
        <f t="shared" si="63"/>
        <v>0</v>
      </c>
      <c r="I1861" s="145"/>
    </row>
    <row r="1862" ht="22.5" customHeight="1">
      <c r="A1862" s="147"/>
      <c r="B1862" s="131"/>
      <c r="C1862" s="148"/>
      <c r="D1862" s="51"/>
      <c r="E1862" s="149"/>
      <c r="F1862" s="56"/>
      <c r="G1862" s="150"/>
      <c r="H1862" s="59">
        <f t="shared" si="63"/>
        <v>0</v>
      </c>
      <c r="I1862" s="145"/>
    </row>
    <row r="1863" ht="22.5" customHeight="1">
      <c r="A1863" s="147"/>
      <c r="B1863" s="131"/>
      <c r="C1863" s="148"/>
      <c r="D1863" s="51"/>
      <c r="E1863" s="149"/>
      <c r="F1863" s="56"/>
      <c r="G1863" s="150"/>
      <c r="H1863" s="59">
        <f t="shared" si="63"/>
        <v>0</v>
      </c>
      <c r="I1863" s="145"/>
    </row>
    <row r="1864" ht="22.5" customHeight="1">
      <c r="A1864" s="147"/>
      <c r="B1864" s="131"/>
      <c r="C1864" s="148"/>
      <c r="D1864" s="51"/>
      <c r="E1864" s="149"/>
      <c r="F1864" s="56"/>
      <c r="G1864" s="150"/>
      <c r="H1864" s="59">
        <f t="shared" si="63"/>
        <v>0</v>
      </c>
      <c r="I1864" s="145"/>
    </row>
    <row r="1865" ht="22.5" customHeight="1">
      <c r="A1865" s="147"/>
      <c r="B1865" s="131"/>
      <c r="C1865" s="148"/>
      <c r="D1865" s="51"/>
      <c r="E1865" s="149"/>
      <c r="F1865" s="56"/>
      <c r="G1865" s="150"/>
      <c r="H1865" s="59">
        <f t="shared" si="63"/>
        <v>0</v>
      </c>
      <c r="I1865" s="145"/>
    </row>
    <row r="1866" ht="22.5" customHeight="1">
      <c r="A1866" s="147"/>
      <c r="B1866" s="131"/>
      <c r="C1866" s="148"/>
      <c r="D1866" s="51"/>
      <c r="E1866" s="149"/>
      <c r="F1866" s="56"/>
      <c r="G1866" s="150"/>
      <c r="H1866" s="59">
        <f t="shared" si="63"/>
        <v>0</v>
      </c>
      <c r="I1866" s="145"/>
    </row>
    <row r="1867" ht="22.5" customHeight="1">
      <c r="A1867" s="147"/>
      <c r="B1867" s="131"/>
      <c r="C1867" s="148"/>
      <c r="D1867" s="51"/>
      <c r="E1867" s="149"/>
      <c r="F1867" s="56"/>
      <c r="G1867" s="150"/>
      <c r="H1867" s="59">
        <f t="shared" si="63"/>
        <v>0</v>
      </c>
      <c r="I1867" s="145"/>
    </row>
    <row r="1868" ht="22.5" customHeight="1">
      <c r="A1868" s="147"/>
      <c r="B1868" s="131"/>
      <c r="C1868" s="148"/>
      <c r="D1868" s="51"/>
      <c r="E1868" s="149"/>
      <c r="F1868" s="56"/>
      <c r="G1868" s="150"/>
      <c r="H1868" s="59">
        <f t="shared" si="63"/>
        <v>0</v>
      </c>
      <c r="I1868" s="145"/>
    </row>
    <row r="1869" ht="22.5" customHeight="1">
      <c r="A1869" s="147"/>
      <c r="B1869" s="131"/>
      <c r="C1869" s="148"/>
      <c r="D1869" s="51"/>
      <c r="E1869" s="149"/>
      <c r="F1869" s="56"/>
      <c r="G1869" s="150"/>
      <c r="H1869" s="59">
        <f t="shared" si="63"/>
        <v>0</v>
      </c>
      <c r="I1869" s="145"/>
    </row>
    <row r="1870" ht="22.5" customHeight="1">
      <c r="A1870" s="147"/>
      <c r="B1870" s="131"/>
      <c r="C1870" s="148"/>
      <c r="D1870" s="51"/>
      <c r="E1870" s="149"/>
      <c r="F1870" s="56"/>
      <c r="G1870" s="150"/>
      <c r="H1870" s="59">
        <f t="shared" si="63"/>
        <v>0</v>
      </c>
      <c r="I1870" s="145"/>
    </row>
    <row r="1871" ht="22.5" customHeight="1">
      <c r="A1871" s="147"/>
      <c r="B1871" s="131"/>
      <c r="C1871" s="148"/>
      <c r="D1871" s="51"/>
      <c r="E1871" s="149"/>
      <c r="F1871" s="56"/>
      <c r="G1871" s="150"/>
      <c r="H1871" s="59">
        <f t="shared" si="63"/>
        <v>0</v>
      </c>
      <c r="I1871" s="145"/>
    </row>
    <row r="1872" ht="22.5" customHeight="1">
      <c r="A1872" s="147"/>
      <c r="B1872" s="131"/>
      <c r="C1872" s="148"/>
      <c r="D1872" s="51"/>
      <c r="E1872" s="149"/>
      <c r="F1872" s="56"/>
      <c r="G1872" s="150"/>
      <c r="H1872" s="59">
        <f t="shared" si="63"/>
        <v>0</v>
      </c>
      <c r="I1872" s="145"/>
    </row>
    <row r="1873" ht="22.5" customHeight="1">
      <c r="A1873" s="147"/>
      <c r="B1873" s="131"/>
      <c r="C1873" s="148"/>
      <c r="D1873" s="51"/>
      <c r="E1873" s="149"/>
      <c r="F1873" s="56"/>
      <c r="G1873" s="150"/>
      <c r="H1873" s="59">
        <f t="shared" si="63"/>
        <v>0</v>
      </c>
      <c r="I1873" s="145"/>
    </row>
    <row r="1874" ht="22.5" customHeight="1">
      <c r="A1874" s="147"/>
      <c r="B1874" s="131"/>
      <c r="C1874" s="148"/>
      <c r="D1874" s="51"/>
      <c r="E1874" s="149"/>
      <c r="F1874" s="56"/>
      <c r="G1874" s="150"/>
      <c r="H1874" s="59">
        <f t="shared" si="63"/>
        <v>0</v>
      </c>
      <c r="I1874" s="145"/>
    </row>
    <row r="1875" ht="22.5" customHeight="1">
      <c r="A1875" s="147"/>
      <c r="B1875" s="131"/>
      <c r="C1875" s="148"/>
      <c r="D1875" s="51"/>
      <c r="E1875" s="149"/>
      <c r="F1875" s="56"/>
      <c r="G1875" s="150"/>
      <c r="H1875" s="59">
        <f t="shared" si="63"/>
        <v>0</v>
      </c>
      <c r="I1875" s="145"/>
    </row>
    <row r="1876" ht="22.5" customHeight="1">
      <c r="A1876" s="147"/>
      <c r="B1876" s="131"/>
      <c r="C1876" s="148"/>
      <c r="D1876" s="51"/>
      <c r="E1876" s="149"/>
      <c r="F1876" s="56"/>
      <c r="G1876" s="150"/>
      <c r="H1876" s="59">
        <f t="shared" si="63"/>
        <v>0</v>
      </c>
      <c r="I1876" s="145"/>
    </row>
    <row r="1877" ht="22.5" customHeight="1">
      <c r="A1877" s="147"/>
      <c r="B1877" s="131"/>
      <c r="C1877" s="148"/>
      <c r="D1877" s="51"/>
      <c r="E1877" s="149"/>
      <c r="F1877" s="56"/>
      <c r="G1877" s="150"/>
      <c r="H1877" s="59">
        <f t="shared" si="63"/>
        <v>0</v>
      </c>
      <c r="I1877" s="145"/>
    </row>
    <row r="1878" ht="22.5" customHeight="1">
      <c r="A1878" s="147"/>
      <c r="B1878" s="131"/>
      <c r="C1878" s="148"/>
      <c r="D1878" s="51"/>
      <c r="E1878" s="149"/>
      <c r="F1878" s="56"/>
      <c r="G1878" s="150"/>
      <c r="H1878" s="59">
        <f t="shared" si="63"/>
        <v>0</v>
      </c>
      <c r="I1878" s="145"/>
    </row>
    <row r="1879" ht="22.5" customHeight="1">
      <c r="A1879" s="147"/>
      <c r="B1879" s="131"/>
      <c r="C1879" s="148"/>
      <c r="D1879" s="51"/>
      <c r="E1879" s="149"/>
      <c r="F1879" s="56"/>
      <c r="G1879" s="150"/>
      <c r="H1879" s="59">
        <f t="shared" si="63"/>
        <v>0</v>
      </c>
      <c r="I1879" s="145"/>
    </row>
    <row r="1880" ht="22.5" customHeight="1">
      <c r="A1880" s="147"/>
      <c r="B1880" s="131"/>
      <c r="C1880" s="148"/>
      <c r="D1880" s="51"/>
      <c r="E1880" s="149"/>
      <c r="F1880" s="56"/>
      <c r="G1880" s="150"/>
      <c r="H1880" s="59">
        <f t="shared" si="63"/>
        <v>0</v>
      </c>
      <c r="I1880" s="145"/>
    </row>
    <row r="1881" ht="22.5" customHeight="1">
      <c r="A1881" s="147"/>
      <c r="B1881" s="131"/>
      <c r="C1881" s="148"/>
      <c r="D1881" s="51"/>
      <c r="E1881" s="149"/>
      <c r="F1881" s="56"/>
      <c r="G1881" s="150"/>
      <c r="H1881" s="59">
        <f t="shared" si="63"/>
        <v>0</v>
      </c>
      <c r="I1881" s="145"/>
    </row>
    <row r="1882" ht="22.5" customHeight="1">
      <c r="A1882" s="147"/>
      <c r="B1882" s="131"/>
      <c r="C1882" s="148"/>
      <c r="D1882" s="51"/>
      <c r="E1882" s="149"/>
      <c r="F1882" s="56"/>
      <c r="G1882" s="150"/>
      <c r="H1882" s="59">
        <f t="shared" si="63"/>
        <v>0</v>
      </c>
      <c r="I1882" s="145"/>
    </row>
    <row r="1883" ht="22.5" customHeight="1">
      <c r="A1883" s="147"/>
      <c r="B1883" s="131"/>
      <c r="C1883" s="148"/>
      <c r="D1883" s="51"/>
      <c r="E1883" s="149"/>
      <c r="F1883" s="56"/>
      <c r="G1883" s="150"/>
      <c r="H1883" s="59">
        <f t="shared" si="63"/>
        <v>0</v>
      </c>
      <c r="I1883" s="145"/>
    </row>
    <row r="1884" ht="22.5" customHeight="1">
      <c r="A1884" s="147"/>
      <c r="B1884" s="131"/>
      <c r="C1884" s="148"/>
      <c r="D1884" s="51"/>
      <c r="E1884" s="149"/>
      <c r="F1884" s="56"/>
      <c r="G1884" s="150"/>
      <c r="H1884" s="59">
        <f t="shared" si="63"/>
        <v>0</v>
      </c>
      <c r="I1884" s="145"/>
    </row>
    <row r="1885" ht="22.5" customHeight="1">
      <c r="A1885" s="147"/>
      <c r="B1885" s="131"/>
      <c r="C1885" s="148"/>
      <c r="D1885" s="51"/>
      <c r="E1885" s="149"/>
      <c r="F1885" s="56"/>
      <c r="G1885" s="150"/>
      <c r="H1885" s="59">
        <f t="shared" si="63"/>
        <v>0</v>
      </c>
      <c r="I1885" s="145"/>
    </row>
    <row r="1886" ht="22.5" customHeight="1">
      <c r="A1886" s="147"/>
      <c r="B1886" s="131"/>
      <c r="C1886" s="148"/>
      <c r="D1886" s="51"/>
      <c r="E1886" s="149"/>
      <c r="F1886" s="56"/>
      <c r="G1886" s="150"/>
      <c r="H1886" s="59">
        <f t="shared" si="63"/>
        <v>0</v>
      </c>
      <c r="I1886" s="145"/>
    </row>
    <row r="1887" ht="22.5" customHeight="1">
      <c r="A1887" s="147"/>
      <c r="B1887" s="131"/>
      <c r="C1887" s="148"/>
      <c r="D1887" s="51"/>
      <c r="E1887" s="149"/>
      <c r="F1887" s="56"/>
      <c r="G1887" s="150"/>
      <c r="H1887" s="59">
        <f t="shared" si="63"/>
        <v>0</v>
      </c>
      <c r="I1887" s="145"/>
    </row>
    <row r="1888" ht="22.5" customHeight="1">
      <c r="A1888" s="147"/>
      <c r="B1888" s="131"/>
      <c r="C1888" s="148"/>
      <c r="D1888" s="51"/>
      <c r="E1888" s="149"/>
      <c r="F1888" s="56"/>
      <c r="G1888" s="150"/>
      <c r="H1888" s="59">
        <f t="shared" si="63"/>
        <v>0</v>
      </c>
      <c r="I1888" s="145"/>
    </row>
    <row r="1889" ht="22.5" customHeight="1">
      <c r="A1889" s="147"/>
      <c r="B1889" s="131"/>
      <c r="C1889" s="148"/>
      <c r="D1889" s="51"/>
      <c r="E1889" s="149"/>
      <c r="F1889" s="56"/>
      <c r="G1889" s="150"/>
      <c r="H1889" s="59">
        <f t="shared" si="63"/>
        <v>0</v>
      </c>
      <c r="I1889" s="145"/>
    </row>
    <row r="1890" ht="22.5" customHeight="1">
      <c r="A1890" s="147"/>
      <c r="B1890" s="131"/>
      <c r="C1890" s="148"/>
      <c r="D1890" s="51"/>
      <c r="E1890" s="149"/>
      <c r="F1890" s="56"/>
      <c r="G1890" s="150"/>
      <c r="H1890" s="59">
        <f t="shared" si="63"/>
        <v>0</v>
      </c>
      <c r="I1890" s="145"/>
    </row>
    <row r="1891" ht="22.5" customHeight="1">
      <c r="A1891" s="147"/>
      <c r="B1891" s="131"/>
      <c r="C1891" s="148"/>
      <c r="D1891" s="51"/>
      <c r="E1891" s="149"/>
      <c r="F1891" s="56"/>
      <c r="G1891" s="150"/>
      <c r="H1891" s="59">
        <f t="shared" si="63"/>
        <v>0</v>
      </c>
      <c r="I1891" s="145"/>
    </row>
    <row r="1892" ht="22.5" customHeight="1">
      <c r="A1892" s="147"/>
      <c r="B1892" s="131"/>
      <c r="C1892" s="148"/>
      <c r="D1892" s="51"/>
      <c r="E1892" s="149"/>
      <c r="F1892" s="56"/>
      <c r="G1892" s="150"/>
      <c r="H1892" s="59">
        <f t="shared" si="63"/>
        <v>0</v>
      </c>
      <c r="I1892" s="145"/>
    </row>
    <row r="1893" ht="22.5" customHeight="1">
      <c r="A1893" s="147"/>
      <c r="B1893" s="131"/>
      <c r="C1893" s="148"/>
      <c r="D1893" s="51"/>
      <c r="E1893" s="149"/>
      <c r="F1893" s="56"/>
      <c r="G1893" s="150"/>
      <c r="H1893" s="59">
        <f t="shared" si="63"/>
        <v>0</v>
      </c>
      <c r="I1893" s="145"/>
    </row>
    <row r="1894" ht="22.5" customHeight="1">
      <c r="A1894" s="147"/>
      <c r="B1894" s="131"/>
      <c r="C1894" s="148"/>
      <c r="D1894" s="51"/>
      <c r="E1894" s="149"/>
      <c r="F1894" s="56"/>
      <c r="G1894" s="150"/>
      <c r="H1894" s="59">
        <f t="shared" si="63"/>
        <v>0</v>
      </c>
      <c r="I1894" s="145"/>
    </row>
    <row r="1895" ht="22.5" customHeight="1">
      <c r="A1895" s="147"/>
      <c r="B1895" s="131"/>
      <c r="C1895" s="148"/>
      <c r="D1895" s="51"/>
      <c r="E1895" s="149"/>
      <c r="F1895" s="56"/>
      <c r="G1895" s="150"/>
      <c r="H1895" s="59">
        <f t="shared" si="63"/>
        <v>0</v>
      </c>
      <c r="I1895" s="145"/>
    </row>
    <row r="1896" ht="22.5" customHeight="1">
      <c r="A1896" s="147"/>
      <c r="B1896" s="131"/>
      <c r="C1896" s="148"/>
      <c r="D1896" s="51"/>
      <c r="E1896" s="149"/>
      <c r="F1896" s="56"/>
      <c r="G1896" s="150"/>
      <c r="H1896" s="59">
        <f t="shared" si="63"/>
        <v>0</v>
      </c>
      <c r="I1896" s="145"/>
    </row>
    <row r="1897" ht="22.5" customHeight="1">
      <c r="A1897" s="147"/>
      <c r="B1897" s="131"/>
      <c r="C1897" s="148"/>
      <c r="D1897" s="51"/>
      <c r="E1897" s="149"/>
      <c r="F1897" s="56"/>
      <c r="G1897" s="150"/>
      <c r="H1897" s="59">
        <f t="shared" si="63"/>
        <v>0</v>
      </c>
      <c r="I1897" s="145"/>
    </row>
    <row r="1898" ht="22.5" customHeight="1">
      <c r="A1898" s="147"/>
      <c r="B1898" s="131"/>
      <c r="C1898" s="148"/>
      <c r="D1898" s="51"/>
      <c r="E1898" s="149"/>
      <c r="F1898" s="56"/>
      <c r="G1898" s="150"/>
      <c r="H1898" s="59">
        <f t="shared" si="63"/>
        <v>0</v>
      </c>
      <c r="I1898" s="145"/>
    </row>
    <row r="1899" ht="22.5" customHeight="1">
      <c r="A1899" s="147"/>
      <c r="B1899" s="131"/>
      <c r="C1899" s="148"/>
      <c r="D1899" s="51"/>
      <c r="E1899" s="149"/>
      <c r="F1899" s="56"/>
      <c r="G1899" s="150"/>
      <c r="H1899" s="59">
        <f t="shared" si="63"/>
        <v>0</v>
      </c>
      <c r="I1899" s="145"/>
    </row>
    <row r="1900" ht="22.5" customHeight="1">
      <c r="A1900" s="147"/>
      <c r="B1900" s="131"/>
      <c r="C1900" s="148"/>
      <c r="D1900" s="51"/>
      <c r="E1900" s="149"/>
      <c r="F1900" s="56"/>
      <c r="G1900" s="150"/>
      <c r="H1900" s="59">
        <f t="shared" si="63"/>
        <v>0</v>
      </c>
      <c r="I1900" s="145"/>
    </row>
    <row r="1901" ht="22.5" customHeight="1">
      <c r="A1901" s="147"/>
      <c r="B1901" s="131"/>
      <c r="C1901" s="148"/>
      <c r="D1901" s="51"/>
      <c r="E1901" s="149"/>
      <c r="F1901" s="56"/>
      <c r="G1901" s="150"/>
      <c r="H1901" s="59">
        <f t="shared" si="63"/>
        <v>0</v>
      </c>
      <c r="I1901" s="145"/>
    </row>
    <row r="1902" ht="22.5" customHeight="1">
      <c r="A1902" s="147"/>
      <c r="B1902" s="131"/>
      <c r="C1902" s="148"/>
      <c r="D1902" s="51"/>
      <c r="E1902" s="149"/>
      <c r="F1902" s="56"/>
      <c r="G1902" s="150"/>
      <c r="H1902" s="59">
        <f t="shared" si="63"/>
        <v>0</v>
      </c>
      <c r="I1902" s="145"/>
    </row>
    <row r="1903" ht="22.5" customHeight="1">
      <c r="A1903" s="147"/>
      <c r="B1903" s="131"/>
      <c r="C1903" s="148"/>
      <c r="D1903" s="51"/>
      <c r="E1903" s="149"/>
      <c r="F1903" s="56"/>
      <c r="G1903" s="150"/>
      <c r="H1903" s="59">
        <f t="shared" si="63"/>
        <v>0</v>
      </c>
      <c r="I1903" s="145"/>
    </row>
    <row r="1904" ht="22.5" customHeight="1">
      <c r="A1904" s="147"/>
      <c r="B1904" s="131"/>
      <c r="C1904" s="148"/>
      <c r="D1904" s="51"/>
      <c r="E1904" s="149"/>
      <c r="F1904" s="56"/>
      <c r="G1904" s="150"/>
      <c r="H1904" s="59">
        <f t="shared" si="63"/>
        <v>0</v>
      </c>
      <c r="I1904" s="145"/>
    </row>
    <row r="1905" ht="22.5" customHeight="1">
      <c r="A1905" s="147"/>
      <c r="B1905" s="131"/>
      <c r="C1905" s="148"/>
      <c r="D1905" s="51"/>
      <c r="E1905" s="149"/>
      <c r="F1905" s="56"/>
      <c r="G1905" s="150"/>
      <c r="H1905" s="59">
        <f t="shared" si="63"/>
        <v>0</v>
      </c>
      <c r="I1905" s="145"/>
    </row>
    <row r="1906" ht="22.5" customHeight="1">
      <c r="A1906" s="147"/>
      <c r="B1906" s="131"/>
      <c r="C1906" s="148"/>
      <c r="D1906" s="51"/>
      <c r="E1906" s="149"/>
      <c r="F1906" s="56"/>
      <c r="G1906" s="150"/>
      <c r="H1906" s="59">
        <f t="shared" si="63"/>
        <v>0</v>
      </c>
      <c r="I1906" s="145"/>
    </row>
    <row r="1907" ht="22.5" customHeight="1">
      <c r="A1907" s="147"/>
      <c r="B1907" s="131"/>
      <c r="C1907" s="148"/>
      <c r="D1907" s="51"/>
      <c r="E1907" s="149"/>
      <c r="F1907" s="56"/>
      <c r="G1907" s="150"/>
      <c r="H1907" s="59">
        <f t="shared" si="63"/>
        <v>0</v>
      </c>
      <c r="I1907" s="145"/>
    </row>
    <row r="1908" ht="22.5" customHeight="1">
      <c r="A1908" s="147"/>
      <c r="B1908" s="131"/>
      <c r="C1908" s="148"/>
      <c r="D1908" s="51"/>
      <c r="E1908" s="149"/>
      <c r="F1908" s="56"/>
      <c r="G1908" s="150"/>
      <c r="H1908" s="59">
        <f t="shared" si="63"/>
        <v>0</v>
      </c>
      <c r="I1908" s="145"/>
    </row>
    <row r="1909" ht="22.5" customHeight="1">
      <c r="A1909" s="147"/>
      <c r="B1909" s="131"/>
      <c r="C1909" s="148"/>
      <c r="D1909" s="51"/>
      <c r="E1909" s="149"/>
      <c r="F1909" s="56"/>
      <c r="G1909" s="150"/>
      <c r="H1909" s="59">
        <f t="shared" si="63"/>
        <v>0</v>
      </c>
      <c r="I1909" s="145"/>
    </row>
    <row r="1910" ht="22.5" customHeight="1">
      <c r="A1910" s="147"/>
      <c r="B1910" s="131"/>
      <c r="C1910" s="148"/>
      <c r="D1910" s="51"/>
      <c r="E1910" s="149"/>
      <c r="F1910" s="56"/>
      <c r="G1910" s="150"/>
      <c r="H1910" s="59">
        <f t="shared" si="63"/>
        <v>0</v>
      </c>
      <c r="I1910" s="145"/>
    </row>
    <row r="1911" ht="22.5" customHeight="1">
      <c r="A1911" s="147"/>
      <c r="B1911" s="131"/>
      <c r="C1911" s="148"/>
      <c r="D1911" s="51"/>
      <c r="E1911" s="149"/>
      <c r="F1911" s="56"/>
      <c r="G1911" s="150"/>
      <c r="H1911" s="59">
        <f t="shared" si="63"/>
        <v>0</v>
      </c>
      <c r="I1911" s="145"/>
    </row>
    <row r="1912" ht="22.5" customHeight="1">
      <c r="A1912" s="147"/>
      <c r="B1912" s="131"/>
      <c r="C1912" s="148"/>
      <c r="D1912" s="51"/>
      <c r="E1912" s="149"/>
      <c r="F1912" s="56"/>
      <c r="G1912" s="150"/>
      <c r="H1912" s="59">
        <f t="shared" si="63"/>
        <v>0</v>
      </c>
      <c r="I1912" s="145"/>
    </row>
    <row r="1913" ht="22.5" customHeight="1">
      <c r="A1913" s="147"/>
      <c r="B1913" s="131"/>
      <c r="C1913" s="148"/>
      <c r="D1913" s="51"/>
      <c r="E1913" s="149"/>
      <c r="F1913" s="56"/>
      <c r="G1913" s="150"/>
      <c r="H1913" s="59">
        <f t="shared" si="63"/>
        <v>0</v>
      </c>
      <c r="I1913" s="145"/>
    </row>
    <row r="1914" ht="22.5" customHeight="1">
      <c r="A1914" s="147"/>
      <c r="B1914" s="131"/>
      <c r="C1914" s="148"/>
      <c r="D1914" s="51"/>
      <c r="E1914" s="149"/>
      <c r="F1914" s="56"/>
      <c r="G1914" s="150"/>
      <c r="H1914" s="59">
        <f t="shared" si="63"/>
        <v>0</v>
      </c>
      <c r="I1914" s="145"/>
    </row>
    <row r="1915" ht="22.5" customHeight="1">
      <c r="A1915" s="147"/>
      <c r="B1915" s="131"/>
      <c r="C1915" s="148"/>
      <c r="D1915" s="51"/>
      <c r="E1915" s="149"/>
      <c r="F1915" s="56"/>
      <c r="G1915" s="150"/>
      <c r="H1915" s="59">
        <f t="shared" si="63"/>
        <v>0</v>
      </c>
      <c r="I1915" s="145"/>
    </row>
    <row r="1916" ht="22.5" customHeight="1">
      <c r="A1916" s="147"/>
      <c r="B1916" s="131"/>
      <c r="C1916" s="148"/>
      <c r="D1916" s="51"/>
      <c r="E1916" s="149"/>
      <c r="F1916" s="56"/>
      <c r="G1916" s="150"/>
      <c r="H1916" s="59">
        <f t="shared" si="63"/>
        <v>0</v>
      </c>
      <c r="I1916" s="145"/>
    </row>
    <row r="1917" ht="22.5" customHeight="1">
      <c r="A1917" s="147"/>
      <c r="B1917" s="131"/>
      <c r="C1917" s="148"/>
      <c r="D1917" s="51"/>
      <c r="E1917" s="149"/>
      <c r="F1917" s="56"/>
      <c r="G1917" s="150"/>
      <c r="H1917" s="59">
        <f t="shared" si="63"/>
        <v>0</v>
      </c>
      <c r="I1917" s="145"/>
    </row>
    <row r="1918" ht="22.5" customHeight="1">
      <c r="A1918" s="147"/>
      <c r="B1918" s="131"/>
      <c r="C1918" s="148"/>
      <c r="D1918" s="51"/>
      <c r="E1918" s="149"/>
      <c r="F1918" s="56"/>
      <c r="G1918" s="150"/>
      <c r="H1918" s="59">
        <f t="shared" si="63"/>
        <v>0</v>
      </c>
      <c r="I1918" s="145"/>
    </row>
    <row r="1919" ht="22.5" customHeight="1">
      <c r="A1919" s="147"/>
      <c r="B1919" s="131"/>
      <c r="C1919" s="148"/>
      <c r="D1919" s="51"/>
      <c r="E1919" s="149"/>
      <c r="F1919" s="56"/>
      <c r="G1919" s="150"/>
      <c r="H1919" s="59">
        <f t="shared" si="63"/>
        <v>0</v>
      </c>
      <c r="I1919" s="145"/>
    </row>
    <row r="1920" ht="22.5" customHeight="1">
      <c r="A1920" s="147"/>
      <c r="B1920" s="131"/>
      <c r="C1920" s="148"/>
      <c r="D1920" s="51"/>
      <c r="E1920" s="149"/>
      <c r="F1920" s="56"/>
      <c r="G1920" s="150"/>
      <c r="H1920" s="59">
        <f t="shared" si="63"/>
        <v>0</v>
      </c>
      <c r="I1920" s="145"/>
    </row>
    <row r="1921" ht="22.5" customHeight="1">
      <c r="A1921" s="147"/>
      <c r="B1921" s="131"/>
      <c r="C1921" s="148"/>
      <c r="D1921" s="51"/>
      <c r="E1921" s="149"/>
      <c r="F1921" s="56"/>
      <c r="G1921" s="150"/>
      <c r="H1921" s="59">
        <f t="shared" si="63"/>
        <v>0</v>
      </c>
      <c r="I1921" s="145"/>
    </row>
    <row r="1922" ht="22.5" customHeight="1">
      <c r="A1922" s="147"/>
      <c r="B1922" s="131"/>
      <c r="C1922" s="148"/>
      <c r="D1922" s="51"/>
      <c r="E1922" s="149"/>
      <c r="F1922" s="56"/>
      <c r="G1922" s="150"/>
      <c r="H1922" s="59">
        <f t="shared" si="63"/>
        <v>0</v>
      </c>
      <c r="I1922" s="145"/>
    </row>
    <row r="1923" ht="22.5" customHeight="1">
      <c r="A1923" s="147"/>
      <c r="B1923" s="131"/>
      <c r="C1923" s="148"/>
      <c r="D1923" s="51"/>
      <c r="E1923" s="149"/>
      <c r="F1923" s="56"/>
      <c r="G1923" s="150"/>
      <c r="H1923" s="59">
        <f t="shared" si="63"/>
        <v>0</v>
      </c>
      <c r="I1923" s="145"/>
    </row>
    <row r="1924" ht="22.5" customHeight="1">
      <c r="A1924" s="147"/>
      <c r="B1924" s="131"/>
      <c r="C1924" s="148"/>
      <c r="D1924" s="51"/>
      <c r="E1924" s="149"/>
      <c r="F1924" s="56"/>
      <c r="G1924" s="150"/>
      <c r="H1924" s="59">
        <f t="shared" si="63"/>
        <v>0</v>
      </c>
      <c r="I1924" s="145"/>
    </row>
    <row r="1925" ht="22.5" customHeight="1">
      <c r="A1925" s="147"/>
      <c r="B1925" s="131"/>
      <c r="C1925" s="148"/>
      <c r="D1925" s="51"/>
      <c r="E1925" s="149"/>
      <c r="F1925" s="56"/>
      <c r="G1925" s="150"/>
      <c r="H1925" s="59">
        <f t="shared" si="63"/>
        <v>0</v>
      </c>
      <c r="I1925" s="145"/>
    </row>
    <row r="1926" ht="22.5" customHeight="1">
      <c r="A1926" s="147"/>
      <c r="B1926" s="131"/>
      <c r="C1926" s="148"/>
      <c r="D1926" s="51"/>
      <c r="E1926" s="149"/>
      <c r="F1926" s="56"/>
      <c r="G1926" s="150"/>
      <c r="H1926" s="59">
        <f t="shared" si="63"/>
        <v>0</v>
      </c>
      <c r="I1926" s="145"/>
    </row>
    <row r="1927" ht="22.5" customHeight="1">
      <c r="A1927" s="147"/>
      <c r="B1927" s="131"/>
      <c r="C1927" s="148"/>
      <c r="D1927" s="51"/>
      <c r="E1927" s="149"/>
      <c r="F1927" s="56"/>
      <c r="G1927" s="150"/>
      <c r="H1927" s="59">
        <f t="shared" si="63"/>
        <v>0</v>
      </c>
      <c r="I1927" s="145"/>
    </row>
    <row r="1928" ht="22.5" customHeight="1">
      <c r="A1928" s="147"/>
      <c r="B1928" s="131"/>
      <c r="C1928" s="148"/>
      <c r="D1928" s="51"/>
      <c r="E1928" s="149"/>
      <c r="F1928" s="56"/>
      <c r="G1928" s="150"/>
      <c r="H1928" s="59">
        <f t="shared" si="63"/>
        <v>0</v>
      </c>
      <c r="I1928" s="145"/>
    </row>
    <row r="1929" ht="22.5" customHeight="1">
      <c r="A1929" s="147"/>
      <c r="B1929" s="131"/>
      <c r="C1929" s="148"/>
      <c r="D1929" s="51"/>
      <c r="E1929" s="149"/>
      <c r="F1929" s="56"/>
      <c r="G1929" s="150"/>
      <c r="H1929" s="59">
        <f t="shared" si="63"/>
        <v>0</v>
      </c>
      <c r="I1929" s="145"/>
    </row>
    <row r="1930" ht="22.5" customHeight="1">
      <c r="A1930" s="147"/>
      <c r="B1930" s="131"/>
      <c r="C1930" s="148"/>
      <c r="D1930" s="51"/>
      <c r="E1930" s="149"/>
      <c r="F1930" s="56"/>
      <c r="G1930" s="150"/>
      <c r="H1930" s="59">
        <f t="shared" si="63"/>
        <v>0</v>
      </c>
      <c r="I1930" s="145"/>
    </row>
    <row r="1931" ht="22.5" customHeight="1">
      <c r="A1931" s="147"/>
      <c r="B1931" s="131"/>
      <c r="C1931" s="148"/>
      <c r="D1931" s="51"/>
      <c r="E1931" s="149"/>
      <c r="F1931" s="56"/>
      <c r="G1931" s="150"/>
      <c r="H1931" s="59">
        <f t="shared" si="63"/>
        <v>0</v>
      </c>
      <c r="I1931" s="145"/>
    </row>
    <row r="1932" ht="22.5" customHeight="1">
      <c r="A1932" s="147"/>
      <c r="B1932" s="131"/>
      <c r="C1932" s="148"/>
      <c r="D1932" s="51"/>
      <c r="E1932" s="149"/>
      <c r="F1932" s="56"/>
      <c r="G1932" s="150"/>
      <c r="H1932" s="59">
        <f t="shared" si="63"/>
        <v>0</v>
      </c>
      <c r="I1932" s="145"/>
    </row>
    <row r="1933" ht="22.5" customHeight="1">
      <c r="A1933" s="147"/>
      <c r="B1933" s="131"/>
      <c r="C1933" s="148"/>
      <c r="D1933" s="51"/>
      <c r="E1933" s="149"/>
      <c r="F1933" s="56"/>
      <c r="G1933" s="150"/>
      <c r="H1933" s="59">
        <f t="shared" si="63"/>
        <v>0</v>
      </c>
      <c r="I1933" s="145"/>
    </row>
    <row r="1934" ht="22.5" customHeight="1">
      <c r="A1934" s="147"/>
      <c r="B1934" s="131"/>
      <c r="C1934" s="148"/>
      <c r="D1934" s="51"/>
      <c r="E1934" s="149"/>
      <c r="F1934" s="56"/>
      <c r="G1934" s="150"/>
      <c r="H1934" s="59">
        <f t="shared" si="63"/>
        <v>0</v>
      </c>
      <c r="I1934" s="145"/>
    </row>
    <row r="1935" ht="22.5" customHeight="1">
      <c r="A1935" s="147"/>
      <c r="B1935" s="131"/>
      <c r="C1935" s="148"/>
      <c r="D1935" s="51"/>
      <c r="E1935" s="149"/>
      <c r="F1935" s="56"/>
      <c r="G1935" s="150"/>
      <c r="H1935" s="59">
        <f t="shared" si="63"/>
        <v>0</v>
      </c>
      <c r="I1935" s="145"/>
    </row>
    <row r="1936" ht="22.5" customHeight="1">
      <c r="A1936" s="147"/>
      <c r="B1936" s="131"/>
      <c r="C1936" s="148"/>
      <c r="D1936" s="51"/>
      <c r="E1936" s="149"/>
      <c r="F1936" s="56"/>
      <c r="G1936" s="150"/>
      <c r="H1936" s="59">
        <f t="shared" si="63"/>
        <v>0</v>
      </c>
      <c r="I1936" s="145"/>
    </row>
    <row r="1937" ht="22.5" customHeight="1">
      <c r="A1937" s="147"/>
      <c r="B1937" s="131"/>
      <c r="C1937" s="148"/>
      <c r="D1937" s="51"/>
      <c r="E1937" s="149"/>
      <c r="F1937" s="56"/>
      <c r="G1937" s="150"/>
      <c r="H1937" s="59">
        <f t="shared" si="63"/>
        <v>0</v>
      </c>
      <c r="I1937" s="145"/>
    </row>
    <row r="1938" ht="22.5" customHeight="1">
      <c r="A1938" s="147"/>
      <c r="B1938" s="131"/>
      <c r="C1938" s="148"/>
      <c r="D1938" s="51"/>
      <c r="E1938" s="149"/>
      <c r="F1938" s="56"/>
      <c r="G1938" s="150"/>
      <c r="H1938" s="59">
        <f t="shared" si="63"/>
        <v>0</v>
      </c>
      <c r="I1938" s="145"/>
    </row>
    <row r="1939" ht="22.5" customHeight="1">
      <c r="A1939" s="147"/>
      <c r="B1939" s="131"/>
      <c r="C1939" s="148"/>
      <c r="D1939" s="51"/>
      <c r="E1939" s="149"/>
      <c r="F1939" s="56"/>
      <c r="G1939" s="150"/>
      <c r="H1939" s="59">
        <f t="shared" si="63"/>
        <v>0</v>
      </c>
      <c r="I1939" s="145"/>
    </row>
    <row r="1940" ht="22.5" customHeight="1">
      <c r="A1940" s="147"/>
      <c r="B1940" s="131"/>
      <c r="C1940" s="148"/>
      <c r="D1940" s="51"/>
      <c r="E1940" s="149"/>
      <c r="F1940" s="56"/>
      <c r="G1940" s="150"/>
      <c r="H1940" s="59">
        <f t="shared" si="63"/>
        <v>0</v>
      </c>
      <c r="I1940" s="145"/>
    </row>
    <row r="1941" ht="22.5" customHeight="1">
      <c r="A1941" s="147"/>
      <c r="B1941" s="131"/>
      <c r="C1941" s="148"/>
      <c r="D1941" s="51"/>
      <c r="E1941" s="149"/>
      <c r="F1941" s="56"/>
      <c r="G1941" s="150"/>
      <c r="H1941" s="59">
        <f t="shared" si="63"/>
        <v>0</v>
      </c>
      <c r="I1941" s="145"/>
    </row>
    <row r="1942" ht="22.5" customHeight="1">
      <c r="A1942" s="147"/>
      <c r="B1942" s="131"/>
      <c r="C1942" s="148"/>
      <c r="D1942" s="51"/>
      <c r="E1942" s="149"/>
      <c r="F1942" s="56"/>
      <c r="G1942" s="150"/>
      <c r="H1942" s="59">
        <f t="shared" si="63"/>
        <v>0</v>
      </c>
      <c r="I1942" s="145"/>
    </row>
    <row r="1943" ht="22.5" customHeight="1">
      <c r="A1943" s="147"/>
      <c r="B1943" s="131"/>
      <c r="C1943" s="148"/>
      <c r="D1943" s="51"/>
      <c r="E1943" s="149"/>
      <c r="F1943" s="56"/>
      <c r="G1943" s="150"/>
      <c r="H1943" s="59">
        <f t="shared" si="63"/>
        <v>0</v>
      </c>
      <c r="I1943" s="145"/>
    </row>
    <row r="1944" ht="22.5" customHeight="1">
      <c r="A1944" s="147"/>
      <c r="B1944" s="131"/>
      <c r="C1944" s="148"/>
      <c r="D1944" s="51"/>
      <c r="E1944" s="149"/>
      <c r="F1944" s="56"/>
      <c r="G1944" s="150"/>
      <c r="H1944" s="59">
        <f t="shared" si="63"/>
        <v>0</v>
      </c>
      <c r="I1944" s="145"/>
    </row>
    <row r="1945" ht="22.5" customHeight="1">
      <c r="A1945" s="147"/>
      <c r="B1945" s="131"/>
      <c r="C1945" s="148"/>
      <c r="D1945" s="51"/>
      <c r="E1945" s="149"/>
      <c r="F1945" s="56"/>
      <c r="G1945" s="150"/>
      <c r="H1945" s="59">
        <f t="shared" si="63"/>
        <v>0</v>
      </c>
      <c r="I1945" s="145"/>
    </row>
    <row r="1946" ht="22.5" customHeight="1">
      <c r="A1946" s="147"/>
      <c r="B1946" s="131"/>
      <c r="C1946" s="148"/>
      <c r="D1946" s="51"/>
      <c r="E1946" s="149"/>
      <c r="F1946" s="56"/>
      <c r="G1946" s="150"/>
      <c r="H1946" s="59">
        <f t="shared" si="63"/>
        <v>0</v>
      </c>
      <c r="I1946" s="145"/>
    </row>
    <row r="1947" ht="22.5" customHeight="1">
      <c r="A1947" s="147"/>
      <c r="B1947" s="131"/>
      <c r="C1947" s="148"/>
      <c r="D1947" s="51"/>
      <c r="E1947" s="149"/>
      <c r="F1947" s="56"/>
      <c r="G1947" s="150"/>
      <c r="H1947" s="59">
        <f t="shared" si="63"/>
        <v>0</v>
      </c>
      <c r="I1947" s="145"/>
    </row>
    <row r="1948" ht="22.5" customHeight="1">
      <c r="A1948" s="147"/>
      <c r="B1948" s="131"/>
      <c r="C1948" s="148"/>
      <c r="D1948" s="51"/>
      <c r="E1948" s="149"/>
      <c r="F1948" s="56"/>
      <c r="G1948" s="150"/>
      <c r="H1948" s="59">
        <f t="shared" si="63"/>
        <v>0</v>
      </c>
      <c r="I1948" s="145"/>
    </row>
    <row r="1949" ht="22.5" customHeight="1">
      <c r="A1949" s="147"/>
      <c r="B1949" s="131"/>
      <c r="C1949" s="148"/>
      <c r="D1949" s="51"/>
      <c r="E1949" s="149"/>
      <c r="F1949" s="56"/>
      <c r="G1949" s="150"/>
      <c r="H1949" s="59">
        <f t="shared" si="63"/>
        <v>0</v>
      </c>
      <c r="I1949" s="145"/>
    </row>
    <row r="1950" ht="22.5" customHeight="1">
      <c r="A1950" s="147"/>
      <c r="B1950" s="131"/>
      <c r="C1950" s="148"/>
      <c r="D1950" s="51"/>
      <c r="E1950" s="149"/>
      <c r="F1950" s="56"/>
      <c r="G1950" s="150"/>
      <c r="H1950" s="59">
        <f t="shared" si="63"/>
        <v>0</v>
      </c>
      <c r="I1950" s="145"/>
    </row>
    <row r="1951" ht="22.5" customHeight="1">
      <c r="A1951" s="147"/>
      <c r="B1951" s="131"/>
      <c r="C1951" s="148"/>
      <c r="D1951" s="51"/>
      <c r="E1951" s="149"/>
      <c r="F1951" s="56"/>
      <c r="G1951" s="150"/>
      <c r="H1951" s="59">
        <f t="shared" si="63"/>
        <v>0</v>
      </c>
      <c r="I1951" s="145"/>
    </row>
    <row r="1952" ht="22.5" customHeight="1">
      <c r="A1952" s="147"/>
      <c r="B1952" s="131"/>
      <c r="C1952" s="148"/>
      <c r="D1952" s="51"/>
      <c r="E1952" s="149"/>
      <c r="F1952" s="56"/>
      <c r="G1952" s="150"/>
      <c r="H1952" s="59">
        <f t="shared" si="63"/>
        <v>0</v>
      </c>
      <c r="I1952" s="145"/>
    </row>
    <row r="1953" ht="22.5" customHeight="1">
      <c r="A1953" s="147"/>
      <c r="B1953" s="131"/>
      <c r="C1953" s="148"/>
      <c r="D1953" s="51"/>
      <c r="E1953" s="149"/>
      <c r="F1953" s="56"/>
      <c r="G1953" s="150"/>
      <c r="H1953" s="59">
        <f t="shared" si="63"/>
        <v>0</v>
      </c>
      <c r="I1953" s="145"/>
    </row>
    <row r="1954" ht="22.5" customHeight="1">
      <c r="A1954" s="147"/>
      <c r="B1954" s="131"/>
      <c r="C1954" s="148"/>
      <c r="D1954" s="51"/>
      <c r="E1954" s="149"/>
      <c r="F1954" s="56"/>
      <c r="G1954" s="150"/>
      <c r="H1954" s="59">
        <f t="shared" si="63"/>
        <v>0</v>
      </c>
      <c r="I1954" s="145"/>
    </row>
    <row r="1955" ht="22.5" customHeight="1">
      <c r="A1955" s="147"/>
      <c r="B1955" s="131"/>
      <c r="C1955" s="148"/>
      <c r="D1955" s="51"/>
      <c r="E1955" s="149"/>
      <c r="F1955" s="56"/>
      <c r="G1955" s="150"/>
      <c r="H1955" s="59">
        <f t="shared" si="63"/>
        <v>0</v>
      </c>
      <c r="I1955" s="145"/>
    </row>
    <row r="1956" ht="22.5" customHeight="1">
      <c r="A1956" s="147"/>
      <c r="B1956" s="131"/>
      <c r="C1956" s="148"/>
      <c r="D1956" s="51"/>
      <c r="E1956" s="149"/>
      <c r="F1956" s="56"/>
      <c r="G1956" s="150"/>
      <c r="H1956" s="59">
        <f t="shared" si="63"/>
        <v>0</v>
      </c>
      <c r="I1956" s="145"/>
    </row>
    <row r="1957" ht="22.5" customHeight="1">
      <c r="A1957" s="147"/>
      <c r="B1957" s="131"/>
      <c r="C1957" s="148"/>
      <c r="D1957" s="51"/>
      <c r="E1957" s="149"/>
      <c r="F1957" s="56"/>
      <c r="G1957" s="150"/>
      <c r="H1957" s="59">
        <f t="shared" si="63"/>
        <v>0</v>
      </c>
      <c r="I1957" s="145"/>
    </row>
    <row r="1958" ht="22.5" customHeight="1">
      <c r="A1958" s="147"/>
      <c r="B1958" s="131"/>
      <c r="C1958" s="148"/>
      <c r="D1958" s="51"/>
      <c r="E1958" s="149"/>
      <c r="F1958" s="56"/>
      <c r="G1958" s="150"/>
      <c r="H1958" s="59">
        <f t="shared" si="63"/>
        <v>0</v>
      </c>
      <c r="I1958" s="145"/>
    </row>
    <row r="1959" ht="22.5" customHeight="1">
      <c r="A1959" s="147"/>
      <c r="B1959" s="131"/>
      <c r="C1959" s="148"/>
      <c r="D1959" s="51"/>
      <c r="E1959" s="149"/>
      <c r="F1959" s="56"/>
      <c r="G1959" s="150"/>
      <c r="H1959" s="59">
        <f t="shared" si="63"/>
        <v>0</v>
      </c>
      <c r="I1959" s="145"/>
    </row>
    <row r="1960" ht="22.5" customHeight="1">
      <c r="A1960" s="147"/>
      <c r="B1960" s="131"/>
      <c r="C1960" s="148"/>
      <c r="D1960" s="51"/>
      <c r="E1960" s="149"/>
      <c r="F1960" s="56"/>
      <c r="G1960" s="150"/>
      <c r="H1960" s="59">
        <f t="shared" si="63"/>
        <v>0</v>
      </c>
      <c r="I1960" s="145"/>
    </row>
    <row r="1961" ht="22.5" customHeight="1">
      <c r="A1961" s="147"/>
      <c r="B1961" s="131"/>
      <c r="C1961" s="148"/>
      <c r="D1961" s="51"/>
      <c r="E1961" s="149"/>
      <c r="F1961" s="56"/>
      <c r="G1961" s="150"/>
      <c r="H1961" s="59">
        <f t="shared" si="63"/>
        <v>0</v>
      </c>
      <c r="I1961" s="145"/>
    </row>
    <row r="1962" ht="22.5" customHeight="1">
      <c r="A1962" s="147"/>
      <c r="B1962" s="131"/>
      <c r="C1962" s="148"/>
      <c r="D1962" s="51"/>
      <c r="E1962" s="149"/>
      <c r="F1962" s="56"/>
      <c r="G1962" s="150"/>
      <c r="H1962" s="59">
        <f t="shared" si="63"/>
        <v>0</v>
      </c>
      <c r="I1962" s="145"/>
    </row>
    <row r="1963" ht="22.5" customHeight="1">
      <c r="A1963" s="147"/>
      <c r="B1963" s="131"/>
      <c r="C1963" s="148"/>
      <c r="D1963" s="51"/>
      <c r="E1963" s="149"/>
      <c r="F1963" s="56"/>
      <c r="G1963" s="150"/>
      <c r="H1963" s="59">
        <f t="shared" si="63"/>
        <v>0</v>
      </c>
      <c r="I1963" s="145"/>
    </row>
    <row r="1964" ht="22.5" customHeight="1">
      <c r="A1964" s="147"/>
      <c r="B1964" s="131"/>
      <c r="C1964" s="148"/>
      <c r="D1964" s="51"/>
      <c r="E1964" s="149"/>
      <c r="F1964" s="56"/>
      <c r="G1964" s="150"/>
      <c r="H1964" s="59">
        <f t="shared" si="63"/>
        <v>0</v>
      </c>
      <c r="I1964" s="145"/>
    </row>
    <row r="1965" ht="22.5" customHeight="1">
      <c r="A1965" s="147"/>
      <c r="B1965" s="131"/>
      <c r="C1965" s="148"/>
      <c r="D1965" s="51"/>
      <c r="E1965" s="149"/>
      <c r="F1965" s="56"/>
      <c r="G1965" s="150"/>
      <c r="H1965" s="59">
        <f t="shared" si="63"/>
        <v>0</v>
      </c>
      <c r="I1965" s="145"/>
    </row>
    <row r="1966" ht="22.5" customHeight="1">
      <c r="A1966" s="147"/>
      <c r="B1966" s="131"/>
      <c r="C1966" s="148"/>
      <c r="D1966" s="51"/>
      <c r="E1966" s="149"/>
      <c r="F1966" s="56"/>
      <c r="G1966" s="150"/>
      <c r="H1966" s="59">
        <f t="shared" si="63"/>
        <v>0</v>
      </c>
      <c r="I1966" s="145"/>
    </row>
    <row r="1967" ht="22.5" customHeight="1">
      <c r="A1967" s="147"/>
      <c r="B1967" s="131"/>
      <c r="C1967" s="148"/>
      <c r="D1967" s="51"/>
      <c r="E1967" s="149"/>
      <c r="F1967" s="56"/>
      <c r="G1967" s="150"/>
      <c r="H1967" s="59">
        <f t="shared" si="63"/>
        <v>0</v>
      </c>
      <c r="I1967" s="145"/>
    </row>
    <row r="1968" ht="22.5" customHeight="1">
      <c r="A1968" s="147"/>
      <c r="B1968" s="131"/>
      <c r="C1968" s="148"/>
      <c r="D1968" s="51"/>
      <c r="E1968" s="149"/>
      <c r="F1968" s="56"/>
      <c r="G1968" s="150"/>
      <c r="H1968" s="59">
        <f t="shared" si="63"/>
        <v>0</v>
      </c>
      <c r="I1968" s="145"/>
    </row>
    <row r="1969" ht="22.5" customHeight="1">
      <c r="A1969" s="147"/>
      <c r="B1969" s="131"/>
      <c r="C1969" s="148"/>
      <c r="D1969" s="51"/>
      <c r="E1969" s="149"/>
      <c r="F1969" s="56"/>
      <c r="G1969" s="150"/>
      <c r="H1969" s="59">
        <f t="shared" si="63"/>
        <v>0</v>
      </c>
      <c r="I1969" s="145"/>
    </row>
    <row r="1970" ht="22.5" customHeight="1">
      <c r="A1970" s="147"/>
      <c r="B1970" s="131"/>
      <c r="C1970" s="148"/>
      <c r="D1970" s="51"/>
      <c r="E1970" s="149"/>
      <c r="F1970" s="56"/>
      <c r="G1970" s="150"/>
      <c r="H1970" s="59">
        <f t="shared" si="63"/>
        <v>0</v>
      </c>
      <c r="I1970" s="145"/>
    </row>
    <row r="1971" ht="22.5" customHeight="1">
      <c r="A1971" s="151"/>
      <c r="B1971" s="152"/>
      <c r="C1971" s="153"/>
      <c r="D1971" s="154"/>
      <c r="E1971" s="155"/>
      <c r="F1971" s="156"/>
      <c r="G1971" s="157"/>
      <c r="H1971" s="158">
        <f t="shared" si="63"/>
        <v>0</v>
      </c>
      <c r="I1971" s="159"/>
    </row>
  </sheetData>
  <conditionalFormatting sqref="A2:I1971">
    <cfRule type="expression" dxfId="17" priority="1">
      <formula>$I2</formula>
    </cfRule>
  </conditionalFormatting>
  <dataValidations>
    <dataValidation type="list" allowBlank="1" showErrorMessage="1" sqref="D2:D1971">
      <formula1>#REF!</formula1>
    </dataValidation>
    <dataValidation type="custom" allowBlank="1" showDropDown="1" sqref="E2:F1971 I2:I1971">
      <formula1>OR(NOT(ISERROR(DATEVALUE(E2))), AND(ISNUMBER(E2), LEFT(CELL("format", E2))="D"))</formula1>
    </dataValidation>
    <dataValidation type="custom" allowBlank="1" showDropDown="1" sqref="G2:H1971">
      <formula1>AND(ISNUMBER(G2),(NOT(OR(NOT(ISERROR(DATEVALUE(G2))), AND(ISNUMBER(G2), LEFT(CELL("format", G2))="D")))))</formula1>
    </dataValidation>
    <dataValidation allowBlank="1" showDropDown="1" sqref="A2:A1971 C2:C1971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 t="str">
        <f>IFERROR(__xludf.DUMMYFUNCTION("IMPORTRANGE(""https://docs.google.com/spreadsheets/d/1v7LYSfrIwyA0rrnvpZP1xdP32gJSacmF2axgu2Ii5X8/edit?gid=1175560505#gid=1175560505"", ""'Inventário de Estoque'!L1:L1"")"),"#REF!")</f>
        <v>#REF!</v>
      </c>
      <c r="C1" s="2" t="str">
        <f t="shared" ref="C1:C20" si="1">B1*2</f>
        <v>#REF!</v>
      </c>
    </row>
    <row r="2">
      <c r="A2" s="1" t="s">
        <v>1</v>
      </c>
      <c r="B2" s="2" t="str">
        <f>IFERROR(__xludf.DUMMYFUNCTION("IMPORTRANGE(""https://docs.google.com/spreadsheets/d/1uN_smXhDQT14ctPzciDbxqtaVORBXQaa6NUJzIEWpkQ/edit?gid=1549833940#gid=1549833940"", ""'Inventário de Estoque'!L1:L1"")"),"#REF!")</f>
        <v>#REF!</v>
      </c>
      <c r="C2" s="2" t="str">
        <f t="shared" si="1"/>
        <v>#REF!</v>
      </c>
    </row>
    <row r="3">
      <c r="A3" s="1" t="s">
        <v>5</v>
      </c>
      <c r="B3" s="2" t="str">
        <f>IFERROR(__xludf.DUMMYFUNCTION("IMPORTRANGE(""https://docs.google.com/spreadsheets/d/14YKVMFWnonTFFbLI75yjFymR53okEYkIzGcO5nS5LAc/edit?gid=361854317#gid=361854317"", ""'Inventário de Estoque'!L1:L1"")"),"#REF!")</f>
        <v>#REF!</v>
      </c>
      <c r="C3" s="2" t="str">
        <f t="shared" si="1"/>
        <v>#REF!</v>
      </c>
    </row>
    <row r="4">
      <c r="A4" s="1" t="s">
        <v>7</v>
      </c>
      <c r="B4" s="2" t="str">
        <f>IFERROR(__xludf.DUMMYFUNCTION("IMPORTRANGE(""https://docs.google.com/spreadsheets/d/1pmhD74GsPoEZa3BZjLOMYJCrvJ2C5C-973gDnuBLH38/edit?gid=1758114367#gid=1758114367"", ""'Inventário de Estoque'!L1:L1"")"),"#REF!")</f>
        <v>#REF!</v>
      </c>
      <c r="C4" s="2" t="str">
        <f t="shared" si="1"/>
        <v>#REF!</v>
      </c>
    </row>
    <row r="5">
      <c r="A5" s="1" t="s">
        <v>12</v>
      </c>
      <c r="B5" s="2" t="str">
        <f>IFERROR(__xludf.DUMMYFUNCTION("IMPORTRANGE(""https://docs.google.com/spreadsheets/d/1N4I4KPDNkpitO0xZkJy6QHL0g37U0pnjLh8cLhUBDCI/edit?gid=542127081#gid=542127081"", ""'Inventário de Estoque'!L1:L1"")"),"#REF!")</f>
        <v>#REF!</v>
      </c>
      <c r="C5" s="2" t="str">
        <f t="shared" si="1"/>
        <v>#REF!</v>
      </c>
    </row>
    <row r="6">
      <c r="A6" s="1" t="s">
        <v>14</v>
      </c>
      <c r="B6" s="2" t="str">
        <f>IFERROR(__xludf.DUMMYFUNCTION("IMPORTRANGE(""https://docs.google.com/spreadsheets/d/1JzQUhonU7d5R2Bilb2wA3sQmgwsx4I8ooBONFTWXf5w/edit?gid=1912606609#gid=1912606609"", ""'Inventário de Estoque'!L1:L1"")"),"#REF!")</f>
        <v>#REF!</v>
      </c>
      <c r="C6" s="2" t="str">
        <f t="shared" si="1"/>
        <v>#REF!</v>
      </c>
    </row>
    <row r="7">
      <c r="A7" s="1" t="s">
        <v>15</v>
      </c>
      <c r="B7" s="2" t="str">
        <f>IFERROR(__xludf.DUMMYFUNCTION("IMPORTRANGE(""https://docs.google.com/spreadsheets/d/11tYWoSGCdybRgk8GnZXXdtK4ZyQgLqzQskHtbsRJo6o/edit?gid=438354460#gid=438354460"", ""'Inventário de Estoque'!L1:L1"")"),"#REF!")</f>
        <v>#REF!</v>
      </c>
      <c r="C7" s="2" t="str">
        <f t="shared" si="1"/>
        <v>#REF!</v>
      </c>
    </row>
    <row r="8">
      <c r="A8" s="1" t="s">
        <v>16</v>
      </c>
      <c r="B8" s="2" t="str">
        <f>IFERROR(__xludf.DUMMYFUNCTION("IMPORTRANGE(""https://docs.google.com/spreadsheets/d/1odqGiEiMPrDWQr7T-scvjbEUjGIaOzTLkTwiIstwuiQ/edit?gid=1559247720#gid=1559247720"", ""'Inventário de Estoque'!L1:L1"")"),"#REF!")</f>
        <v>#REF!</v>
      </c>
      <c r="C8" s="2" t="str">
        <f t="shared" si="1"/>
        <v>#REF!</v>
      </c>
    </row>
    <row r="9">
      <c r="A9" s="1" t="s">
        <v>17</v>
      </c>
      <c r="B9" s="2" t="str">
        <f>IFERROR(__xludf.DUMMYFUNCTION("IMPORTRANGE(""https://docs.google.com/spreadsheets/d/174b3LO_c3aR-IS8A91CUJ91S4FGemVHoCWLRm6SrHCA/edit?gid=710208362#gid=710208362"", ""'Inventário de Estoque'!L1:L1"")"),"#REF!")</f>
        <v>#REF!</v>
      </c>
      <c r="C9" s="2" t="str">
        <f t="shared" si="1"/>
        <v>#REF!</v>
      </c>
    </row>
    <row r="10">
      <c r="A10" s="1" t="s">
        <v>18</v>
      </c>
      <c r="B10" s="2" t="str">
        <f>IFERROR(__xludf.DUMMYFUNCTION("IMPORTRANGE(""https://docs.google.com/spreadsheets/d/19S80tP4e7P3RV7SnlzRsH4UArEa_W3Od4gNSTdQ2588/edit?gid=1141953125#gid=1141953125"", ""'Inventário de Estoque'!L1:L1"")"),"#REF!")</f>
        <v>#REF!</v>
      </c>
      <c r="C10" s="2" t="str">
        <f t="shared" si="1"/>
        <v>#REF!</v>
      </c>
    </row>
    <row r="11">
      <c r="A11" s="1" t="s">
        <v>19</v>
      </c>
      <c r="B11" s="2" t="str">
        <f>IFERROR(__xludf.DUMMYFUNCTION("IMPORTRANGE(""https://docs.google.com/spreadsheets/d/1KS-VNuujap8DkmofjUzSTISnc0w5ibmXSZcCp-9bVnM/edit?gid=840031567#gid=840031567"", ""'Inventário de Estoque'!L1:L1"")"),"#REF!")</f>
        <v>#REF!</v>
      </c>
      <c r="C11" s="2" t="str">
        <f t="shared" si="1"/>
        <v>#REF!</v>
      </c>
    </row>
    <row r="12">
      <c r="A12" s="1" t="s">
        <v>20</v>
      </c>
      <c r="B12" s="2" t="str">
        <f>IFERROR(__xludf.DUMMYFUNCTION("IMPORTRANGE(""https://docs.google.com/spreadsheets/d/1cUmN9IpPQGidGW1nT26FqsPC6lhljQ4IQoWxN1JYb-M/edit?gid=1485932453#gid=1485932453"", ""'Inventário de Estoque'!L1:L1"")"),"#REF!")</f>
        <v>#REF!</v>
      </c>
      <c r="C12" s="2" t="str">
        <f t="shared" si="1"/>
        <v>#REF!</v>
      </c>
    </row>
    <row r="13">
      <c r="A13" s="1" t="s">
        <v>21</v>
      </c>
      <c r="B13" s="2" t="str">
        <f>IFERROR(__xludf.DUMMYFUNCTION("IMPORTRANGE(""https://docs.google.com/spreadsheets/d/1tQ_GjBt1INNPF4y9dzUtDUQzkToDyIRhe7xW643Lg4U/edit?gid=522286354#gid=522286354"", ""'Inventário de Estoque'!L1:L1"")"),"#REF!")</f>
        <v>#REF!</v>
      </c>
      <c r="C13" s="2" t="str">
        <f t="shared" si="1"/>
        <v>#REF!</v>
      </c>
    </row>
    <row r="14">
      <c r="A14" s="1" t="s">
        <v>22</v>
      </c>
      <c r="B14" s="2" t="str">
        <f>IFERROR(__xludf.DUMMYFUNCTION("IMPORTRANGE(""https://docs.google.com/spreadsheets/d/1NpM0m06KsngqrSI2pwuxFYdXNW5e9CHK3qo5zEe1Orw/edit?gid=1822251035#gid=1822251035"", ""'Inventário de Estoque'!L1:L1"")"),"#REF!")</f>
        <v>#REF!</v>
      </c>
      <c r="C14" s="2" t="str">
        <f t="shared" si="1"/>
        <v>#REF!</v>
      </c>
    </row>
    <row r="15">
      <c r="A15" s="1" t="s">
        <v>23</v>
      </c>
      <c r="B15" s="2" t="str">
        <f>IFERROR(__xludf.DUMMYFUNCTION("IMPORTRANGE(""https://docs.google.com/spreadsheets/d/1H6tg39SrJY6glzjKJBhoEb9Qiby_AbRZ8VDk4dKiTwk/edit?gid=1190618551#gid=1190618551"", ""'Inventário de Estoque'!L1:L1"")"),"#REF!")</f>
        <v>#REF!</v>
      </c>
      <c r="C15" s="2" t="str">
        <f t="shared" si="1"/>
        <v>#REF!</v>
      </c>
    </row>
    <row r="16">
      <c r="A16" s="1" t="s">
        <v>24</v>
      </c>
      <c r="B16" s="2" t="str">
        <f>IFERROR(__xludf.DUMMYFUNCTION("IMPORTRANGE(""https://docs.google.com/spreadsheets/d/19zsLB6iRpAYilIVvaCoY4rghGNkx2P0LWbIrFfj5G5s/edit?gid=2043833364#gid=2043833364"", ""'Inventário de Estoque'!L1:L1"")"),"#REF!")</f>
        <v>#REF!</v>
      </c>
      <c r="C16" s="2" t="str">
        <f t="shared" si="1"/>
        <v>#REF!</v>
      </c>
    </row>
    <row r="17">
      <c r="A17" s="1" t="s">
        <v>25</v>
      </c>
      <c r="B17" s="2" t="str">
        <f>IFERROR(__xludf.DUMMYFUNCTION("IMPORTRANGE(""https://docs.google.com/spreadsheets/d/1ARsi6fbFT7P7rTCA6JfXQtcgJz5ItrMQoL9F9BR0L94/edit?gid=1532243408#gid=1532243408"", ""'Inventário de Estoque'!L1:L1"")"),"#REF!")</f>
        <v>#REF!</v>
      </c>
      <c r="C17" s="2" t="str">
        <f t="shared" si="1"/>
        <v>#REF!</v>
      </c>
    </row>
    <row r="18">
      <c r="A18" s="1" t="s">
        <v>26</v>
      </c>
      <c r="B18" s="2" t="str">
        <f>IFERROR(__xludf.DUMMYFUNCTION("IMPORTRANGE(""https://docs.google.com/spreadsheets/d/1URh45kCKLaAU0VNzdVEgjCHQRWCLmQ63ZaMuigU-vbI/edit?gid=681508335#gid=681508335"", ""'Inventário de Estoque'!L1:L1"")"),"#REF!")</f>
        <v>#REF!</v>
      </c>
      <c r="C18" s="2" t="str">
        <f t="shared" si="1"/>
        <v>#REF!</v>
      </c>
    </row>
    <row r="19">
      <c r="A19" s="1" t="s">
        <v>27</v>
      </c>
      <c r="B19" s="2" t="str">
        <f>IFERROR(__xludf.DUMMYFUNCTION("IMPORTRANGE(""https://docs.google.com/spreadsheets/d/1NnlqBRsE-LBQKiHRCojuwoIGdfy6Vg5ECoqmWRzE95k/edit?gid=1106525878#gid=1106525878"", ""'Inventário de Estoque'!L1:L1"")"),"#REF!")</f>
        <v>#REF!</v>
      </c>
      <c r="C19" s="2" t="str">
        <f t="shared" si="1"/>
        <v>#REF!</v>
      </c>
    </row>
    <row r="20">
      <c r="A20" s="1" t="s">
        <v>28</v>
      </c>
      <c r="B20" s="2" t="str">
        <f>IFERROR(__xludf.DUMMYFUNCTION("IMPORTRANGE(""https://docs.google.com/spreadsheets/d/1VJqyIHZS1_V2zxoXXclSXb5haVQZbgWH_qVNkpA1SAY/edit?gid=1736627674#gid=1736627674"", ""'Inventário de Estoque'!L1:L1"")"),"#REF!")</f>
        <v>#REF!</v>
      </c>
      <c r="C20" s="2" t="str">
        <f t="shared" si="1"/>
        <v>#REF!</v>
      </c>
    </row>
    <row r="25">
      <c r="B25" s="2" t="str">
        <f t="shared" ref="B25:C25" si="2">SUM(B1:B24)</f>
        <v>#REF!</v>
      </c>
      <c r="C25" s="2" t="str">
        <f t="shared" si="2"/>
        <v>#REF!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64</v>
      </c>
    </row>
    <row r="2">
      <c r="A2" s="1" t="s">
        <v>66</v>
      </c>
    </row>
    <row r="3">
      <c r="A3" s="1" t="s">
        <v>67</v>
      </c>
    </row>
    <row r="4">
      <c r="A4" s="1" t="s">
        <v>68</v>
      </c>
    </row>
    <row r="5">
      <c r="A5" s="1" t="s">
        <v>70</v>
      </c>
    </row>
    <row r="6">
      <c r="A6" s="1" t="s">
        <v>71</v>
      </c>
    </row>
    <row r="7">
      <c r="A7" s="1" t="s">
        <v>72</v>
      </c>
    </row>
    <row r="8">
      <c r="A8" s="1" t="s">
        <v>74</v>
      </c>
    </row>
    <row r="9">
      <c r="A9" s="1" t="s">
        <v>75</v>
      </c>
    </row>
    <row r="10">
      <c r="A10" s="1" t="s">
        <v>76</v>
      </c>
    </row>
    <row r="11">
      <c r="A11" s="1" t="s">
        <v>77</v>
      </c>
    </row>
    <row r="12">
      <c r="A12" s="1" t="s">
        <v>79</v>
      </c>
    </row>
    <row r="13">
      <c r="A13" s="1" t="s">
        <v>80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3.57"/>
    <col customWidth="1" min="11" max="11" width="15.43"/>
    <col customWidth="1" min="12" max="12" width="33.29"/>
  </cols>
  <sheetData>
    <row r="1">
      <c r="A1" s="28" t="s">
        <v>84</v>
      </c>
      <c r="B1" s="29">
        <v>219.0</v>
      </c>
      <c r="C1" s="30"/>
      <c r="D1" s="31" t="s">
        <v>85</v>
      </c>
      <c r="E1" s="32"/>
      <c r="F1" s="33" t="s">
        <v>86</v>
      </c>
      <c r="G1" s="33" t="s">
        <v>87</v>
      </c>
      <c r="H1" s="34" t="s">
        <v>88</v>
      </c>
      <c r="I1" s="35"/>
      <c r="J1" s="36"/>
      <c r="K1" s="36"/>
      <c r="L1" s="36"/>
      <c r="M1" s="36"/>
      <c r="N1" s="36"/>
    </row>
    <row r="2">
      <c r="A2" s="37" t="s">
        <v>89</v>
      </c>
      <c r="B2" s="38">
        <f>(($B$1*$B$3))</f>
        <v>438</v>
      </c>
      <c r="C2" s="30"/>
      <c r="D2" s="39" t="s">
        <v>90</v>
      </c>
      <c r="E2" s="40">
        <v>2.6</v>
      </c>
      <c r="F2" s="41" t="s">
        <v>91</v>
      </c>
      <c r="G2" s="42" t="s">
        <v>91</v>
      </c>
      <c r="H2" s="45"/>
      <c r="I2" s="35"/>
      <c r="J2" s="36"/>
      <c r="K2" s="36"/>
      <c r="L2" s="36"/>
      <c r="M2" s="46"/>
      <c r="N2" s="36"/>
    </row>
    <row r="3">
      <c r="A3" s="37" t="s">
        <v>92</v>
      </c>
      <c r="B3" s="48">
        <v>2.0</v>
      </c>
      <c r="C3" s="30"/>
      <c r="D3" s="37" t="s">
        <v>93</v>
      </c>
      <c r="E3" s="49">
        <v>1.81</v>
      </c>
      <c r="F3" s="52">
        <f>B2-(B2*(E3/100))</f>
        <v>430.0722</v>
      </c>
      <c r="G3" s="55">
        <f>$B$2-($B$2*($E3/100))</f>
        <v>430.0722</v>
      </c>
      <c r="H3" s="58">
        <f t="shared" ref="H3:H12" si="1">$G3-$B$1</f>
        <v>211.0722</v>
      </c>
      <c r="I3" s="35"/>
      <c r="J3" s="36"/>
      <c r="K3" s="36"/>
      <c r="L3" s="36"/>
      <c r="M3" s="46" t="s">
        <v>94</v>
      </c>
      <c r="N3" s="46" t="s">
        <v>95</v>
      </c>
      <c r="O3" s="1"/>
      <c r="P3" s="1" t="s">
        <v>96</v>
      </c>
      <c r="Q3" s="1" t="s">
        <v>97</v>
      </c>
      <c r="S3" s="1" t="s">
        <v>98</v>
      </c>
      <c r="T3" s="1" t="s">
        <v>40</v>
      </c>
      <c r="U3" s="1" t="s">
        <v>96</v>
      </c>
    </row>
    <row r="4">
      <c r="A4" s="37" t="s">
        <v>99</v>
      </c>
      <c r="B4" s="61">
        <f>(($B$2-$B$1)/$B$2)</f>
        <v>0.5</v>
      </c>
      <c r="C4" s="30"/>
      <c r="D4" s="37" t="s">
        <v>100</v>
      </c>
      <c r="E4" s="49">
        <v>2.87</v>
      </c>
      <c r="F4" s="52">
        <f>B2-(B2*(E4/100))-(B2*(E2/100))</f>
        <v>414.0414</v>
      </c>
      <c r="G4" s="55">
        <f>$B$2-($B$2*(($E4+$E$2)/100))</f>
        <v>414.0414</v>
      </c>
      <c r="H4" s="58">
        <f t="shared" si="1"/>
        <v>195.0414</v>
      </c>
      <c r="I4" s="35"/>
      <c r="J4" s="46">
        <v>89.0</v>
      </c>
      <c r="K4" s="46">
        <v>179.9</v>
      </c>
      <c r="L4" s="46" t="s">
        <v>101</v>
      </c>
      <c r="M4" s="46" t="str">
        <f t="shared" ref="M4:M13" si="2">((($J4*$B$4)+($J4*#REF!))*100)/(100-$B$5)</f>
        <v>#REF!</v>
      </c>
      <c r="N4" s="46">
        <v>135.9</v>
      </c>
      <c r="O4" s="1">
        <f t="shared" ref="O4:O13" si="3">(N4*100)/K4</f>
        <v>75.54196776</v>
      </c>
      <c r="P4" s="1">
        <v>149.9</v>
      </c>
      <c r="Q4" s="1">
        <v>24.0</v>
      </c>
      <c r="R4" s="2">
        <f t="shared" ref="R4:R13" si="4">Q4*N4</f>
        <v>3261.6</v>
      </c>
      <c r="S4" s="1">
        <v>6.0</v>
      </c>
      <c r="T4" s="1">
        <f t="shared" ref="T4:T13" si="5">(N4*1.2)/S4</f>
        <v>27.18</v>
      </c>
      <c r="U4" s="2">
        <f t="shared" ref="U4:U13" si="6">S4*T4</f>
        <v>163.08</v>
      </c>
    </row>
    <row r="5">
      <c r="A5" s="62" t="s">
        <v>103</v>
      </c>
      <c r="B5" s="63">
        <v>12.14</v>
      </c>
      <c r="C5" s="30"/>
      <c r="D5" s="37" t="s">
        <v>104</v>
      </c>
      <c r="E5" s="49">
        <v>3.34</v>
      </c>
      <c r="F5" s="58"/>
      <c r="G5" s="64">
        <f>B2-((E5/100)*B2)</f>
        <v>423.3708</v>
      </c>
      <c r="H5" s="65">
        <f t="shared" si="1"/>
        <v>204.3708</v>
      </c>
      <c r="I5" s="66"/>
      <c r="J5" s="46">
        <v>69.0</v>
      </c>
      <c r="K5" s="46">
        <v>169.9</v>
      </c>
      <c r="L5" s="46" t="s">
        <v>105</v>
      </c>
      <c r="M5" s="46" t="str">
        <f t="shared" si="2"/>
        <v>#REF!</v>
      </c>
      <c r="N5" s="46">
        <v>105.9</v>
      </c>
      <c r="O5" s="1">
        <f t="shared" si="3"/>
        <v>62.33078281</v>
      </c>
      <c r="P5" s="1">
        <v>119.9</v>
      </c>
      <c r="Q5" s="1">
        <v>14.0</v>
      </c>
      <c r="R5" s="2">
        <f t="shared" si="4"/>
        <v>1482.6</v>
      </c>
      <c r="S5" s="1">
        <v>6.0</v>
      </c>
      <c r="T5" s="1">
        <f t="shared" si="5"/>
        <v>21.18</v>
      </c>
      <c r="U5" s="2">
        <f t="shared" si="6"/>
        <v>127.08</v>
      </c>
    </row>
    <row r="6">
      <c r="A6" s="67"/>
      <c r="B6" s="67"/>
      <c r="C6" s="68"/>
      <c r="D6" s="37">
        <v>2.0</v>
      </c>
      <c r="E6" s="69"/>
      <c r="F6" s="52">
        <f t="shared" ref="F6:F10" si="7">$G$5/$D6</f>
        <v>211.6854</v>
      </c>
      <c r="G6" s="55">
        <f>($F6-($F6*((1*$E$2)/100)))+($F6-($F6*((2*$E$2)/100)))</f>
        <v>406.8593388</v>
      </c>
      <c r="H6" s="58">
        <f t="shared" si="1"/>
        <v>187.8593388</v>
      </c>
      <c r="I6" s="35"/>
      <c r="J6" s="46">
        <v>89.0</v>
      </c>
      <c r="K6" s="46">
        <v>209.9</v>
      </c>
      <c r="L6" s="46" t="s">
        <v>111</v>
      </c>
      <c r="M6" s="46" t="str">
        <f t="shared" si="2"/>
        <v>#REF!</v>
      </c>
      <c r="N6" s="46">
        <v>135.9</v>
      </c>
      <c r="O6" s="1">
        <f t="shared" si="3"/>
        <v>64.74511672</v>
      </c>
      <c r="P6" s="1">
        <v>149.9</v>
      </c>
      <c r="Q6" s="1">
        <v>25.0</v>
      </c>
      <c r="R6" s="2">
        <f t="shared" si="4"/>
        <v>3397.5</v>
      </c>
      <c r="S6" s="1">
        <v>6.0</v>
      </c>
      <c r="T6" s="1">
        <f t="shared" si="5"/>
        <v>27.18</v>
      </c>
      <c r="U6" s="2">
        <f t="shared" si="6"/>
        <v>163.08</v>
      </c>
    </row>
    <row r="7">
      <c r="A7" s="36"/>
      <c r="B7" s="36"/>
      <c r="C7" s="68"/>
      <c r="D7" s="37">
        <v>3.0</v>
      </c>
      <c r="E7" s="69"/>
      <c r="F7" s="52">
        <f t="shared" si="7"/>
        <v>141.1236</v>
      </c>
      <c r="G7" s="55">
        <f>($F7-($F7*((1*$E$2)/100)))+($F7-($F7*((2*$E$2)/100)))+($F7-($F7*((3*$E$2)/100)))</f>
        <v>401.3555184</v>
      </c>
      <c r="H7" s="58">
        <f t="shared" si="1"/>
        <v>182.3555184</v>
      </c>
      <c r="I7" s="66"/>
      <c r="J7" s="46">
        <v>116.5</v>
      </c>
      <c r="K7" s="46">
        <v>239.9</v>
      </c>
      <c r="L7" s="46" t="s">
        <v>113</v>
      </c>
      <c r="M7" s="46" t="str">
        <f t="shared" si="2"/>
        <v>#REF!</v>
      </c>
      <c r="N7" s="46">
        <v>175.9</v>
      </c>
      <c r="O7" s="1">
        <f t="shared" si="3"/>
        <v>73.32221759</v>
      </c>
      <c r="P7" s="1">
        <v>195.9</v>
      </c>
      <c r="Q7" s="1">
        <v>8.0</v>
      </c>
      <c r="R7" s="2">
        <f t="shared" si="4"/>
        <v>1407.2</v>
      </c>
      <c r="S7" s="1">
        <v>6.0</v>
      </c>
      <c r="T7" s="1">
        <f t="shared" si="5"/>
        <v>35.18</v>
      </c>
      <c r="U7" s="2">
        <f t="shared" si="6"/>
        <v>211.08</v>
      </c>
    </row>
    <row r="8">
      <c r="A8" s="36"/>
      <c r="B8" s="36"/>
      <c r="C8" s="68"/>
      <c r="D8" s="37">
        <v>4.0</v>
      </c>
      <c r="E8" s="69"/>
      <c r="F8" s="52">
        <f t="shared" si="7"/>
        <v>105.8427</v>
      </c>
      <c r="G8" s="55">
        <f>($F8-($F8*((1*$E$2)/100)))+($F8-($F8*((2*$E$2)/100)))+($F8-($F8*((3*$E$2)/100)))+($F8-($F8*((4*$E$2)/100)))</f>
        <v>395.851698</v>
      </c>
      <c r="H8" s="58">
        <f t="shared" si="1"/>
        <v>176.851698</v>
      </c>
      <c r="I8" s="35"/>
      <c r="J8" s="46">
        <v>36.0</v>
      </c>
      <c r="K8" s="46">
        <v>79.9</v>
      </c>
      <c r="L8" s="46" t="s">
        <v>114</v>
      </c>
      <c r="M8" s="46" t="str">
        <f t="shared" si="2"/>
        <v>#REF!</v>
      </c>
      <c r="N8" s="46">
        <v>59.9</v>
      </c>
      <c r="O8" s="1">
        <f t="shared" si="3"/>
        <v>74.96871089</v>
      </c>
      <c r="P8" s="1">
        <v>65.9</v>
      </c>
      <c r="Q8" s="1">
        <v>26.0</v>
      </c>
      <c r="R8" s="2">
        <f t="shared" si="4"/>
        <v>1557.4</v>
      </c>
      <c r="S8" s="1">
        <v>6.0</v>
      </c>
      <c r="T8" s="1">
        <f t="shared" si="5"/>
        <v>11.98</v>
      </c>
      <c r="U8" s="2">
        <f t="shared" si="6"/>
        <v>71.88</v>
      </c>
    </row>
    <row r="9">
      <c r="A9" s="36"/>
      <c r="B9" s="36"/>
      <c r="C9" s="68"/>
      <c r="D9" s="37">
        <v>5.0</v>
      </c>
      <c r="E9" s="69"/>
      <c r="F9" s="52">
        <f t="shared" si="7"/>
        <v>84.67416</v>
      </c>
      <c r="G9" s="55">
        <f>($F9-($F9*((1*$E$2)/100)))+($F9-($F9*((2*$E$2)/100)))+($F9-($F9*((3*$E$2)/100)))+($F9-($F9*((4*$E$2)/100)))+($F9-($F9*((5*$E$2)/100)))</f>
        <v>390.3478776</v>
      </c>
      <c r="H9" s="58">
        <f t="shared" si="1"/>
        <v>171.3478776</v>
      </c>
      <c r="I9" s="35"/>
      <c r="J9" s="46">
        <v>54.0</v>
      </c>
      <c r="K9" s="46">
        <v>129.9</v>
      </c>
      <c r="L9" s="46" t="s">
        <v>115</v>
      </c>
      <c r="M9" s="46" t="str">
        <f t="shared" si="2"/>
        <v>#REF!</v>
      </c>
      <c r="N9" s="46">
        <v>85.9</v>
      </c>
      <c r="O9" s="1">
        <f t="shared" si="3"/>
        <v>66.12779061</v>
      </c>
      <c r="P9" s="1">
        <v>95.9</v>
      </c>
      <c r="Q9" s="1">
        <v>28.0</v>
      </c>
      <c r="R9" s="2">
        <f t="shared" si="4"/>
        <v>2405.2</v>
      </c>
      <c r="S9" s="1">
        <v>6.0</v>
      </c>
      <c r="T9" s="1">
        <f t="shared" si="5"/>
        <v>17.18</v>
      </c>
      <c r="U9" s="2">
        <f t="shared" si="6"/>
        <v>103.08</v>
      </c>
    </row>
    <row r="10">
      <c r="A10" s="36"/>
      <c r="B10" s="36"/>
      <c r="C10" s="68"/>
      <c r="D10" s="37">
        <v>6.0</v>
      </c>
      <c r="E10" s="69"/>
      <c r="F10" s="52">
        <f t="shared" si="7"/>
        <v>70.5618</v>
      </c>
      <c r="G10" s="55">
        <f>($F10-($F10*((1*$E$2)/100)))+($F10-($F10*((2*$E$2)/100)))+($F10-($F10*((3*$E$2)/100)))+($F10-($F10*((4*$E$2)/100)))+($F10-($F10*((5*$E$2)/100)))+($F10-($F10*((6*$E$2)/100)))</f>
        <v>384.8440572</v>
      </c>
      <c r="H10" s="58">
        <f t="shared" si="1"/>
        <v>165.8440572</v>
      </c>
      <c r="I10" s="35"/>
      <c r="J10" s="46">
        <v>44.0</v>
      </c>
      <c r="K10" s="46">
        <v>109.9</v>
      </c>
      <c r="L10" s="46" t="s">
        <v>117</v>
      </c>
      <c r="M10" s="46" t="str">
        <f t="shared" si="2"/>
        <v>#REF!</v>
      </c>
      <c r="N10" s="46">
        <v>69.9</v>
      </c>
      <c r="O10" s="1">
        <f t="shared" si="3"/>
        <v>63.60327571</v>
      </c>
      <c r="P10" s="1">
        <v>79.9</v>
      </c>
      <c r="Q10" s="1">
        <v>18.0</v>
      </c>
      <c r="R10" s="2">
        <f t="shared" si="4"/>
        <v>1258.2</v>
      </c>
      <c r="S10" s="1">
        <v>6.0</v>
      </c>
      <c r="T10" s="1">
        <f t="shared" si="5"/>
        <v>13.98</v>
      </c>
      <c r="U10" s="2">
        <f t="shared" si="6"/>
        <v>83.88</v>
      </c>
    </row>
    <row r="11">
      <c r="A11" s="36"/>
      <c r="B11" s="36"/>
      <c r="C11" s="68"/>
      <c r="D11" s="37" t="s">
        <v>119</v>
      </c>
      <c r="E11" s="49">
        <v>0.0</v>
      </c>
      <c r="F11" s="52"/>
      <c r="G11" s="55">
        <f t="shared" ref="G11:G12" si="8">$B$2-($B$2*($E11/100))</f>
        <v>438</v>
      </c>
      <c r="H11" s="58">
        <f t="shared" si="1"/>
        <v>219</v>
      </c>
      <c r="I11" s="66"/>
      <c r="J11" s="46">
        <v>39.77</v>
      </c>
      <c r="K11" s="46">
        <v>99.9</v>
      </c>
      <c r="L11" s="46" t="s">
        <v>120</v>
      </c>
      <c r="M11" s="46" t="str">
        <f t="shared" si="2"/>
        <v>#REF!</v>
      </c>
      <c r="N11" s="46">
        <v>69.9</v>
      </c>
      <c r="O11" s="1">
        <f t="shared" si="3"/>
        <v>69.96996997</v>
      </c>
      <c r="P11" s="1">
        <v>79.9</v>
      </c>
      <c r="Q11" s="1">
        <v>13.0</v>
      </c>
      <c r="R11" s="2">
        <f t="shared" si="4"/>
        <v>908.7</v>
      </c>
      <c r="S11" s="1">
        <v>6.0</v>
      </c>
      <c r="T11" s="1">
        <f t="shared" si="5"/>
        <v>13.98</v>
      </c>
      <c r="U11" s="2">
        <f t="shared" si="6"/>
        <v>83.88</v>
      </c>
    </row>
    <row r="12">
      <c r="A12" s="36"/>
      <c r="B12" s="36"/>
      <c r="C12" s="68"/>
      <c r="D12" s="62" t="s">
        <v>121</v>
      </c>
      <c r="E12" s="63">
        <v>0.0</v>
      </c>
      <c r="F12" s="73"/>
      <c r="G12" s="74">
        <f t="shared" si="8"/>
        <v>438</v>
      </c>
      <c r="H12" s="75">
        <f t="shared" si="1"/>
        <v>219</v>
      </c>
      <c r="I12" s="66"/>
      <c r="J12" s="46">
        <v>43.48</v>
      </c>
      <c r="K12" s="46">
        <v>109.9</v>
      </c>
      <c r="L12" s="46" t="s">
        <v>122</v>
      </c>
      <c r="M12" s="46" t="str">
        <f t="shared" si="2"/>
        <v>#REF!</v>
      </c>
      <c r="N12" s="46">
        <v>85.9</v>
      </c>
      <c r="O12" s="1">
        <f t="shared" si="3"/>
        <v>78.16196542</v>
      </c>
      <c r="P12" s="1">
        <v>95.9</v>
      </c>
      <c r="Q12" s="1">
        <v>12.0</v>
      </c>
      <c r="R12" s="2">
        <f t="shared" si="4"/>
        <v>1030.8</v>
      </c>
      <c r="S12" s="1">
        <v>6.0</v>
      </c>
      <c r="T12" s="1">
        <f t="shared" si="5"/>
        <v>17.18</v>
      </c>
      <c r="U12" s="2">
        <f t="shared" si="6"/>
        <v>103.08</v>
      </c>
    </row>
    <row r="13">
      <c r="A13" s="36"/>
      <c r="B13" s="36"/>
      <c r="C13" s="36"/>
      <c r="D13" s="67"/>
      <c r="E13" s="67"/>
      <c r="F13" s="67"/>
      <c r="G13" s="67"/>
      <c r="H13" s="67"/>
      <c r="I13" s="36"/>
      <c r="J13" s="46">
        <v>43.48</v>
      </c>
      <c r="K13" s="46">
        <v>109.9</v>
      </c>
      <c r="L13" s="46" t="s">
        <v>125</v>
      </c>
      <c r="M13" s="46" t="str">
        <f t="shared" si="2"/>
        <v>#REF!</v>
      </c>
      <c r="N13" s="46">
        <v>85.9</v>
      </c>
      <c r="O13" s="1">
        <f t="shared" si="3"/>
        <v>78.16196542</v>
      </c>
      <c r="P13" s="1">
        <v>95.9</v>
      </c>
      <c r="Q13" s="1">
        <v>13.0</v>
      </c>
      <c r="R13" s="2">
        <f t="shared" si="4"/>
        <v>1116.7</v>
      </c>
      <c r="S13" s="1">
        <v>6.0</v>
      </c>
      <c r="T13" s="1">
        <f t="shared" si="5"/>
        <v>17.18</v>
      </c>
      <c r="U13" s="2">
        <f t="shared" si="6"/>
        <v>103.08</v>
      </c>
    </row>
    <row r="14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</row>
    <row r="15">
      <c r="A15" s="36"/>
      <c r="B15" s="46"/>
      <c r="C15" s="36"/>
      <c r="D15" s="36"/>
      <c r="E15" s="36"/>
      <c r="F15" s="36"/>
      <c r="G15" s="36"/>
      <c r="H15" s="36"/>
      <c r="I15" s="46"/>
      <c r="J15" s="46"/>
      <c r="K15" s="46"/>
      <c r="L15" s="46"/>
      <c r="M15" s="36"/>
      <c r="N15" s="36"/>
      <c r="R15" s="2">
        <f>SUM(R4:R13)</f>
        <v>17825.9</v>
      </c>
    </row>
    <row r="16">
      <c r="A16" s="36"/>
      <c r="B16" s="46"/>
      <c r="C16" s="36"/>
      <c r="D16" s="36"/>
      <c r="E16" s="36"/>
      <c r="F16" s="36"/>
      <c r="G16" s="36"/>
      <c r="H16" s="46"/>
      <c r="I16" s="46"/>
      <c r="J16" s="36"/>
      <c r="K16" s="36"/>
      <c r="L16" s="36"/>
      <c r="M16" s="36"/>
      <c r="N16" s="36"/>
    </row>
    <row r="17">
      <c r="A17" s="36"/>
      <c r="B17" s="36"/>
      <c r="C17" s="36"/>
      <c r="D17" s="36"/>
      <c r="E17" s="36"/>
      <c r="F17" s="36"/>
      <c r="G17" s="36"/>
      <c r="H17" s="36"/>
      <c r="I17" s="46"/>
      <c r="J17" s="36"/>
      <c r="K17" s="36"/>
      <c r="L17" s="36"/>
      <c r="M17" s="36"/>
      <c r="N17" s="36"/>
    </row>
    <row r="18">
      <c r="A18" s="36"/>
      <c r="B18" s="36"/>
      <c r="C18" s="4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</row>
    <row r="19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</row>
    <row r="20">
      <c r="A20" s="36"/>
      <c r="B20" s="36"/>
      <c r="C20" s="36"/>
      <c r="D20" s="36"/>
      <c r="E20" s="36"/>
      <c r="F20" s="46"/>
      <c r="G20" s="46"/>
      <c r="H20" s="36"/>
      <c r="I20" s="36"/>
      <c r="J20" s="36"/>
      <c r="K20" s="36"/>
      <c r="L20" s="36"/>
      <c r="M20" s="36"/>
      <c r="N20" s="36"/>
    </row>
    <row r="21">
      <c r="A21" s="36"/>
      <c r="B21" s="36"/>
      <c r="C21" s="36"/>
      <c r="D21" s="46"/>
      <c r="E21" s="46"/>
      <c r="F21" s="36"/>
      <c r="G21" s="36"/>
      <c r="H21" s="36"/>
      <c r="I21" s="36"/>
      <c r="J21" s="36"/>
      <c r="K21" s="36"/>
      <c r="L21" s="36"/>
      <c r="M21" s="36"/>
      <c r="N21" s="36"/>
    </row>
    <row r="22">
      <c r="A22" s="36"/>
      <c r="B22" s="36"/>
      <c r="C22" s="36"/>
      <c r="D22" s="46"/>
      <c r="E22" s="46"/>
      <c r="F22" s="36"/>
      <c r="G22" s="36"/>
      <c r="H22" s="36"/>
      <c r="I22" s="36"/>
      <c r="J22" s="36"/>
      <c r="K22" s="36"/>
      <c r="L22" s="36"/>
      <c r="M22" s="36"/>
      <c r="N22" s="36"/>
    </row>
    <row r="23">
      <c r="A23" s="36"/>
      <c r="B23" s="36"/>
      <c r="C23" s="36"/>
      <c r="D23" s="46"/>
      <c r="E23" s="46"/>
      <c r="F23" s="36"/>
      <c r="G23" s="36"/>
      <c r="H23" s="36"/>
      <c r="I23" s="36"/>
      <c r="J23" s="36"/>
      <c r="K23" s="36"/>
      <c r="L23" s="46"/>
      <c r="M23" s="36"/>
      <c r="N23" s="36"/>
    </row>
    <row r="24">
      <c r="A24" s="36"/>
      <c r="B24" s="36"/>
      <c r="C24" s="36"/>
      <c r="D24" s="46"/>
      <c r="E24" s="46"/>
      <c r="F24" s="36"/>
      <c r="G24" s="36"/>
      <c r="H24" s="36"/>
      <c r="I24" s="36"/>
      <c r="J24" s="36"/>
      <c r="K24" s="36"/>
      <c r="L24" s="36"/>
      <c r="M24" s="36"/>
      <c r="N24" s="36"/>
    </row>
    <row r="25">
      <c r="A25" s="36"/>
      <c r="B25" s="36"/>
      <c r="C25" s="36"/>
      <c r="D25" s="46"/>
      <c r="E25" s="46"/>
      <c r="F25" s="36"/>
      <c r="G25" s="36"/>
      <c r="H25" s="36"/>
      <c r="I25" s="36"/>
      <c r="J25" s="36"/>
      <c r="K25" s="36"/>
      <c r="L25" s="36"/>
      <c r="M25" s="36"/>
      <c r="N25" s="36"/>
    </row>
    <row r="26">
      <c r="A26" s="36"/>
      <c r="B26" s="36"/>
      <c r="C26" s="36"/>
      <c r="D26" s="46"/>
      <c r="E26" s="46"/>
      <c r="F26" s="36"/>
      <c r="G26" s="36"/>
      <c r="H26" s="36"/>
      <c r="I26" s="36"/>
      <c r="J26" s="36"/>
      <c r="K26" s="36"/>
      <c r="L26" s="36"/>
      <c r="M26" s="36"/>
      <c r="N26" s="36"/>
    </row>
    <row r="27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</row>
    <row r="28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</row>
    <row r="29">
      <c r="A29" s="36"/>
      <c r="B29" s="36"/>
      <c r="C29" s="36"/>
      <c r="D29" s="36"/>
      <c r="E29" s="36"/>
      <c r="F29" s="46"/>
      <c r="G29" s="46"/>
      <c r="H29" s="36"/>
      <c r="I29" s="36"/>
      <c r="J29" s="36"/>
      <c r="K29" s="36"/>
      <c r="L29" s="36"/>
      <c r="M29" s="36"/>
      <c r="N29" s="36"/>
    </row>
    <row r="30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</row>
    <row r="3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</row>
    <row r="3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</row>
    <row r="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</row>
    <row r="3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</row>
    <row r="3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</row>
    <row r="3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</row>
    <row r="3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</row>
    <row r="4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</row>
  </sheetData>
  <mergeCells count="1">
    <mergeCell ref="D1:E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4.71"/>
    <col customWidth="1" min="2" max="2" width="7.57"/>
    <col customWidth="1" min="3" max="3" width="8.57"/>
    <col customWidth="1" min="4" max="5" width="5.86"/>
    <col customWidth="1" min="6" max="14" width="6.71"/>
    <col customWidth="1" min="15" max="15" width="5.86"/>
    <col customWidth="1" min="16" max="16" width="6.71"/>
    <col customWidth="1" min="17" max="17" width="5.86"/>
    <col customWidth="1" min="18" max="18" width="6.71"/>
    <col customWidth="1" min="19" max="19" width="5.86"/>
    <col customWidth="1" min="20" max="20" width="6.71"/>
    <col customWidth="1" min="21" max="21" width="5.86"/>
    <col customWidth="1" min="22" max="22" width="6.71"/>
    <col customWidth="1" min="23" max="23" width="5.86"/>
    <col customWidth="1" min="24" max="24" width="6.71"/>
    <col customWidth="1" min="25" max="25" width="5.86"/>
  </cols>
  <sheetData>
    <row r="1">
      <c r="A1" s="3" t="s">
        <v>106</v>
      </c>
      <c r="B1" s="3" t="s">
        <v>107</v>
      </c>
      <c r="C1" s="3" t="s">
        <v>108</v>
      </c>
      <c r="D1" s="3" t="s">
        <v>109</v>
      </c>
      <c r="E1" s="3" t="s">
        <v>110</v>
      </c>
      <c r="F1" s="70">
        <v>45352.0</v>
      </c>
      <c r="H1" s="70">
        <v>45383.0</v>
      </c>
      <c r="J1" s="70">
        <v>45413.0</v>
      </c>
      <c r="L1" s="70">
        <v>45444.0</v>
      </c>
      <c r="N1" s="70">
        <v>45474.0</v>
      </c>
      <c r="P1" s="70">
        <v>45505.0</v>
      </c>
      <c r="R1" s="70">
        <v>45536.0</v>
      </c>
      <c r="T1" s="70">
        <v>45566.0</v>
      </c>
      <c r="V1" s="70">
        <v>45597.0</v>
      </c>
      <c r="X1" s="70">
        <v>45627.0</v>
      </c>
      <c r="Z1" s="4"/>
      <c r="AA1" s="4"/>
      <c r="AB1" s="4"/>
      <c r="AC1" s="4"/>
    </row>
    <row r="2">
      <c r="A2" s="3" t="s">
        <v>112</v>
      </c>
      <c r="B2" s="3">
        <f>8+11+14+13+4+11+2+3+7+10+16+13+3+8+10+5+8+12+17+13+13+17+12+9+6+10+5+9+13+18+11+10+9+15+6+6+11+17+13+10</f>
        <v>408</v>
      </c>
      <c r="C2" s="3">
        <v>383.0</v>
      </c>
      <c r="D2" s="71">
        <v>39.72</v>
      </c>
      <c r="E2" s="71">
        <v>89.9</v>
      </c>
      <c r="F2" s="3">
        <v>1.0</v>
      </c>
      <c r="G2" s="71">
        <f t="shared" ref="G2:G8" si="1">F2*D2</f>
        <v>39.72</v>
      </c>
      <c r="H2" s="3">
        <v>10.0</v>
      </c>
      <c r="I2" s="71">
        <f t="shared" ref="I2:I8" si="2">H2*D2</f>
        <v>397.2</v>
      </c>
      <c r="J2" s="3">
        <v>4.0</v>
      </c>
      <c r="K2" s="71">
        <f t="shared" ref="K2:K8" si="3">J2*D2</f>
        <v>158.88</v>
      </c>
      <c r="L2" s="3">
        <v>9.0</v>
      </c>
      <c r="M2" s="71">
        <f t="shared" ref="M2:M8" si="4">L2*D2</f>
        <v>357.48</v>
      </c>
      <c r="N2" s="3"/>
      <c r="O2" s="72">
        <f t="shared" ref="O2:O8" si="5">N2*D2</f>
        <v>0</v>
      </c>
      <c r="P2" s="3"/>
      <c r="Q2" s="4">
        <f t="shared" ref="Q2:Q8" si="6">P2*F2</f>
        <v>0</v>
      </c>
      <c r="R2" s="3"/>
      <c r="S2" s="4">
        <f t="shared" ref="S2:S8" si="7">R2*H2</f>
        <v>0</v>
      </c>
      <c r="T2" s="3"/>
      <c r="U2" s="4">
        <f t="shared" ref="U2:U8" si="8">T2*J2</f>
        <v>0</v>
      </c>
      <c r="V2" s="3"/>
      <c r="W2" s="4">
        <f t="shared" ref="W2:W8" si="9">V2*L2</f>
        <v>0</v>
      </c>
      <c r="X2" s="3"/>
      <c r="Y2" s="4">
        <f t="shared" ref="Y2:Y8" si="10">X2*N2</f>
        <v>0</v>
      </c>
      <c r="Z2" s="4"/>
      <c r="AA2" s="4"/>
      <c r="AB2" s="3"/>
      <c r="AC2" s="4"/>
    </row>
    <row r="3">
      <c r="A3" s="3" t="s">
        <v>116</v>
      </c>
      <c r="B3" s="3">
        <f>3+4+2+5+5+4</f>
        <v>23</v>
      </c>
      <c r="C3" s="3">
        <v>22.0</v>
      </c>
      <c r="D3" s="71">
        <v>25.03</v>
      </c>
      <c r="E3" s="71">
        <v>59.9</v>
      </c>
      <c r="F3" s="3">
        <v>1.0</v>
      </c>
      <c r="G3" s="71">
        <f t="shared" si="1"/>
        <v>25.03</v>
      </c>
      <c r="H3" s="4"/>
      <c r="I3" s="71">
        <f t="shared" si="2"/>
        <v>0</v>
      </c>
      <c r="J3" s="4"/>
      <c r="K3" s="71">
        <f t="shared" si="3"/>
        <v>0</v>
      </c>
      <c r="L3" s="4"/>
      <c r="M3" s="71">
        <f t="shared" si="4"/>
        <v>0</v>
      </c>
      <c r="N3" s="4"/>
      <c r="O3" s="72">
        <f t="shared" si="5"/>
        <v>0</v>
      </c>
      <c r="P3" s="4"/>
      <c r="Q3" s="4">
        <f t="shared" si="6"/>
        <v>0</v>
      </c>
      <c r="R3" s="4"/>
      <c r="S3" s="4">
        <f t="shared" si="7"/>
        <v>0</v>
      </c>
      <c r="T3" s="4"/>
      <c r="U3" s="4">
        <f t="shared" si="8"/>
        <v>0</v>
      </c>
      <c r="V3" s="4"/>
      <c r="W3" s="4">
        <f t="shared" si="9"/>
        <v>0</v>
      </c>
      <c r="X3" s="4"/>
      <c r="Y3" s="4">
        <f t="shared" si="10"/>
        <v>0</v>
      </c>
      <c r="Z3" s="4"/>
      <c r="AA3" s="4"/>
      <c r="AB3" s="4"/>
      <c r="AC3" s="4"/>
    </row>
    <row r="4">
      <c r="A4" s="3" t="s">
        <v>118</v>
      </c>
      <c r="B4" s="3">
        <f>4+5+5+3+4+3+4+5+4</f>
        <v>37</v>
      </c>
      <c r="C4" s="3">
        <v>32.0</v>
      </c>
      <c r="D4" s="71">
        <v>29.08</v>
      </c>
      <c r="E4" s="71">
        <v>69.9</v>
      </c>
      <c r="F4" s="3">
        <v>1.0</v>
      </c>
      <c r="G4" s="71">
        <f t="shared" si="1"/>
        <v>29.08</v>
      </c>
      <c r="H4" s="3">
        <v>2.0</v>
      </c>
      <c r="I4" s="71">
        <f t="shared" si="2"/>
        <v>58.16</v>
      </c>
      <c r="J4" s="4"/>
      <c r="K4" s="71">
        <f t="shared" si="3"/>
        <v>0</v>
      </c>
      <c r="L4" s="3">
        <v>1.0</v>
      </c>
      <c r="M4" s="71">
        <f t="shared" si="4"/>
        <v>29.08</v>
      </c>
      <c r="N4" s="4"/>
      <c r="O4" s="72">
        <f t="shared" si="5"/>
        <v>0</v>
      </c>
      <c r="P4" s="4"/>
      <c r="Q4" s="4">
        <f t="shared" si="6"/>
        <v>0</v>
      </c>
      <c r="R4" s="4"/>
      <c r="S4" s="4">
        <f t="shared" si="7"/>
        <v>0</v>
      </c>
      <c r="T4" s="4"/>
      <c r="U4" s="4">
        <f t="shared" si="8"/>
        <v>0</v>
      </c>
      <c r="V4" s="4"/>
      <c r="W4" s="4">
        <f t="shared" si="9"/>
        <v>0</v>
      </c>
      <c r="X4" s="4"/>
      <c r="Y4" s="4">
        <f t="shared" si="10"/>
        <v>0</v>
      </c>
      <c r="Z4" s="4"/>
      <c r="AA4" s="4"/>
      <c r="AB4" s="4"/>
      <c r="AC4" s="4"/>
    </row>
    <row r="5">
      <c r="A5" s="3" t="s">
        <v>123</v>
      </c>
      <c r="B5" s="3">
        <v>213.0</v>
      </c>
      <c r="C5" s="3">
        <v>210.0</v>
      </c>
      <c r="D5" s="71">
        <v>4.55</v>
      </c>
      <c r="E5" s="71">
        <v>15.0</v>
      </c>
      <c r="F5" s="3">
        <v>3.0</v>
      </c>
      <c r="G5" s="71">
        <f t="shared" si="1"/>
        <v>13.65</v>
      </c>
      <c r="H5" s="4"/>
      <c r="I5" s="71">
        <f t="shared" si="2"/>
        <v>0</v>
      </c>
      <c r="J5" s="4"/>
      <c r="K5" s="71">
        <f t="shared" si="3"/>
        <v>0</v>
      </c>
      <c r="L5" s="4"/>
      <c r="M5" s="71">
        <f t="shared" si="4"/>
        <v>0</v>
      </c>
      <c r="N5" s="4"/>
      <c r="O5" s="72">
        <f t="shared" si="5"/>
        <v>0</v>
      </c>
      <c r="P5" s="4"/>
      <c r="Q5" s="4">
        <f t="shared" si="6"/>
        <v>0</v>
      </c>
      <c r="R5" s="4"/>
      <c r="S5" s="4">
        <f t="shared" si="7"/>
        <v>0</v>
      </c>
      <c r="T5" s="4"/>
      <c r="U5" s="4">
        <f t="shared" si="8"/>
        <v>0</v>
      </c>
      <c r="V5" s="4"/>
      <c r="W5" s="4">
        <f t="shared" si="9"/>
        <v>0</v>
      </c>
      <c r="X5" s="4"/>
      <c r="Y5" s="4">
        <f t="shared" si="10"/>
        <v>0</v>
      </c>
      <c r="Z5" s="4"/>
      <c r="AA5" s="4"/>
      <c r="AB5" s="4"/>
      <c r="AC5" s="4"/>
    </row>
    <row r="6">
      <c r="A6" s="3" t="s">
        <v>126</v>
      </c>
      <c r="B6" s="3">
        <v>26.0</v>
      </c>
      <c r="C6" s="3">
        <v>25.0</v>
      </c>
      <c r="D6" s="71">
        <v>34.74</v>
      </c>
      <c r="E6" s="71">
        <v>69.9</v>
      </c>
      <c r="F6" s="4"/>
      <c r="G6" s="71">
        <f t="shared" si="1"/>
        <v>0</v>
      </c>
      <c r="H6" s="3">
        <v>1.0</v>
      </c>
      <c r="I6" s="71">
        <f t="shared" si="2"/>
        <v>34.74</v>
      </c>
      <c r="J6" s="4"/>
      <c r="K6" s="71">
        <f t="shared" si="3"/>
        <v>0</v>
      </c>
      <c r="L6" s="4"/>
      <c r="M6" s="71">
        <f t="shared" si="4"/>
        <v>0</v>
      </c>
      <c r="N6" s="4"/>
      <c r="O6" s="72">
        <f t="shared" si="5"/>
        <v>0</v>
      </c>
      <c r="P6" s="4"/>
      <c r="Q6" s="4">
        <f t="shared" si="6"/>
        <v>0</v>
      </c>
      <c r="R6" s="4"/>
      <c r="S6" s="4">
        <f t="shared" si="7"/>
        <v>0</v>
      </c>
      <c r="T6" s="4"/>
      <c r="U6" s="4">
        <f t="shared" si="8"/>
        <v>0</v>
      </c>
      <c r="V6" s="4"/>
      <c r="W6" s="4">
        <f t="shared" si="9"/>
        <v>0</v>
      </c>
      <c r="X6" s="4"/>
      <c r="Y6" s="4">
        <f t="shared" si="10"/>
        <v>0</v>
      </c>
      <c r="Z6" s="4"/>
      <c r="AA6" s="4"/>
      <c r="AB6" s="4"/>
      <c r="AC6" s="4"/>
    </row>
    <row r="7">
      <c r="A7" s="3" t="s">
        <v>127</v>
      </c>
      <c r="B7" s="3">
        <v>15.0</v>
      </c>
      <c r="C7" s="3">
        <v>10.0</v>
      </c>
      <c r="D7" s="71">
        <v>34.97</v>
      </c>
      <c r="E7" s="71">
        <v>69.9</v>
      </c>
      <c r="F7" s="3">
        <v>1.0</v>
      </c>
      <c r="G7" s="71">
        <f t="shared" si="1"/>
        <v>34.97</v>
      </c>
      <c r="H7" s="3">
        <v>3.0</v>
      </c>
      <c r="I7" s="71">
        <f t="shared" si="2"/>
        <v>104.91</v>
      </c>
      <c r="J7" s="3">
        <v>1.0</v>
      </c>
      <c r="K7" s="71">
        <f t="shared" si="3"/>
        <v>34.97</v>
      </c>
      <c r="L7" s="4"/>
      <c r="M7" s="71">
        <f t="shared" si="4"/>
        <v>0</v>
      </c>
      <c r="N7" s="4"/>
      <c r="O7" s="72">
        <f t="shared" si="5"/>
        <v>0</v>
      </c>
      <c r="P7" s="4"/>
      <c r="Q7" s="4">
        <f t="shared" si="6"/>
        <v>0</v>
      </c>
      <c r="R7" s="4"/>
      <c r="S7" s="4">
        <f t="shared" si="7"/>
        <v>0</v>
      </c>
      <c r="T7" s="4"/>
      <c r="U7" s="4">
        <f t="shared" si="8"/>
        <v>0</v>
      </c>
      <c r="V7" s="4"/>
      <c r="W7" s="4">
        <f t="shared" si="9"/>
        <v>0</v>
      </c>
      <c r="X7" s="4"/>
      <c r="Y7" s="4">
        <f t="shared" si="10"/>
        <v>0</v>
      </c>
      <c r="Z7" s="4"/>
      <c r="AA7" s="4"/>
      <c r="AB7" s="4"/>
      <c r="AC7" s="4"/>
    </row>
    <row r="8">
      <c r="A8" s="3" t="s">
        <v>128</v>
      </c>
      <c r="B8" s="3">
        <v>26.0</v>
      </c>
      <c r="C8" s="3">
        <v>26.0</v>
      </c>
      <c r="D8" s="71">
        <v>25.0</v>
      </c>
      <c r="E8" s="71">
        <v>79.9</v>
      </c>
      <c r="F8" s="4"/>
      <c r="G8" s="71">
        <f t="shared" si="1"/>
        <v>0</v>
      </c>
      <c r="H8" s="4"/>
      <c r="I8" s="71">
        <f t="shared" si="2"/>
        <v>0</v>
      </c>
      <c r="J8" s="4"/>
      <c r="K8" s="71">
        <f t="shared" si="3"/>
        <v>0</v>
      </c>
      <c r="L8" s="4"/>
      <c r="M8" s="71">
        <f t="shared" si="4"/>
        <v>0</v>
      </c>
      <c r="N8" s="4"/>
      <c r="O8" s="72">
        <f t="shared" si="5"/>
        <v>0</v>
      </c>
      <c r="P8" s="4"/>
      <c r="Q8" s="4">
        <f t="shared" si="6"/>
        <v>0</v>
      </c>
      <c r="R8" s="4"/>
      <c r="S8" s="4">
        <f t="shared" si="7"/>
        <v>0</v>
      </c>
      <c r="T8" s="4"/>
      <c r="U8" s="4">
        <f t="shared" si="8"/>
        <v>0</v>
      </c>
      <c r="V8" s="4"/>
      <c r="W8" s="4">
        <f t="shared" si="9"/>
        <v>0</v>
      </c>
      <c r="X8" s="4"/>
      <c r="Y8" s="4">
        <f t="shared" si="10"/>
        <v>0</v>
      </c>
      <c r="Z8" s="4"/>
      <c r="AA8" s="4"/>
      <c r="AB8" s="4"/>
      <c r="AC8" s="4"/>
    </row>
    <row r="9">
      <c r="A9" s="4"/>
      <c r="B9" s="4">
        <f t="shared" ref="B9:C9" si="11">SUM(B2:B8)</f>
        <v>748</v>
      </c>
      <c r="C9" s="4">
        <f t="shared" si="11"/>
        <v>708</v>
      </c>
      <c r="D9" s="4"/>
      <c r="E9" s="4"/>
      <c r="F9" s="4">
        <f t="shared" ref="F9:Y9" si="12">SUM(F2:F8)</f>
        <v>7</v>
      </c>
      <c r="G9" s="72">
        <f t="shared" si="12"/>
        <v>142.45</v>
      </c>
      <c r="H9" s="4">
        <f t="shared" si="12"/>
        <v>16</v>
      </c>
      <c r="I9" s="72">
        <f t="shared" si="12"/>
        <v>595.01</v>
      </c>
      <c r="J9" s="4">
        <f t="shared" si="12"/>
        <v>5</v>
      </c>
      <c r="K9" s="72">
        <f t="shared" si="12"/>
        <v>193.85</v>
      </c>
      <c r="L9" s="4">
        <f t="shared" si="12"/>
        <v>10</v>
      </c>
      <c r="M9" s="72">
        <f t="shared" si="12"/>
        <v>386.56</v>
      </c>
      <c r="N9" s="4">
        <f t="shared" si="12"/>
        <v>0</v>
      </c>
      <c r="O9" s="72">
        <f t="shared" si="12"/>
        <v>0</v>
      </c>
      <c r="P9" s="4">
        <f t="shared" si="12"/>
        <v>0</v>
      </c>
      <c r="Q9" s="4">
        <f t="shared" si="12"/>
        <v>0</v>
      </c>
      <c r="R9" s="4">
        <f t="shared" si="12"/>
        <v>0</v>
      </c>
      <c r="S9" s="4">
        <f t="shared" si="12"/>
        <v>0</v>
      </c>
      <c r="T9" s="4">
        <f t="shared" si="12"/>
        <v>0</v>
      </c>
      <c r="U9" s="4">
        <f t="shared" si="12"/>
        <v>0</v>
      </c>
      <c r="V9" s="4">
        <f t="shared" si="12"/>
        <v>0</v>
      </c>
      <c r="W9" s="4">
        <f t="shared" si="12"/>
        <v>0</v>
      </c>
      <c r="X9" s="4">
        <f t="shared" si="12"/>
        <v>0</v>
      </c>
      <c r="Y9" s="4">
        <f t="shared" si="12"/>
        <v>0</v>
      </c>
      <c r="Z9" s="4"/>
      <c r="AA9" s="4"/>
      <c r="AB9" s="4"/>
      <c r="AC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"/>
      <c r="B11" s="3"/>
      <c r="C11" s="4">
        <f>(13+17+11+3+9+8+6+4+5+9+6+11+9+18+13+11+8+15+13)+(17+13+11+8+2+2+11+4+5+2+14+13+9+7+13+12+10+8)</f>
        <v>350</v>
      </c>
      <c r="D11" s="4">
        <f t="shared" ref="D11:D17" si="13">B2-B11</f>
        <v>408</v>
      </c>
      <c r="E11" s="4">
        <f t="shared" ref="E11:E17" si="14">D11-C11</f>
        <v>58</v>
      </c>
      <c r="F11" s="72">
        <f t="shared" ref="F11:F17" si="15">E11*D2</f>
        <v>2303.76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4"/>
      <c r="B12" s="3"/>
      <c r="C12" s="4">
        <f>5+4+5+2+3+2</f>
        <v>21</v>
      </c>
      <c r="D12" s="4">
        <f t="shared" si="13"/>
        <v>23</v>
      </c>
      <c r="E12" s="4">
        <f t="shared" si="14"/>
        <v>2</v>
      </c>
      <c r="F12" s="72">
        <f t="shared" si="15"/>
        <v>50.06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4"/>
      <c r="B13" s="3"/>
      <c r="C13" s="4">
        <f>2+4+3+2+3+4+2+3+4</f>
        <v>27</v>
      </c>
      <c r="D13" s="4">
        <f t="shared" si="13"/>
        <v>37</v>
      </c>
      <c r="E13" s="4">
        <f t="shared" si="14"/>
        <v>10</v>
      </c>
      <c r="F13" s="72">
        <f t="shared" si="15"/>
        <v>290.8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4"/>
      <c r="B14" s="3"/>
      <c r="C14" s="4">
        <f>210</f>
        <v>210</v>
      </c>
      <c r="D14" s="4">
        <f t="shared" si="13"/>
        <v>213</v>
      </c>
      <c r="E14" s="4">
        <f t="shared" si="14"/>
        <v>3</v>
      </c>
      <c r="F14" s="72">
        <f t="shared" si="15"/>
        <v>13.65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4"/>
      <c r="B15" s="3"/>
      <c r="C15" s="3">
        <v>23.0</v>
      </c>
      <c r="D15" s="4">
        <f t="shared" si="13"/>
        <v>26</v>
      </c>
      <c r="E15" s="4">
        <f t="shared" si="14"/>
        <v>3</v>
      </c>
      <c r="F15" s="72">
        <f t="shared" si="15"/>
        <v>104.22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4"/>
      <c r="B16" s="3"/>
      <c r="C16" s="3">
        <v>6.0</v>
      </c>
      <c r="D16" s="4">
        <f t="shared" si="13"/>
        <v>15</v>
      </c>
      <c r="E16" s="4">
        <f t="shared" si="14"/>
        <v>9</v>
      </c>
      <c r="F16" s="72">
        <f t="shared" si="15"/>
        <v>314.73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"/>
      <c r="B17" s="3"/>
      <c r="C17" s="3">
        <v>23.0</v>
      </c>
      <c r="D17" s="4">
        <f t="shared" si="13"/>
        <v>26</v>
      </c>
      <c r="E17" s="4">
        <f t="shared" si="14"/>
        <v>3</v>
      </c>
      <c r="F17" s="72">
        <f t="shared" si="15"/>
        <v>75</v>
      </c>
      <c r="G17" s="4"/>
      <c r="H17" s="4"/>
      <c r="I17" s="4"/>
      <c r="J17" s="4"/>
      <c r="K17" s="4"/>
      <c r="L17" s="4"/>
      <c r="M17" s="4"/>
      <c r="N17" s="3"/>
      <c r="O17" s="4"/>
      <c r="P17" s="3"/>
      <c r="Q17" s="4"/>
      <c r="R17" s="3"/>
      <c r="S17" s="4"/>
      <c r="T17" s="3"/>
      <c r="U17" s="4"/>
      <c r="V17" s="3"/>
      <c r="W17" s="4"/>
      <c r="X17" s="3"/>
      <c r="Y17" s="4"/>
      <c r="Z17" s="4"/>
      <c r="AA17" s="4"/>
      <c r="AB17" s="4"/>
      <c r="AC17" s="4"/>
    </row>
    <row r="18">
      <c r="A18" s="4"/>
      <c r="B18" s="4"/>
      <c r="C18" s="3"/>
      <c r="D18" s="3"/>
      <c r="E18" s="3"/>
      <c r="F18" s="72">
        <f>SUM(F11:F17)</f>
        <v>3152.22</v>
      </c>
      <c r="G18" s="4"/>
      <c r="H18" s="4"/>
      <c r="I18" s="4"/>
      <c r="J18" s="4"/>
      <c r="K18" s="4"/>
      <c r="L18" s="4"/>
      <c r="M18" s="4"/>
      <c r="N18" s="3"/>
      <c r="O18" s="4"/>
      <c r="P18" s="3"/>
      <c r="Q18" s="4"/>
      <c r="R18" s="3"/>
      <c r="S18" s="4"/>
      <c r="T18" s="3"/>
      <c r="U18" s="4"/>
      <c r="V18" s="3"/>
      <c r="W18" s="4"/>
      <c r="X18" s="3"/>
      <c r="Y18" s="4"/>
      <c r="Z18" s="4"/>
      <c r="AA18" s="4"/>
      <c r="AB18" s="4"/>
      <c r="AC18" s="4"/>
    </row>
    <row r="19">
      <c r="A19" s="4"/>
      <c r="B19" s="4"/>
      <c r="C19" s="3"/>
      <c r="D19" s="3"/>
      <c r="E19" s="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4"/>
      <c r="B20" s="4"/>
      <c r="C20" s="3"/>
      <c r="D20" s="3"/>
      <c r="E20" s="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3" t="s">
        <v>129</v>
      </c>
      <c r="B21" s="4"/>
      <c r="C21" s="3"/>
      <c r="D21" s="4"/>
      <c r="E21" s="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77">
        <v>45624.0</v>
      </c>
      <c r="B22" s="3">
        <v>400.0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78">
        <v>45476.0</v>
      </c>
      <c r="B23" s="3">
        <v>615.88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78">
        <v>45419.0</v>
      </c>
      <c r="B24" s="3">
        <v>560.04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78">
        <v>45385.0</v>
      </c>
      <c r="B25" s="3">
        <v>141.95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"/>
      <c r="B30" s="4">
        <f>SUM(B22:B25)</f>
        <v>1717.87</v>
      </c>
      <c r="C30" s="72">
        <f>F18-B30</f>
        <v>1434.35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mergeCells count="10">
    <mergeCell ref="T1:U1"/>
    <mergeCell ref="V1:W1"/>
    <mergeCell ref="X1:Y1"/>
    <mergeCell ref="F1:G1"/>
    <mergeCell ref="H1:I1"/>
    <mergeCell ref="J1:K1"/>
    <mergeCell ref="L1:M1"/>
    <mergeCell ref="N1:O1"/>
    <mergeCell ref="P1:Q1"/>
    <mergeCell ref="R1:S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2">
      <c r="A2" s="1" t="s">
        <v>169</v>
      </c>
      <c r="B2" s="1">
        <v>31.0</v>
      </c>
      <c r="C2" s="1">
        <v>26.0</v>
      </c>
      <c r="D2" s="1">
        <v>5.0</v>
      </c>
    </row>
    <row r="3">
      <c r="A3" s="1" t="s">
        <v>170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1.43"/>
    <col customWidth="1" min="10" max="10" width="20.57"/>
  </cols>
  <sheetData>
    <row r="1">
      <c r="A1" s="1" t="s">
        <v>171</v>
      </c>
      <c r="B1" s="1" t="s">
        <v>172</v>
      </c>
      <c r="C1" s="101">
        <v>34.97</v>
      </c>
      <c r="F1" s="1" t="s">
        <v>169</v>
      </c>
      <c r="G1" s="1" t="s">
        <v>173</v>
      </c>
      <c r="H1" s="101">
        <v>36.0</v>
      </c>
      <c r="I1" s="1" t="s">
        <v>174</v>
      </c>
    </row>
    <row r="2">
      <c r="A2" s="1" t="s">
        <v>175</v>
      </c>
      <c r="B2" s="1" t="s">
        <v>172</v>
      </c>
      <c r="C2" s="101">
        <v>4.55</v>
      </c>
      <c r="F2" s="1" t="s">
        <v>169</v>
      </c>
      <c r="G2" s="1" t="s">
        <v>173</v>
      </c>
      <c r="H2" s="101">
        <v>36.0</v>
      </c>
      <c r="I2" s="1" t="s">
        <v>174</v>
      </c>
    </row>
    <row r="3">
      <c r="A3" s="1" t="s">
        <v>177</v>
      </c>
      <c r="B3" s="1" t="s">
        <v>178</v>
      </c>
      <c r="C3" s="101">
        <v>29.08</v>
      </c>
      <c r="F3" s="1" t="s">
        <v>169</v>
      </c>
      <c r="G3" s="1" t="s">
        <v>179</v>
      </c>
      <c r="H3" s="101">
        <v>36.0</v>
      </c>
      <c r="I3" s="1" t="s">
        <v>174</v>
      </c>
    </row>
    <row r="4">
      <c r="A4" s="1" t="s">
        <v>180</v>
      </c>
      <c r="B4" s="1" t="s">
        <v>181</v>
      </c>
      <c r="C4" s="101">
        <v>39.72</v>
      </c>
      <c r="F4" s="1" t="s">
        <v>169</v>
      </c>
      <c r="G4" s="1" t="s">
        <v>182</v>
      </c>
      <c r="H4" s="101">
        <v>36.0</v>
      </c>
      <c r="I4" s="1" t="s">
        <v>174</v>
      </c>
    </row>
    <row r="5">
      <c r="A5" s="1" t="s">
        <v>183</v>
      </c>
      <c r="B5" s="1" t="s">
        <v>184</v>
      </c>
      <c r="C5" s="101">
        <v>29.08</v>
      </c>
      <c r="F5" s="1" t="s">
        <v>169</v>
      </c>
      <c r="G5" s="1" t="s">
        <v>185</v>
      </c>
      <c r="H5" s="101">
        <v>36.0</v>
      </c>
      <c r="I5" s="1" t="s">
        <v>174</v>
      </c>
    </row>
    <row r="6">
      <c r="A6" s="1" t="s">
        <v>175</v>
      </c>
      <c r="B6" s="1" t="s">
        <v>184</v>
      </c>
      <c r="C6" s="101">
        <v>4.55</v>
      </c>
      <c r="H6" s="102"/>
    </row>
    <row r="7">
      <c r="C7" s="102">
        <f>SUM(C1:C6)</f>
        <v>141.95</v>
      </c>
      <c r="D7" s="1" t="s">
        <v>174</v>
      </c>
      <c r="H7" s="102"/>
    </row>
    <row r="8">
      <c r="C8" s="102"/>
      <c r="H8" s="102"/>
      <c r="J8" s="1" t="s">
        <v>112</v>
      </c>
      <c r="K8" s="1">
        <v>39.72</v>
      </c>
      <c r="M8" s="1">
        <f>220+188</f>
        <v>408</v>
      </c>
      <c r="N8" s="2">
        <f t="shared" ref="N8:N14" si="1">M8*K8</f>
        <v>16205.76</v>
      </c>
      <c r="O8" s="1">
        <v>89.9</v>
      </c>
      <c r="Q8" s="1">
        <v>389.0</v>
      </c>
      <c r="R8" s="2">
        <f t="shared" ref="R8:R14" si="2">M8-Q8</f>
        <v>19</v>
      </c>
    </row>
    <row r="9">
      <c r="A9" s="1" t="s">
        <v>186</v>
      </c>
      <c r="C9" s="101">
        <v>39.72</v>
      </c>
      <c r="H9" s="102"/>
      <c r="J9" s="1" t="s">
        <v>116</v>
      </c>
      <c r="K9" s="1">
        <v>25.03</v>
      </c>
      <c r="M9" s="1">
        <v>23.0</v>
      </c>
      <c r="N9" s="2">
        <f t="shared" si="1"/>
        <v>575.69</v>
      </c>
      <c r="O9" s="1">
        <v>59.9</v>
      </c>
      <c r="Q9" s="1">
        <v>22.0</v>
      </c>
      <c r="R9" s="2">
        <f t="shared" si="2"/>
        <v>1</v>
      </c>
    </row>
    <row r="10">
      <c r="A10" s="1" t="s">
        <v>187</v>
      </c>
      <c r="C10" s="101">
        <v>39.72</v>
      </c>
      <c r="G10" s="1" t="s">
        <v>188</v>
      </c>
      <c r="H10" s="101">
        <v>50.0</v>
      </c>
      <c r="J10" s="1" t="s">
        <v>118</v>
      </c>
      <c r="K10" s="1">
        <v>29.08</v>
      </c>
      <c r="M10" s="1">
        <v>37.0</v>
      </c>
      <c r="N10" s="2">
        <f t="shared" si="1"/>
        <v>1075.96</v>
      </c>
      <c r="O10" s="1">
        <v>69.9</v>
      </c>
      <c r="Q10" s="1">
        <v>33.0</v>
      </c>
      <c r="R10" s="2">
        <f t="shared" si="2"/>
        <v>4</v>
      </c>
    </row>
    <row r="11">
      <c r="A11" s="1" t="s">
        <v>171</v>
      </c>
      <c r="C11" s="101">
        <v>34.97</v>
      </c>
      <c r="G11" s="1" t="s">
        <v>189</v>
      </c>
      <c r="H11" s="101">
        <v>200.0</v>
      </c>
      <c r="J11" s="1" t="s">
        <v>123</v>
      </c>
      <c r="K11" s="1">
        <v>4.55</v>
      </c>
      <c r="M11" s="1">
        <v>213.0</v>
      </c>
      <c r="N11" s="2">
        <f t="shared" si="1"/>
        <v>969.15</v>
      </c>
      <c r="O11" s="1">
        <v>15.0</v>
      </c>
      <c r="Q11" s="1">
        <v>210.0</v>
      </c>
      <c r="R11" s="2">
        <f t="shared" si="2"/>
        <v>3</v>
      </c>
    </row>
    <row r="12">
      <c r="A12" s="1" t="s">
        <v>190</v>
      </c>
      <c r="C12" s="101">
        <v>39.72</v>
      </c>
      <c r="G12" s="1" t="s">
        <v>191</v>
      </c>
      <c r="H12" s="101">
        <f>72+50+36+72</f>
        <v>230</v>
      </c>
      <c r="J12" s="1" t="s">
        <v>126</v>
      </c>
      <c r="K12" s="1">
        <v>34.97</v>
      </c>
      <c r="M12" s="1">
        <v>26.0</v>
      </c>
      <c r="N12" s="2">
        <f t="shared" si="1"/>
        <v>909.22</v>
      </c>
      <c r="O12" s="1">
        <v>69.9</v>
      </c>
      <c r="Q12" s="1">
        <v>25.0</v>
      </c>
      <c r="R12" s="2">
        <f t="shared" si="2"/>
        <v>1</v>
      </c>
    </row>
    <row r="13">
      <c r="A13" s="1" t="s">
        <v>192</v>
      </c>
      <c r="C13" s="101">
        <v>29.08</v>
      </c>
      <c r="H13" s="101"/>
      <c r="J13" s="1" t="s">
        <v>193</v>
      </c>
      <c r="K13" s="1">
        <v>34.97</v>
      </c>
      <c r="M13" s="1">
        <v>15.0</v>
      </c>
      <c r="N13" s="2">
        <f t="shared" si="1"/>
        <v>524.55</v>
      </c>
      <c r="O13" s="1">
        <v>69.9</v>
      </c>
      <c r="Q13" s="1">
        <v>10.0</v>
      </c>
      <c r="R13" s="2">
        <f t="shared" si="2"/>
        <v>5</v>
      </c>
    </row>
    <row r="14">
      <c r="A14" s="1" t="s">
        <v>194</v>
      </c>
      <c r="C14" s="101">
        <v>39.72</v>
      </c>
      <c r="H14" s="102"/>
      <c r="J14" s="1" t="s">
        <v>128</v>
      </c>
      <c r="K14" s="1">
        <v>59.1</v>
      </c>
      <c r="M14" s="1">
        <v>26.0</v>
      </c>
      <c r="N14" s="2">
        <f t="shared" si="1"/>
        <v>1536.6</v>
      </c>
      <c r="Q14" s="1">
        <v>26.0</v>
      </c>
      <c r="R14" s="2">
        <f t="shared" si="2"/>
        <v>0</v>
      </c>
    </row>
    <row r="15">
      <c r="A15" s="1" t="s">
        <v>195</v>
      </c>
      <c r="C15" s="101">
        <v>39.72</v>
      </c>
      <c r="H15" s="102"/>
    </row>
    <row r="16">
      <c r="A16" s="1" t="s">
        <v>196</v>
      </c>
      <c r="C16" s="101">
        <v>39.72</v>
      </c>
      <c r="G16" s="2">
        <f>9*36</f>
        <v>324</v>
      </c>
      <c r="H16" s="101">
        <v>356.0</v>
      </c>
      <c r="I16" s="2">
        <f>SUM(G16:H16)</f>
        <v>680</v>
      </c>
      <c r="N16" s="2">
        <f>SUM(N8:N14)</f>
        <v>21796.93</v>
      </c>
    </row>
    <row r="17">
      <c r="A17" s="1" t="s">
        <v>197</v>
      </c>
      <c r="C17" s="101">
        <v>29.08</v>
      </c>
      <c r="H17" s="102"/>
    </row>
    <row r="18">
      <c r="A18" s="1" t="s">
        <v>198</v>
      </c>
      <c r="C18" s="101">
        <v>39.72</v>
      </c>
      <c r="H18" s="102"/>
    </row>
    <row r="19">
      <c r="A19" s="1" t="s">
        <v>190</v>
      </c>
      <c r="C19" s="101">
        <v>39.72</v>
      </c>
      <c r="H19" s="102"/>
    </row>
    <row r="20">
      <c r="A20" s="1" t="s">
        <v>199</v>
      </c>
      <c r="C20" s="101">
        <v>39.72</v>
      </c>
      <c r="H20" s="102"/>
    </row>
    <row r="21">
      <c r="A21" s="1" t="s">
        <v>196</v>
      </c>
      <c r="C21" s="101">
        <v>39.72</v>
      </c>
      <c r="H21" s="102"/>
    </row>
    <row r="22">
      <c r="A22" s="1" t="s">
        <v>200</v>
      </c>
      <c r="C22" s="101">
        <v>34.74</v>
      </c>
      <c r="H22" s="102"/>
      <c r="K22" s="1" t="s">
        <v>201</v>
      </c>
      <c r="L22" s="1">
        <v>5000.0</v>
      </c>
      <c r="M22" s="2">
        <f>M26*0.25</f>
        <v>20.745</v>
      </c>
      <c r="P22" s="1" t="s">
        <v>90</v>
      </c>
      <c r="Q22" s="1">
        <v>1.8</v>
      </c>
    </row>
    <row r="23">
      <c r="A23" s="1" t="s">
        <v>171</v>
      </c>
      <c r="C23" s="101">
        <v>34.97</v>
      </c>
      <c r="H23" s="102"/>
      <c r="K23" s="1" t="s">
        <v>99</v>
      </c>
      <c r="M23" s="1">
        <v>2.0</v>
      </c>
      <c r="P23" s="1" t="s">
        <v>93</v>
      </c>
      <c r="Q23" s="1">
        <v>2.02</v>
      </c>
    </row>
    <row r="24">
      <c r="C24" s="102"/>
      <c r="H24" s="102"/>
      <c r="K24" s="1" t="s">
        <v>202</v>
      </c>
      <c r="M24" s="1">
        <v>0.06</v>
      </c>
      <c r="P24" s="1" t="s">
        <v>100</v>
      </c>
      <c r="Q24" s="1">
        <v>3.68</v>
      </c>
    </row>
    <row r="25">
      <c r="C25" s="102">
        <f>SUM(C9:C24)</f>
        <v>560.04</v>
      </c>
      <c r="D25" s="1" t="s">
        <v>174</v>
      </c>
      <c r="H25" s="101">
        <v>14.9</v>
      </c>
      <c r="I25" s="1">
        <v>0.25</v>
      </c>
      <c r="J25" s="102">
        <f>H25*I25</f>
        <v>3.725</v>
      </c>
      <c r="P25" s="1" t="s">
        <v>104</v>
      </c>
      <c r="Q25" s="1">
        <v>3.99</v>
      </c>
      <c r="R25" s="2">
        <f>Q25/100</f>
        <v>0.0399</v>
      </c>
    </row>
    <row r="26">
      <c r="C26" s="102"/>
      <c r="H26" s="102"/>
      <c r="K26" s="1" t="s">
        <v>203</v>
      </c>
      <c r="M26" s="1">
        <v>82.98</v>
      </c>
    </row>
    <row r="27">
      <c r="A27" s="1" t="s">
        <v>204</v>
      </c>
      <c r="C27" s="101">
        <v>39.72</v>
      </c>
      <c r="H27" s="102"/>
      <c r="K27" s="1" t="s">
        <v>205</v>
      </c>
      <c r="M27" s="2">
        <f>((M26*M23)+M22)+(((M26*M23)+M22)*M24)</f>
        <v>197.9073</v>
      </c>
    </row>
    <row r="28">
      <c r="A28" s="1" t="s">
        <v>206</v>
      </c>
      <c r="C28" s="101">
        <v>39.72</v>
      </c>
      <c r="H28" s="102"/>
      <c r="K28" s="1" t="s">
        <v>207</v>
      </c>
      <c r="L28" s="1">
        <v>0.0</v>
      </c>
    </row>
    <row r="29">
      <c r="C29" s="102"/>
      <c r="H29" s="102"/>
      <c r="K29" s="1" t="s">
        <v>208</v>
      </c>
      <c r="M29" s="2">
        <f>M27-(M27*R25)</f>
        <v>190.0107987</v>
      </c>
    </row>
    <row r="30">
      <c r="C30" s="102"/>
      <c r="H30" s="102"/>
      <c r="M30" s="2">
        <f>M29-(M29*L28)</f>
        <v>190.0107987</v>
      </c>
    </row>
    <row r="31">
      <c r="C31" s="102"/>
      <c r="H31" s="102"/>
    </row>
    <row r="32">
      <c r="C32" s="102"/>
      <c r="H32" s="102"/>
    </row>
    <row r="33">
      <c r="C33" s="102"/>
      <c r="H33" s="102"/>
    </row>
    <row r="34">
      <c r="C34" s="102"/>
      <c r="H34" s="102"/>
    </row>
    <row r="35">
      <c r="C35" s="102"/>
      <c r="H35" s="102"/>
    </row>
    <row r="36">
      <c r="C36" s="102"/>
      <c r="E36" s="1">
        <v>500000.0</v>
      </c>
      <c r="F36" s="101">
        <f>E36+H37</f>
        <v>504428</v>
      </c>
      <c r="H36" s="102"/>
    </row>
    <row r="37">
      <c r="C37" s="102"/>
      <c r="F37" s="1">
        <v>0.008856</v>
      </c>
      <c r="G37" s="1">
        <v>50.0</v>
      </c>
      <c r="H37" s="102">
        <f>H38*G37</f>
        <v>4428</v>
      </c>
      <c r="O37" s="1">
        <v>19.0</v>
      </c>
      <c r="P37" s="1">
        <v>9.0</v>
      </c>
      <c r="Q37" s="2">
        <f t="shared" ref="Q37:Q38" si="3">O37/P37</f>
        <v>2.111111111</v>
      </c>
    </row>
    <row r="38">
      <c r="C38" s="102"/>
      <c r="G38" s="2">
        <f>F37/G37</f>
        <v>0.00017712</v>
      </c>
      <c r="H38" s="102">
        <f>E36*G38</f>
        <v>88.56</v>
      </c>
      <c r="O38" s="1">
        <v>4.5</v>
      </c>
      <c r="P38" s="1">
        <v>5.0</v>
      </c>
      <c r="Q38" s="2">
        <f t="shared" si="3"/>
        <v>0.9</v>
      </c>
    </row>
    <row r="39">
      <c r="C39" s="102"/>
      <c r="H39" s="102"/>
      <c r="Q39" s="1">
        <v>1.0</v>
      </c>
    </row>
    <row r="40">
      <c r="C40" s="102">
        <f>SUM(C27:C38)</f>
        <v>79.44</v>
      </c>
      <c r="H40" s="102"/>
      <c r="Q40" s="2">
        <f>SUM(Q37:Q39)</f>
        <v>4.011111111</v>
      </c>
    </row>
    <row r="41">
      <c r="C41" s="102"/>
      <c r="H41" s="102"/>
    </row>
    <row r="42">
      <c r="C42" s="102"/>
      <c r="H42" s="102"/>
      <c r="Q42" s="1">
        <v>4.0</v>
      </c>
    </row>
    <row r="43">
      <c r="C43" s="102"/>
      <c r="H43" s="102"/>
      <c r="Q43" s="1">
        <v>8.0</v>
      </c>
    </row>
    <row r="44">
      <c r="C44" s="102"/>
      <c r="H44" s="102"/>
    </row>
    <row r="45">
      <c r="C45" s="102"/>
      <c r="H45" s="102"/>
    </row>
    <row r="46">
      <c r="C46" s="102"/>
      <c r="H46" s="102"/>
    </row>
    <row r="47">
      <c r="C47" s="102"/>
      <c r="H47" s="102"/>
    </row>
    <row r="48">
      <c r="C48" s="102"/>
      <c r="H48" s="102"/>
    </row>
    <row r="49">
      <c r="A49" s="1" t="s">
        <v>209</v>
      </c>
      <c r="B49" s="1">
        <v>1500.0</v>
      </c>
      <c r="C49" s="102"/>
      <c r="H49" s="102"/>
    </row>
    <row r="50">
      <c r="A50" s="1" t="s">
        <v>210</v>
      </c>
      <c r="B50" s="1">
        <v>1500.0</v>
      </c>
      <c r="C50" s="102"/>
      <c r="H50" s="102"/>
    </row>
    <row r="51">
      <c r="A51" s="1" t="s">
        <v>211</v>
      </c>
      <c r="B51" s="1">
        <v>1500.0</v>
      </c>
      <c r="C51" s="102"/>
      <c r="H51" s="102"/>
    </row>
    <row r="52">
      <c r="A52" s="1" t="s">
        <v>212</v>
      </c>
      <c r="B52" s="1">
        <v>4000.0</v>
      </c>
      <c r="C52" s="102"/>
      <c r="H52" s="102"/>
    </row>
    <row r="53">
      <c r="A53" s="1" t="s">
        <v>213</v>
      </c>
      <c r="B53" s="1">
        <v>750.0</v>
      </c>
      <c r="C53" s="102"/>
      <c r="H53" s="102"/>
    </row>
    <row r="54">
      <c r="C54" s="102"/>
      <c r="H54" s="102"/>
    </row>
    <row r="55">
      <c r="C55" s="102"/>
      <c r="H55" s="102"/>
    </row>
    <row r="56">
      <c r="C56" s="102"/>
      <c r="H56" s="102"/>
    </row>
    <row r="57">
      <c r="C57" s="102"/>
      <c r="H57" s="102"/>
    </row>
    <row r="58">
      <c r="C58" s="102"/>
      <c r="H58" s="102"/>
    </row>
    <row r="59">
      <c r="C59" s="102"/>
      <c r="H59" s="102"/>
    </row>
    <row r="60">
      <c r="B60" s="2">
        <f>SUM(B49:B59)</f>
        <v>9250</v>
      </c>
      <c r="C60" s="102"/>
      <c r="H60" s="102"/>
    </row>
    <row r="61">
      <c r="C61" s="102"/>
      <c r="H61" s="102"/>
    </row>
    <row r="62">
      <c r="C62" s="102"/>
      <c r="H62" s="102"/>
    </row>
    <row r="63">
      <c r="C63" s="102"/>
      <c r="H63" s="102"/>
    </row>
    <row r="64">
      <c r="C64" s="102"/>
      <c r="H64" s="102"/>
    </row>
    <row r="65">
      <c r="C65" s="102"/>
      <c r="H65" s="102"/>
    </row>
    <row r="66">
      <c r="C66" s="102"/>
      <c r="H66" s="102"/>
    </row>
    <row r="67">
      <c r="C67" s="102"/>
      <c r="H67" s="102"/>
    </row>
    <row r="68">
      <c r="C68" s="102"/>
      <c r="H68" s="102"/>
    </row>
    <row r="69">
      <c r="C69" s="102"/>
      <c r="H69" s="102"/>
    </row>
    <row r="70">
      <c r="C70" s="102"/>
      <c r="H70" s="102"/>
    </row>
    <row r="71">
      <c r="C71" s="102"/>
      <c r="H71" s="102"/>
    </row>
    <row r="72">
      <c r="C72" s="102"/>
      <c r="H72" s="102"/>
    </row>
    <row r="73">
      <c r="C73" s="102"/>
      <c r="H73" s="102"/>
    </row>
    <row r="74">
      <c r="C74" s="102"/>
      <c r="H74" s="102"/>
    </row>
    <row r="75">
      <c r="C75" s="102"/>
      <c r="H75" s="102"/>
    </row>
    <row r="76">
      <c r="C76" s="102"/>
      <c r="H76" s="102"/>
    </row>
    <row r="77">
      <c r="C77" s="102"/>
      <c r="H77" s="102"/>
    </row>
    <row r="78">
      <c r="C78" s="102"/>
      <c r="H78" s="102"/>
    </row>
    <row r="79">
      <c r="C79" s="102"/>
      <c r="H79" s="102"/>
    </row>
    <row r="80">
      <c r="C80" s="102"/>
      <c r="H80" s="102"/>
    </row>
    <row r="81">
      <c r="C81" s="102"/>
      <c r="H81" s="102"/>
    </row>
    <row r="82">
      <c r="C82" s="102"/>
      <c r="H82" s="102"/>
    </row>
    <row r="83">
      <c r="C83" s="102"/>
      <c r="H83" s="102"/>
    </row>
    <row r="84">
      <c r="C84" s="102"/>
      <c r="H84" s="102"/>
    </row>
    <row r="85">
      <c r="C85" s="102"/>
      <c r="H85" s="102"/>
    </row>
    <row r="86">
      <c r="C86" s="102"/>
      <c r="H86" s="102"/>
    </row>
    <row r="87">
      <c r="C87" s="102"/>
      <c r="H87" s="102"/>
    </row>
    <row r="88">
      <c r="C88" s="102"/>
      <c r="H88" s="102"/>
    </row>
    <row r="89">
      <c r="C89" s="102"/>
      <c r="H89" s="102"/>
    </row>
    <row r="90">
      <c r="C90" s="102"/>
      <c r="H90" s="102"/>
    </row>
    <row r="91">
      <c r="C91" s="102"/>
      <c r="H91" s="102"/>
    </row>
    <row r="92">
      <c r="C92" s="102"/>
      <c r="H92" s="102"/>
    </row>
    <row r="93">
      <c r="C93" s="102"/>
      <c r="H93" s="102"/>
    </row>
    <row r="94">
      <c r="C94" s="102"/>
      <c r="H94" s="102"/>
    </row>
    <row r="95">
      <c r="C95" s="102"/>
      <c r="H95" s="102"/>
    </row>
    <row r="96">
      <c r="C96" s="102"/>
      <c r="H96" s="102"/>
    </row>
    <row r="97">
      <c r="C97" s="102"/>
      <c r="H97" s="102"/>
    </row>
    <row r="98">
      <c r="C98" s="102"/>
      <c r="H98" s="102"/>
    </row>
    <row r="99">
      <c r="C99" s="102"/>
      <c r="H99" s="102"/>
    </row>
    <row r="100">
      <c r="C100" s="102"/>
      <c r="H100" s="102"/>
    </row>
    <row r="101">
      <c r="C101" s="102"/>
      <c r="H101" s="102"/>
    </row>
    <row r="102">
      <c r="C102" s="102"/>
      <c r="H102" s="102"/>
    </row>
    <row r="103">
      <c r="C103" s="102"/>
      <c r="H103" s="102"/>
    </row>
    <row r="104">
      <c r="C104" s="102"/>
      <c r="H104" s="102"/>
    </row>
    <row r="105">
      <c r="C105" s="102"/>
      <c r="H105" s="102"/>
    </row>
    <row r="106">
      <c r="C106" s="102"/>
      <c r="H106" s="102"/>
    </row>
    <row r="107">
      <c r="C107" s="102"/>
      <c r="H107" s="102"/>
    </row>
    <row r="108">
      <c r="C108" s="102"/>
      <c r="H108" s="102"/>
    </row>
    <row r="109">
      <c r="C109" s="102"/>
      <c r="H109" s="102"/>
    </row>
    <row r="110">
      <c r="C110" s="102"/>
      <c r="H110" s="102"/>
    </row>
    <row r="111">
      <c r="C111" s="102"/>
      <c r="H111" s="102"/>
    </row>
    <row r="112">
      <c r="C112" s="102"/>
      <c r="H112" s="102"/>
    </row>
    <row r="113">
      <c r="C113" s="102"/>
      <c r="H113" s="102"/>
    </row>
    <row r="114">
      <c r="C114" s="102"/>
      <c r="H114" s="102"/>
    </row>
    <row r="115">
      <c r="C115" s="102"/>
      <c r="H115" s="102"/>
    </row>
    <row r="116">
      <c r="C116" s="102"/>
      <c r="H116" s="102"/>
    </row>
    <row r="117">
      <c r="C117" s="102"/>
      <c r="H117" s="102"/>
    </row>
    <row r="118">
      <c r="C118" s="102"/>
      <c r="H118" s="102"/>
    </row>
    <row r="119">
      <c r="C119" s="102"/>
      <c r="H119" s="102"/>
    </row>
    <row r="120">
      <c r="C120" s="102"/>
      <c r="H120" s="102"/>
    </row>
    <row r="121">
      <c r="C121" s="102"/>
      <c r="H121" s="102"/>
    </row>
    <row r="122">
      <c r="C122" s="102"/>
      <c r="H122" s="102"/>
    </row>
    <row r="123">
      <c r="C123" s="102"/>
      <c r="H123" s="102"/>
    </row>
    <row r="124">
      <c r="C124" s="102"/>
      <c r="H124" s="102"/>
    </row>
    <row r="125">
      <c r="C125" s="102"/>
      <c r="H125" s="102"/>
    </row>
    <row r="126">
      <c r="C126" s="102"/>
      <c r="H126" s="102"/>
    </row>
    <row r="127">
      <c r="C127" s="102"/>
      <c r="H127" s="102"/>
    </row>
    <row r="128">
      <c r="C128" s="102"/>
      <c r="H128" s="102"/>
    </row>
    <row r="129">
      <c r="C129" s="102"/>
      <c r="H129" s="102"/>
    </row>
    <row r="130">
      <c r="C130" s="102"/>
      <c r="H130" s="102"/>
    </row>
    <row r="131">
      <c r="C131" s="102"/>
      <c r="H131" s="102"/>
    </row>
    <row r="132">
      <c r="C132" s="102"/>
      <c r="H132" s="102"/>
    </row>
    <row r="133">
      <c r="C133" s="102"/>
      <c r="H133" s="102"/>
    </row>
    <row r="134">
      <c r="C134" s="102"/>
      <c r="H134" s="102"/>
    </row>
    <row r="135">
      <c r="C135" s="102"/>
      <c r="H135" s="102"/>
    </row>
    <row r="136">
      <c r="C136" s="102"/>
      <c r="H136" s="102"/>
    </row>
    <row r="137">
      <c r="C137" s="102"/>
      <c r="H137" s="102"/>
    </row>
    <row r="138">
      <c r="C138" s="102"/>
      <c r="H138" s="102"/>
    </row>
    <row r="139">
      <c r="C139" s="102"/>
      <c r="H139" s="102"/>
    </row>
    <row r="140">
      <c r="C140" s="102"/>
      <c r="H140" s="102"/>
    </row>
    <row r="141">
      <c r="C141" s="102"/>
      <c r="H141" s="102"/>
    </row>
    <row r="142">
      <c r="C142" s="102"/>
      <c r="H142" s="102"/>
    </row>
    <row r="143">
      <c r="C143" s="102"/>
      <c r="H143" s="102"/>
    </row>
    <row r="144">
      <c r="C144" s="102"/>
      <c r="H144" s="102"/>
    </row>
    <row r="145">
      <c r="C145" s="102"/>
      <c r="H145" s="102"/>
    </row>
    <row r="146">
      <c r="C146" s="102"/>
      <c r="H146" s="102"/>
    </row>
    <row r="147">
      <c r="C147" s="102"/>
      <c r="H147" s="102"/>
    </row>
    <row r="148">
      <c r="C148" s="102"/>
      <c r="H148" s="102"/>
    </row>
    <row r="149">
      <c r="C149" s="102"/>
      <c r="H149" s="102"/>
    </row>
    <row r="150">
      <c r="C150" s="102"/>
      <c r="H150" s="102"/>
    </row>
    <row r="151">
      <c r="C151" s="102"/>
      <c r="H151" s="102"/>
    </row>
    <row r="152">
      <c r="C152" s="102"/>
      <c r="H152" s="102"/>
    </row>
    <row r="153">
      <c r="C153" s="102"/>
      <c r="H153" s="102"/>
    </row>
    <row r="154">
      <c r="C154" s="102"/>
      <c r="H154" s="102"/>
    </row>
    <row r="155">
      <c r="C155" s="102"/>
      <c r="H155" s="102"/>
    </row>
    <row r="156">
      <c r="C156" s="102"/>
      <c r="H156" s="102"/>
    </row>
    <row r="157">
      <c r="C157" s="102"/>
      <c r="H157" s="102"/>
    </row>
    <row r="158">
      <c r="C158" s="102"/>
      <c r="H158" s="102"/>
    </row>
    <row r="159">
      <c r="C159" s="102"/>
      <c r="H159" s="102"/>
    </row>
    <row r="160">
      <c r="C160" s="102"/>
      <c r="H160" s="102"/>
    </row>
    <row r="161">
      <c r="C161" s="102"/>
      <c r="H161" s="102"/>
    </row>
    <row r="162">
      <c r="C162" s="102"/>
      <c r="H162" s="102"/>
    </row>
    <row r="163">
      <c r="C163" s="102"/>
      <c r="H163" s="102"/>
    </row>
    <row r="164">
      <c r="C164" s="102"/>
      <c r="H164" s="102"/>
    </row>
    <row r="165">
      <c r="C165" s="102"/>
      <c r="H165" s="102"/>
    </row>
    <row r="166">
      <c r="C166" s="102"/>
      <c r="H166" s="102"/>
    </row>
    <row r="167">
      <c r="C167" s="102"/>
      <c r="H167" s="102"/>
    </row>
    <row r="168">
      <c r="C168" s="102"/>
      <c r="H168" s="102"/>
    </row>
    <row r="169">
      <c r="C169" s="102"/>
      <c r="H169" s="102"/>
    </row>
    <row r="170">
      <c r="C170" s="102"/>
      <c r="H170" s="102"/>
    </row>
    <row r="171">
      <c r="C171" s="102"/>
      <c r="H171" s="102"/>
    </row>
    <row r="172">
      <c r="C172" s="102"/>
      <c r="H172" s="102"/>
    </row>
    <row r="173">
      <c r="C173" s="102"/>
      <c r="H173" s="102"/>
    </row>
    <row r="174">
      <c r="C174" s="102"/>
      <c r="H174" s="102"/>
    </row>
    <row r="175">
      <c r="C175" s="102"/>
      <c r="H175" s="102"/>
    </row>
    <row r="176">
      <c r="C176" s="102"/>
      <c r="H176" s="102"/>
    </row>
    <row r="177">
      <c r="C177" s="102"/>
      <c r="H177" s="102"/>
    </row>
    <row r="178">
      <c r="C178" s="102"/>
      <c r="H178" s="102"/>
    </row>
    <row r="179">
      <c r="C179" s="102"/>
      <c r="H179" s="102"/>
    </row>
    <row r="180">
      <c r="C180" s="102"/>
      <c r="H180" s="102"/>
    </row>
    <row r="181">
      <c r="C181" s="102"/>
      <c r="H181" s="102"/>
    </row>
    <row r="182">
      <c r="C182" s="102"/>
      <c r="H182" s="102"/>
    </row>
    <row r="183">
      <c r="C183" s="102"/>
      <c r="H183" s="102"/>
    </row>
    <row r="184">
      <c r="C184" s="102"/>
      <c r="H184" s="102"/>
    </row>
    <row r="185">
      <c r="C185" s="102"/>
      <c r="H185" s="102"/>
    </row>
    <row r="186">
      <c r="C186" s="102"/>
      <c r="H186" s="102"/>
    </row>
    <row r="187">
      <c r="C187" s="102"/>
      <c r="H187" s="102"/>
    </row>
    <row r="188">
      <c r="C188" s="102"/>
      <c r="H188" s="102"/>
    </row>
    <row r="189">
      <c r="C189" s="102"/>
      <c r="H189" s="102"/>
    </row>
    <row r="190">
      <c r="C190" s="102"/>
      <c r="H190" s="102"/>
    </row>
    <row r="191">
      <c r="C191" s="102"/>
      <c r="H191" s="102"/>
    </row>
    <row r="192">
      <c r="C192" s="102"/>
      <c r="H192" s="102"/>
    </row>
    <row r="193">
      <c r="C193" s="102"/>
      <c r="H193" s="102"/>
    </row>
    <row r="194">
      <c r="C194" s="102"/>
      <c r="H194" s="102"/>
    </row>
    <row r="195">
      <c r="C195" s="102"/>
      <c r="H195" s="102"/>
    </row>
    <row r="196">
      <c r="C196" s="102"/>
      <c r="H196" s="102"/>
    </row>
    <row r="197">
      <c r="C197" s="102"/>
      <c r="H197" s="102"/>
    </row>
    <row r="198">
      <c r="C198" s="102"/>
      <c r="H198" s="102"/>
    </row>
    <row r="199">
      <c r="C199" s="102"/>
      <c r="H199" s="102"/>
    </row>
    <row r="200">
      <c r="C200" s="102"/>
      <c r="H200" s="102"/>
    </row>
    <row r="201">
      <c r="C201" s="102"/>
      <c r="H201" s="102"/>
    </row>
    <row r="202">
      <c r="C202" s="102"/>
      <c r="H202" s="102"/>
    </row>
    <row r="203">
      <c r="C203" s="102"/>
      <c r="H203" s="102"/>
    </row>
    <row r="204">
      <c r="C204" s="102"/>
      <c r="H204" s="102"/>
    </row>
    <row r="205">
      <c r="C205" s="102"/>
      <c r="H205" s="102"/>
    </row>
    <row r="206">
      <c r="C206" s="102"/>
      <c r="H206" s="102"/>
    </row>
    <row r="207">
      <c r="C207" s="102"/>
      <c r="H207" s="102"/>
    </row>
    <row r="208">
      <c r="C208" s="102"/>
      <c r="H208" s="102"/>
    </row>
    <row r="209">
      <c r="C209" s="102"/>
      <c r="H209" s="102"/>
    </row>
    <row r="210">
      <c r="C210" s="102"/>
      <c r="H210" s="102"/>
    </row>
    <row r="211">
      <c r="C211" s="102"/>
      <c r="H211" s="102"/>
    </row>
    <row r="212">
      <c r="C212" s="102"/>
      <c r="H212" s="102"/>
    </row>
    <row r="213">
      <c r="C213" s="102"/>
      <c r="H213" s="102"/>
    </row>
    <row r="214">
      <c r="C214" s="102"/>
      <c r="H214" s="102"/>
    </row>
    <row r="215">
      <c r="C215" s="102"/>
      <c r="H215" s="102"/>
    </row>
    <row r="216">
      <c r="C216" s="102"/>
      <c r="H216" s="102"/>
    </row>
    <row r="217">
      <c r="C217" s="102"/>
      <c r="H217" s="102"/>
    </row>
    <row r="218">
      <c r="C218" s="102"/>
      <c r="H218" s="102"/>
    </row>
    <row r="219">
      <c r="C219" s="102"/>
      <c r="H219" s="102"/>
    </row>
    <row r="220">
      <c r="C220" s="102"/>
      <c r="H220" s="102"/>
    </row>
    <row r="221">
      <c r="C221" s="102"/>
      <c r="H221" s="102"/>
    </row>
    <row r="222">
      <c r="C222" s="102"/>
      <c r="H222" s="102"/>
    </row>
    <row r="223">
      <c r="C223" s="102"/>
      <c r="H223" s="102"/>
    </row>
    <row r="224">
      <c r="C224" s="102"/>
      <c r="H224" s="102"/>
    </row>
    <row r="225">
      <c r="C225" s="102"/>
      <c r="H225" s="102"/>
    </row>
    <row r="226">
      <c r="C226" s="102"/>
      <c r="H226" s="102"/>
    </row>
    <row r="227">
      <c r="C227" s="102"/>
      <c r="H227" s="102"/>
    </row>
    <row r="228">
      <c r="C228" s="102"/>
      <c r="H228" s="102"/>
    </row>
    <row r="229">
      <c r="C229" s="102"/>
      <c r="H229" s="102"/>
    </row>
    <row r="230">
      <c r="C230" s="102"/>
      <c r="H230" s="102"/>
    </row>
    <row r="231">
      <c r="C231" s="102"/>
      <c r="H231" s="102"/>
    </row>
    <row r="232">
      <c r="C232" s="102"/>
      <c r="H232" s="102"/>
    </row>
    <row r="233">
      <c r="C233" s="102"/>
      <c r="H233" s="102"/>
    </row>
    <row r="234">
      <c r="C234" s="102"/>
      <c r="H234" s="102"/>
    </row>
    <row r="235">
      <c r="C235" s="102"/>
      <c r="H235" s="102"/>
    </row>
    <row r="236">
      <c r="C236" s="102"/>
      <c r="H236" s="102"/>
    </row>
    <row r="237">
      <c r="C237" s="102"/>
      <c r="H237" s="102"/>
    </row>
    <row r="238">
      <c r="C238" s="102"/>
      <c r="H238" s="102"/>
    </row>
    <row r="239">
      <c r="C239" s="102"/>
      <c r="H239" s="102"/>
    </row>
    <row r="240">
      <c r="C240" s="102"/>
      <c r="H240" s="102"/>
    </row>
    <row r="241">
      <c r="C241" s="102"/>
      <c r="H241" s="102"/>
    </row>
    <row r="242">
      <c r="C242" s="102"/>
      <c r="H242" s="102"/>
    </row>
    <row r="243">
      <c r="C243" s="102"/>
      <c r="H243" s="102"/>
    </row>
    <row r="244">
      <c r="C244" s="102"/>
      <c r="H244" s="102"/>
    </row>
    <row r="245">
      <c r="C245" s="102"/>
      <c r="H245" s="102"/>
    </row>
    <row r="246">
      <c r="C246" s="102"/>
      <c r="H246" s="102"/>
    </row>
    <row r="247">
      <c r="C247" s="102"/>
      <c r="H247" s="102"/>
    </row>
    <row r="248">
      <c r="C248" s="102"/>
      <c r="H248" s="102"/>
    </row>
    <row r="249">
      <c r="C249" s="102"/>
      <c r="H249" s="102"/>
    </row>
    <row r="250">
      <c r="C250" s="102"/>
      <c r="H250" s="102"/>
    </row>
    <row r="251">
      <c r="C251" s="102"/>
      <c r="H251" s="102"/>
    </row>
    <row r="252">
      <c r="C252" s="102"/>
      <c r="H252" s="102"/>
    </row>
    <row r="253">
      <c r="C253" s="102"/>
      <c r="H253" s="102"/>
    </row>
    <row r="254">
      <c r="C254" s="102"/>
      <c r="H254" s="102"/>
    </row>
    <row r="255">
      <c r="C255" s="102"/>
      <c r="H255" s="102"/>
    </row>
    <row r="256">
      <c r="C256" s="102"/>
      <c r="H256" s="102"/>
    </row>
    <row r="257">
      <c r="C257" s="102"/>
      <c r="H257" s="102"/>
    </row>
    <row r="258">
      <c r="C258" s="102"/>
      <c r="H258" s="102"/>
    </row>
    <row r="259">
      <c r="C259" s="102"/>
      <c r="H259" s="102"/>
    </row>
    <row r="260">
      <c r="C260" s="102"/>
      <c r="H260" s="102"/>
    </row>
    <row r="261">
      <c r="C261" s="102"/>
      <c r="H261" s="102"/>
    </row>
    <row r="262">
      <c r="C262" s="102"/>
      <c r="H262" s="102"/>
    </row>
    <row r="263">
      <c r="C263" s="102"/>
      <c r="H263" s="102"/>
    </row>
    <row r="264">
      <c r="C264" s="102"/>
      <c r="H264" s="102"/>
    </row>
    <row r="265">
      <c r="C265" s="102"/>
      <c r="H265" s="102"/>
    </row>
    <row r="266">
      <c r="C266" s="102"/>
      <c r="H266" s="102"/>
    </row>
    <row r="267">
      <c r="C267" s="102"/>
      <c r="H267" s="102"/>
    </row>
    <row r="268">
      <c r="C268" s="102"/>
      <c r="H268" s="102"/>
    </row>
    <row r="269">
      <c r="C269" s="102"/>
      <c r="H269" s="102"/>
    </row>
    <row r="270">
      <c r="C270" s="102"/>
      <c r="H270" s="102"/>
    </row>
    <row r="271">
      <c r="C271" s="102"/>
      <c r="H271" s="102"/>
    </row>
    <row r="272">
      <c r="C272" s="102"/>
      <c r="H272" s="102"/>
    </row>
    <row r="273">
      <c r="C273" s="102"/>
      <c r="H273" s="102"/>
    </row>
    <row r="274">
      <c r="C274" s="102"/>
      <c r="H274" s="102"/>
    </row>
    <row r="275">
      <c r="C275" s="102"/>
      <c r="H275" s="102"/>
    </row>
    <row r="276">
      <c r="C276" s="102"/>
      <c r="H276" s="102"/>
    </row>
    <row r="277">
      <c r="C277" s="102"/>
      <c r="H277" s="102"/>
    </row>
    <row r="278">
      <c r="C278" s="102"/>
      <c r="H278" s="102"/>
    </row>
    <row r="279">
      <c r="C279" s="102"/>
      <c r="H279" s="102"/>
    </row>
    <row r="280">
      <c r="C280" s="102"/>
      <c r="H280" s="102"/>
    </row>
    <row r="281">
      <c r="C281" s="102"/>
      <c r="H281" s="102"/>
    </row>
    <row r="282">
      <c r="C282" s="102"/>
      <c r="H282" s="102"/>
    </row>
    <row r="283">
      <c r="C283" s="102"/>
      <c r="H283" s="102"/>
    </row>
    <row r="284">
      <c r="C284" s="102"/>
      <c r="H284" s="102"/>
    </row>
    <row r="285">
      <c r="C285" s="102"/>
      <c r="H285" s="102"/>
    </row>
    <row r="286">
      <c r="C286" s="102"/>
      <c r="H286" s="102"/>
    </row>
    <row r="287">
      <c r="C287" s="102"/>
      <c r="H287" s="102"/>
    </row>
    <row r="288">
      <c r="C288" s="102"/>
      <c r="H288" s="102"/>
    </row>
    <row r="289">
      <c r="C289" s="102"/>
      <c r="H289" s="102"/>
    </row>
    <row r="290">
      <c r="C290" s="102"/>
      <c r="H290" s="102"/>
    </row>
    <row r="291">
      <c r="C291" s="102"/>
      <c r="H291" s="102"/>
    </row>
    <row r="292">
      <c r="C292" s="102"/>
      <c r="H292" s="102"/>
    </row>
    <row r="293">
      <c r="C293" s="102"/>
      <c r="H293" s="102"/>
    </row>
    <row r="294">
      <c r="C294" s="102"/>
      <c r="H294" s="102"/>
    </row>
    <row r="295">
      <c r="C295" s="102"/>
      <c r="H295" s="102"/>
    </row>
    <row r="296">
      <c r="C296" s="102"/>
      <c r="H296" s="102"/>
    </row>
    <row r="297">
      <c r="C297" s="102"/>
      <c r="H297" s="102"/>
    </row>
    <row r="298">
      <c r="C298" s="102"/>
      <c r="H298" s="102"/>
    </row>
    <row r="299">
      <c r="C299" s="102"/>
      <c r="H299" s="102"/>
    </row>
    <row r="300">
      <c r="C300" s="102"/>
      <c r="H300" s="102"/>
    </row>
    <row r="301">
      <c r="C301" s="102"/>
      <c r="H301" s="102"/>
    </row>
    <row r="302">
      <c r="C302" s="102"/>
      <c r="H302" s="102"/>
    </row>
    <row r="303">
      <c r="C303" s="102"/>
      <c r="H303" s="102"/>
    </row>
    <row r="304">
      <c r="C304" s="102"/>
      <c r="H304" s="102"/>
    </row>
    <row r="305">
      <c r="C305" s="102"/>
      <c r="H305" s="102"/>
    </row>
    <row r="306">
      <c r="C306" s="102"/>
      <c r="H306" s="102"/>
    </row>
    <row r="307">
      <c r="C307" s="102"/>
      <c r="H307" s="102"/>
    </row>
    <row r="308">
      <c r="C308" s="102"/>
      <c r="H308" s="102"/>
    </row>
    <row r="309">
      <c r="C309" s="102"/>
      <c r="H309" s="102"/>
    </row>
    <row r="310">
      <c r="C310" s="102"/>
      <c r="H310" s="102"/>
    </row>
    <row r="311">
      <c r="C311" s="102"/>
      <c r="H311" s="102"/>
    </row>
    <row r="312">
      <c r="C312" s="102"/>
      <c r="H312" s="102"/>
    </row>
    <row r="313">
      <c r="C313" s="102"/>
      <c r="H313" s="102"/>
    </row>
    <row r="314">
      <c r="C314" s="102"/>
      <c r="H314" s="102"/>
    </row>
    <row r="315">
      <c r="C315" s="102"/>
      <c r="H315" s="102"/>
    </row>
    <row r="316">
      <c r="C316" s="102"/>
      <c r="H316" s="102"/>
    </row>
    <row r="317">
      <c r="C317" s="102"/>
      <c r="H317" s="102"/>
    </row>
    <row r="318">
      <c r="C318" s="102"/>
      <c r="H318" s="102"/>
    </row>
    <row r="319">
      <c r="C319" s="102"/>
      <c r="H319" s="102"/>
    </row>
    <row r="320">
      <c r="C320" s="102"/>
      <c r="H320" s="102"/>
    </row>
    <row r="321">
      <c r="C321" s="102"/>
      <c r="H321" s="102"/>
    </row>
    <row r="322">
      <c r="C322" s="102"/>
      <c r="H322" s="102"/>
    </row>
    <row r="323">
      <c r="C323" s="102"/>
      <c r="H323" s="102"/>
    </row>
    <row r="324">
      <c r="C324" s="102"/>
      <c r="H324" s="102"/>
    </row>
    <row r="325">
      <c r="C325" s="102"/>
      <c r="H325" s="102"/>
    </row>
    <row r="326">
      <c r="C326" s="102"/>
      <c r="H326" s="102"/>
    </row>
    <row r="327">
      <c r="C327" s="102"/>
      <c r="H327" s="102"/>
    </row>
    <row r="328">
      <c r="C328" s="102"/>
      <c r="H328" s="102"/>
    </row>
    <row r="329">
      <c r="C329" s="102"/>
      <c r="H329" s="102"/>
    </row>
    <row r="330">
      <c r="C330" s="102"/>
      <c r="H330" s="102"/>
    </row>
    <row r="331">
      <c r="C331" s="102"/>
      <c r="H331" s="102"/>
    </row>
    <row r="332">
      <c r="C332" s="102"/>
      <c r="H332" s="102"/>
    </row>
    <row r="333">
      <c r="C333" s="102"/>
      <c r="H333" s="102"/>
    </row>
    <row r="334">
      <c r="C334" s="102"/>
      <c r="H334" s="102"/>
    </row>
    <row r="335">
      <c r="C335" s="102"/>
      <c r="H335" s="102"/>
    </row>
    <row r="336">
      <c r="C336" s="102"/>
      <c r="H336" s="102"/>
    </row>
    <row r="337">
      <c r="C337" s="102"/>
      <c r="H337" s="102"/>
    </row>
    <row r="338">
      <c r="C338" s="102"/>
      <c r="H338" s="102"/>
    </row>
    <row r="339">
      <c r="C339" s="102"/>
      <c r="H339" s="102"/>
    </row>
    <row r="340">
      <c r="C340" s="102"/>
      <c r="H340" s="102"/>
    </row>
    <row r="341">
      <c r="C341" s="102"/>
      <c r="H341" s="102"/>
    </row>
    <row r="342">
      <c r="C342" s="102"/>
      <c r="H342" s="102"/>
    </row>
    <row r="343">
      <c r="C343" s="102"/>
      <c r="H343" s="102"/>
    </row>
    <row r="344">
      <c r="C344" s="102"/>
      <c r="H344" s="102"/>
    </row>
    <row r="345">
      <c r="C345" s="102"/>
      <c r="H345" s="102"/>
    </row>
    <row r="346">
      <c r="C346" s="102"/>
      <c r="H346" s="102"/>
    </row>
    <row r="347">
      <c r="C347" s="102"/>
      <c r="H347" s="102"/>
    </row>
    <row r="348">
      <c r="C348" s="102"/>
      <c r="H348" s="102"/>
    </row>
    <row r="349">
      <c r="C349" s="102"/>
      <c r="H349" s="102"/>
    </row>
    <row r="350">
      <c r="C350" s="102"/>
      <c r="H350" s="102"/>
    </row>
    <row r="351">
      <c r="C351" s="102"/>
      <c r="H351" s="102"/>
    </row>
    <row r="352">
      <c r="C352" s="102"/>
      <c r="H352" s="102"/>
    </row>
    <row r="353">
      <c r="C353" s="102"/>
      <c r="H353" s="102"/>
    </row>
    <row r="354">
      <c r="C354" s="102"/>
      <c r="H354" s="102"/>
    </row>
    <row r="355">
      <c r="C355" s="102"/>
      <c r="H355" s="102"/>
    </row>
    <row r="356">
      <c r="C356" s="102"/>
      <c r="H356" s="102"/>
    </row>
    <row r="357">
      <c r="C357" s="102"/>
      <c r="H357" s="102"/>
    </row>
    <row r="358">
      <c r="C358" s="102"/>
      <c r="H358" s="102"/>
    </row>
    <row r="359">
      <c r="C359" s="102"/>
      <c r="H359" s="102"/>
    </row>
    <row r="360">
      <c r="C360" s="102"/>
      <c r="H360" s="102"/>
    </row>
    <row r="361">
      <c r="C361" s="102"/>
      <c r="H361" s="102"/>
    </row>
    <row r="362">
      <c r="C362" s="102"/>
      <c r="H362" s="102"/>
    </row>
    <row r="363">
      <c r="C363" s="102"/>
      <c r="H363" s="102"/>
    </row>
    <row r="364">
      <c r="C364" s="102"/>
      <c r="H364" s="102"/>
    </row>
    <row r="365">
      <c r="C365" s="102"/>
      <c r="H365" s="102"/>
    </row>
    <row r="366">
      <c r="C366" s="102"/>
      <c r="H366" s="102"/>
    </row>
    <row r="367">
      <c r="C367" s="102"/>
      <c r="H367" s="102"/>
    </row>
    <row r="368">
      <c r="C368" s="102"/>
      <c r="H368" s="102"/>
    </row>
    <row r="369">
      <c r="C369" s="102"/>
      <c r="H369" s="102"/>
    </row>
    <row r="370">
      <c r="C370" s="102"/>
      <c r="H370" s="102"/>
    </row>
    <row r="371">
      <c r="C371" s="102"/>
      <c r="H371" s="102"/>
    </row>
    <row r="372">
      <c r="C372" s="102"/>
      <c r="H372" s="102"/>
    </row>
    <row r="373">
      <c r="C373" s="102"/>
      <c r="H373" s="102"/>
    </row>
    <row r="374">
      <c r="C374" s="102"/>
      <c r="H374" s="102"/>
    </row>
    <row r="375">
      <c r="C375" s="102"/>
      <c r="H375" s="102"/>
    </row>
    <row r="376">
      <c r="C376" s="102"/>
      <c r="H376" s="102"/>
    </row>
    <row r="377">
      <c r="C377" s="102"/>
      <c r="H377" s="102"/>
    </row>
    <row r="378">
      <c r="C378" s="102"/>
      <c r="H378" s="102"/>
    </row>
    <row r="379">
      <c r="C379" s="102"/>
      <c r="H379" s="102"/>
    </row>
    <row r="380">
      <c r="C380" s="102"/>
      <c r="H380" s="102"/>
    </row>
    <row r="381">
      <c r="C381" s="102"/>
      <c r="H381" s="102"/>
    </row>
    <row r="382">
      <c r="C382" s="102"/>
      <c r="H382" s="102"/>
    </row>
    <row r="383">
      <c r="C383" s="102"/>
      <c r="H383" s="102"/>
    </row>
    <row r="384">
      <c r="C384" s="102"/>
      <c r="H384" s="102"/>
    </row>
    <row r="385">
      <c r="C385" s="102"/>
      <c r="H385" s="102"/>
    </row>
    <row r="386">
      <c r="C386" s="102"/>
      <c r="H386" s="102"/>
    </row>
    <row r="387">
      <c r="C387" s="102"/>
      <c r="H387" s="102"/>
    </row>
    <row r="388">
      <c r="C388" s="102"/>
      <c r="H388" s="102"/>
    </row>
    <row r="389">
      <c r="C389" s="102"/>
      <c r="H389" s="102"/>
    </row>
    <row r="390">
      <c r="C390" s="102"/>
      <c r="H390" s="102"/>
    </row>
    <row r="391">
      <c r="C391" s="102"/>
      <c r="H391" s="102"/>
    </row>
    <row r="392">
      <c r="C392" s="102"/>
      <c r="H392" s="102"/>
    </row>
    <row r="393">
      <c r="C393" s="102"/>
      <c r="H393" s="102"/>
    </row>
    <row r="394">
      <c r="C394" s="102"/>
      <c r="H394" s="102"/>
    </row>
    <row r="395">
      <c r="C395" s="102"/>
      <c r="H395" s="102"/>
    </row>
    <row r="396">
      <c r="C396" s="102"/>
      <c r="H396" s="102"/>
    </row>
    <row r="397">
      <c r="C397" s="102"/>
      <c r="H397" s="102"/>
    </row>
    <row r="398">
      <c r="C398" s="102"/>
      <c r="H398" s="102"/>
    </row>
    <row r="399">
      <c r="C399" s="102"/>
      <c r="H399" s="102"/>
    </row>
    <row r="400">
      <c r="C400" s="102"/>
      <c r="H400" s="102"/>
    </row>
    <row r="401">
      <c r="C401" s="102"/>
      <c r="H401" s="102"/>
    </row>
    <row r="402">
      <c r="C402" s="102"/>
      <c r="H402" s="102"/>
    </row>
    <row r="403">
      <c r="C403" s="102"/>
      <c r="H403" s="102"/>
    </row>
    <row r="404">
      <c r="C404" s="102"/>
      <c r="H404" s="102"/>
    </row>
    <row r="405">
      <c r="C405" s="102"/>
      <c r="H405" s="102"/>
    </row>
    <row r="406">
      <c r="C406" s="102"/>
      <c r="H406" s="102"/>
    </row>
    <row r="407">
      <c r="C407" s="102"/>
      <c r="H407" s="102"/>
    </row>
    <row r="408">
      <c r="C408" s="102"/>
      <c r="H408" s="102"/>
    </row>
    <row r="409">
      <c r="C409" s="102"/>
      <c r="H409" s="102"/>
    </row>
    <row r="410">
      <c r="C410" s="102"/>
      <c r="H410" s="102"/>
    </row>
    <row r="411">
      <c r="C411" s="102"/>
      <c r="H411" s="102"/>
    </row>
    <row r="412">
      <c r="C412" s="102"/>
      <c r="H412" s="102"/>
    </row>
    <row r="413">
      <c r="C413" s="102"/>
      <c r="H413" s="102"/>
    </row>
    <row r="414">
      <c r="C414" s="102"/>
      <c r="H414" s="102"/>
    </row>
    <row r="415">
      <c r="C415" s="102"/>
      <c r="H415" s="102"/>
    </row>
    <row r="416">
      <c r="C416" s="102"/>
      <c r="H416" s="102"/>
    </row>
    <row r="417">
      <c r="C417" s="102"/>
      <c r="H417" s="102"/>
    </row>
    <row r="418">
      <c r="C418" s="102"/>
      <c r="H418" s="102"/>
    </row>
    <row r="419">
      <c r="C419" s="102"/>
      <c r="H419" s="102"/>
    </row>
    <row r="420">
      <c r="C420" s="102"/>
      <c r="H420" s="102"/>
    </row>
    <row r="421">
      <c r="C421" s="102"/>
      <c r="H421" s="102"/>
    </row>
    <row r="422">
      <c r="C422" s="102"/>
      <c r="H422" s="102"/>
    </row>
    <row r="423">
      <c r="C423" s="102"/>
      <c r="H423" s="102"/>
    </row>
    <row r="424">
      <c r="C424" s="102"/>
      <c r="H424" s="102"/>
    </row>
    <row r="425">
      <c r="C425" s="102"/>
      <c r="H425" s="102"/>
    </row>
    <row r="426">
      <c r="C426" s="102"/>
      <c r="H426" s="102"/>
    </row>
    <row r="427">
      <c r="C427" s="102"/>
      <c r="H427" s="102"/>
    </row>
    <row r="428">
      <c r="C428" s="102"/>
      <c r="H428" s="102"/>
    </row>
    <row r="429">
      <c r="C429" s="102"/>
      <c r="H429" s="102"/>
    </row>
    <row r="430">
      <c r="C430" s="102"/>
      <c r="H430" s="102"/>
    </row>
    <row r="431">
      <c r="C431" s="102"/>
      <c r="H431" s="102"/>
    </row>
    <row r="432">
      <c r="C432" s="102"/>
      <c r="H432" s="102"/>
    </row>
    <row r="433">
      <c r="C433" s="102"/>
      <c r="H433" s="102"/>
    </row>
    <row r="434">
      <c r="C434" s="102"/>
      <c r="H434" s="102"/>
    </row>
    <row r="435">
      <c r="C435" s="102"/>
      <c r="H435" s="102"/>
    </row>
    <row r="436">
      <c r="C436" s="102"/>
      <c r="H436" s="102"/>
    </row>
    <row r="437">
      <c r="C437" s="102"/>
      <c r="H437" s="102"/>
    </row>
    <row r="438">
      <c r="C438" s="102"/>
      <c r="H438" s="102"/>
    </row>
    <row r="439">
      <c r="C439" s="102"/>
      <c r="H439" s="102"/>
    </row>
    <row r="440">
      <c r="C440" s="102"/>
      <c r="H440" s="102"/>
    </row>
    <row r="441">
      <c r="C441" s="102"/>
      <c r="H441" s="102"/>
    </row>
    <row r="442">
      <c r="C442" s="102"/>
      <c r="H442" s="102"/>
    </row>
    <row r="443">
      <c r="C443" s="102"/>
      <c r="H443" s="102"/>
    </row>
    <row r="444">
      <c r="C444" s="102"/>
      <c r="H444" s="102"/>
    </row>
    <row r="445">
      <c r="C445" s="102"/>
      <c r="H445" s="102"/>
    </row>
    <row r="446">
      <c r="C446" s="102"/>
      <c r="H446" s="102"/>
    </row>
    <row r="447">
      <c r="C447" s="102"/>
      <c r="H447" s="102"/>
    </row>
    <row r="448">
      <c r="C448" s="102"/>
      <c r="H448" s="102"/>
    </row>
    <row r="449">
      <c r="C449" s="102"/>
      <c r="H449" s="102"/>
    </row>
    <row r="450">
      <c r="C450" s="102"/>
      <c r="H450" s="102"/>
    </row>
    <row r="451">
      <c r="C451" s="102"/>
      <c r="H451" s="102"/>
    </row>
    <row r="452">
      <c r="C452" s="102"/>
      <c r="H452" s="102"/>
    </row>
    <row r="453">
      <c r="C453" s="102"/>
      <c r="H453" s="102"/>
    </row>
    <row r="454">
      <c r="C454" s="102"/>
      <c r="H454" s="102"/>
    </row>
    <row r="455">
      <c r="C455" s="102"/>
      <c r="H455" s="102"/>
    </row>
    <row r="456">
      <c r="C456" s="102"/>
      <c r="H456" s="102"/>
    </row>
    <row r="457">
      <c r="C457" s="102"/>
      <c r="H457" s="102"/>
    </row>
    <row r="458">
      <c r="C458" s="102"/>
      <c r="H458" s="102"/>
    </row>
    <row r="459">
      <c r="C459" s="102"/>
      <c r="H459" s="102"/>
    </row>
    <row r="460">
      <c r="C460" s="102"/>
      <c r="H460" s="102"/>
    </row>
    <row r="461">
      <c r="C461" s="102"/>
      <c r="H461" s="102"/>
    </row>
    <row r="462">
      <c r="C462" s="102"/>
      <c r="H462" s="102"/>
    </row>
    <row r="463">
      <c r="C463" s="102"/>
      <c r="H463" s="102"/>
    </row>
    <row r="464">
      <c r="C464" s="102"/>
      <c r="H464" s="102"/>
    </row>
    <row r="465">
      <c r="C465" s="102"/>
      <c r="H465" s="102"/>
    </row>
    <row r="466">
      <c r="C466" s="102"/>
      <c r="H466" s="102"/>
    </row>
    <row r="467">
      <c r="C467" s="102"/>
      <c r="H467" s="102"/>
    </row>
    <row r="468">
      <c r="C468" s="102"/>
      <c r="H468" s="102"/>
    </row>
    <row r="469">
      <c r="C469" s="102"/>
      <c r="H469" s="102"/>
    </row>
    <row r="470">
      <c r="C470" s="102"/>
      <c r="H470" s="102"/>
    </row>
    <row r="471">
      <c r="C471" s="102"/>
      <c r="H471" s="102"/>
    </row>
    <row r="472">
      <c r="C472" s="102"/>
      <c r="H472" s="102"/>
    </row>
    <row r="473">
      <c r="C473" s="102"/>
      <c r="H473" s="102"/>
    </row>
    <row r="474">
      <c r="C474" s="102"/>
      <c r="H474" s="102"/>
    </row>
    <row r="475">
      <c r="C475" s="102"/>
      <c r="H475" s="102"/>
    </row>
    <row r="476">
      <c r="C476" s="102"/>
      <c r="H476" s="102"/>
    </row>
    <row r="477">
      <c r="C477" s="102"/>
      <c r="H477" s="102"/>
    </row>
    <row r="478">
      <c r="C478" s="102"/>
      <c r="H478" s="102"/>
    </row>
    <row r="479">
      <c r="C479" s="102"/>
      <c r="H479" s="102"/>
    </row>
    <row r="480">
      <c r="C480" s="102"/>
      <c r="H480" s="102"/>
    </row>
    <row r="481">
      <c r="C481" s="102"/>
      <c r="H481" s="102"/>
    </row>
    <row r="482">
      <c r="C482" s="102"/>
      <c r="H482" s="102"/>
    </row>
    <row r="483">
      <c r="C483" s="102"/>
      <c r="H483" s="102"/>
    </row>
    <row r="484">
      <c r="C484" s="102"/>
      <c r="H484" s="102"/>
    </row>
    <row r="485">
      <c r="C485" s="102"/>
      <c r="H485" s="102"/>
    </row>
    <row r="486">
      <c r="C486" s="102"/>
      <c r="H486" s="102"/>
    </row>
    <row r="487">
      <c r="C487" s="102"/>
      <c r="H487" s="102"/>
    </row>
    <row r="488">
      <c r="C488" s="102"/>
      <c r="H488" s="102"/>
    </row>
    <row r="489">
      <c r="C489" s="102"/>
      <c r="H489" s="102"/>
    </row>
    <row r="490">
      <c r="C490" s="102"/>
      <c r="H490" s="102"/>
    </row>
    <row r="491">
      <c r="C491" s="102"/>
      <c r="H491" s="102"/>
    </row>
    <row r="492">
      <c r="C492" s="102"/>
      <c r="H492" s="102"/>
    </row>
    <row r="493">
      <c r="C493" s="102"/>
      <c r="H493" s="102"/>
    </row>
    <row r="494">
      <c r="C494" s="102"/>
      <c r="H494" s="102"/>
    </row>
    <row r="495">
      <c r="C495" s="102"/>
      <c r="H495" s="102"/>
    </row>
    <row r="496">
      <c r="C496" s="102"/>
      <c r="H496" s="102"/>
    </row>
    <row r="497">
      <c r="C497" s="102"/>
      <c r="H497" s="102"/>
    </row>
    <row r="498">
      <c r="C498" s="102"/>
      <c r="H498" s="102"/>
    </row>
    <row r="499">
      <c r="C499" s="102"/>
      <c r="H499" s="102"/>
    </row>
    <row r="500">
      <c r="C500" s="102"/>
      <c r="H500" s="102"/>
    </row>
    <row r="501">
      <c r="C501" s="102"/>
      <c r="H501" s="102"/>
    </row>
    <row r="502">
      <c r="C502" s="102"/>
      <c r="H502" s="102"/>
    </row>
    <row r="503">
      <c r="C503" s="102"/>
      <c r="H503" s="102"/>
    </row>
    <row r="504">
      <c r="C504" s="102"/>
      <c r="H504" s="102"/>
    </row>
    <row r="505">
      <c r="C505" s="102"/>
      <c r="H505" s="102"/>
    </row>
    <row r="506">
      <c r="C506" s="102"/>
      <c r="H506" s="102"/>
    </row>
    <row r="507">
      <c r="C507" s="102"/>
      <c r="H507" s="102"/>
    </row>
    <row r="508">
      <c r="C508" s="102"/>
      <c r="H508" s="102"/>
    </row>
    <row r="509">
      <c r="C509" s="102"/>
      <c r="H509" s="102"/>
    </row>
    <row r="510">
      <c r="C510" s="102"/>
      <c r="H510" s="102"/>
    </row>
    <row r="511">
      <c r="C511" s="102"/>
      <c r="H511" s="102"/>
    </row>
    <row r="512">
      <c r="C512" s="102"/>
      <c r="H512" s="102"/>
    </row>
    <row r="513">
      <c r="C513" s="102"/>
      <c r="H513" s="102"/>
    </row>
    <row r="514">
      <c r="C514" s="102"/>
      <c r="H514" s="102"/>
    </row>
    <row r="515">
      <c r="C515" s="102"/>
      <c r="H515" s="102"/>
    </row>
    <row r="516">
      <c r="C516" s="102"/>
      <c r="H516" s="102"/>
    </row>
    <row r="517">
      <c r="C517" s="102"/>
      <c r="H517" s="102"/>
    </row>
    <row r="518">
      <c r="C518" s="102"/>
      <c r="H518" s="102"/>
    </row>
    <row r="519">
      <c r="C519" s="102"/>
      <c r="H519" s="102"/>
    </row>
    <row r="520">
      <c r="C520" s="102"/>
      <c r="H520" s="102"/>
    </row>
    <row r="521">
      <c r="C521" s="102"/>
      <c r="H521" s="102"/>
    </row>
    <row r="522">
      <c r="C522" s="102"/>
      <c r="H522" s="102"/>
    </row>
    <row r="523">
      <c r="C523" s="102"/>
      <c r="H523" s="102"/>
    </row>
    <row r="524">
      <c r="C524" s="102"/>
      <c r="H524" s="102"/>
    </row>
    <row r="525">
      <c r="C525" s="102"/>
      <c r="H525" s="102"/>
    </row>
    <row r="526">
      <c r="C526" s="102"/>
      <c r="H526" s="102"/>
    </row>
    <row r="527">
      <c r="C527" s="102"/>
      <c r="H527" s="102"/>
    </row>
    <row r="528">
      <c r="C528" s="102"/>
      <c r="H528" s="102"/>
    </row>
    <row r="529">
      <c r="C529" s="102"/>
      <c r="H529" s="102"/>
    </row>
    <row r="530">
      <c r="C530" s="102"/>
      <c r="H530" s="102"/>
    </row>
    <row r="531">
      <c r="C531" s="102"/>
      <c r="H531" s="102"/>
    </row>
    <row r="532">
      <c r="C532" s="102"/>
      <c r="H532" s="102"/>
    </row>
    <row r="533">
      <c r="C533" s="102"/>
      <c r="H533" s="102"/>
    </row>
    <row r="534">
      <c r="C534" s="102"/>
      <c r="H534" s="102"/>
    </row>
    <row r="535">
      <c r="C535" s="102"/>
      <c r="H535" s="102"/>
    </row>
    <row r="536">
      <c r="C536" s="102"/>
      <c r="H536" s="102"/>
    </row>
    <row r="537">
      <c r="C537" s="102"/>
      <c r="H537" s="102"/>
    </row>
    <row r="538">
      <c r="C538" s="102"/>
      <c r="H538" s="102"/>
    </row>
    <row r="539">
      <c r="C539" s="102"/>
      <c r="H539" s="102"/>
    </row>
    <row r="540">
      <c r="C540" s="102"/>
      <c r="H540" s="102"/>
    </row>
    <row r="541">
      <c r="C541" s="102"/>
      <c r="H541" s="102"/>
    </row>
    <row r="542">
      <c r="C542" s="102"/>
      <c r="H542" s="102"/>
    </row>
    <row r="543">
      <c r="C543" s="102"/>
      <c r="H543" s="102"/>
    </row>
    <row r="544">
      <c r="C544" s="102"/>
      <c r="H544" s="102"/>
    </row>
    <row r="545">
      <c r="C545" s="102"/>
      <c r="H545" s="102"/>
    </row>
    <row r="546">
      <c r="C546" s="102"/>
      <c r="H546" s="102"/>
    </row>
    <row r="547">
      <c r="C547" s="102"/>
      <c r="H547" s="102"/>
    </row>
    <row r="548">
      <c r="C548" s="102"/>
      <c r="H548" s="102"/>
    </row>
    <row r="549">
      <c r="C549" s="102"/>
      <c r="H549" s="102"/>
    </row>
    <row r="550">
      <c r="C550" s="102"/>
      <c r="H550" s="102"/>
    </row>
    <row r="551">
      <c r="C551" s="102"/>
      <c r="H551" s="102"/>
    </row>
    <row r="552">
      <c r="C552" s="102"/>
      <c r="H552" s="102"/>
    </row>
    <row r="553">
      <c r="C553" s="102"/>
      <c r="H553" s="102"/>
    </row>
    <row r="554">
      <c r="C554" s="102"/>
      <c r="H554" s="102"/>
    </row>
    <row r="555">
      <c r="C555" s="102"/>
      <c r="H555" s="102"/>
    </row>
    <row r="556">
      <c r="C556" s="102"/>
      <c r="H556" s="102"/>
    </row>
    <row r="557">
      <c r="C557" s="102"/>
      <c r="H557" s="102"/>
    </row>
    <row r="558">
      <c r="C558" s="102"/>
      <c r="H558" s="102"/>
    </row>
    <row r="559">
      <c r="C559" s="102"/>
      <c r="H559" s="102"/>
    </row>
    <row r="560">
      <c r="C560" s="102"/>
      <c r="H560" s="102"/>
    </row>
    <row r="561">
      <c r="C561" s="102"/>
      <c r="H561" s="102"/>
    </row>
    <row r="562">
      <c r="C562" s="102"/>
      <c r="H562" s="102"/>
    </row>
    <row r="563">
      <c r="C563" s="102"/>
      <c r="H563" s="102"/>
    </row>
    <row r="564">
      <c r="C564" s="102"/>
      <c r="H564" s="102"/>
    </row>
    <row r="565">
      <c r="C565" s="102"/>
      <c r="H565" s="102"/>
    </row>
    <row r="566">
      <c r="C566" s="102"/>
      <c r="H566" s="102"/>
    </row>
    <row r="567">
      <c r="C567" s="102"/>
      <c r="H567" s="102"/>
    </row>
    <row r="568">
      <c r="C568" s="102"/>
      <c r="H568" s="102"/>
    </row>
    <row r="569">
      <c r="C569" s="102"/>
      <c r="H569" s="102"/>
    </row>
    <row r="570">
      <c r="C570" s="102"/>
      <c r="H570" s="102"/>
    </row>
    <row r="571">
      <c r="C571" s="102"/>
      <c r="H571" s="102"/>
    </row>
    <row r="572">
      <c r="C572" s="102"/>
      <c r="H572" s="102"/>
    </row>
    <row r="573">
      <c r="C573" s="102"/>
      <c r="H573" s="102"/>
    </row>
    <row r="574">
      <c r="C574" s="102"/>
      <c r="H574" s="102"/>
    </row>
    <row r="575">
      <c r="C575" s="102"/>
      <c r="H575" s="102"/>
    </row>
    <row r="576">
      <c r="C576" s="102"/>
      <c r="H576" s="102"/>
    </row>
    <row r="577">
      <c r="C577" s="102"/>
      <c r="H577" s="102"/>
    </row>
    <row r="578">
      <c r="C578" s="102"/>
      <c r="H578" s="102"/>
    </row>
    <row r="579">
      <c r="C579" s="102"/>
      <c r="H579" s="102"/>
    </row>
    <row r="580">
      <c r="C580" s="102"/>
      <c r="H580" s="102"/>
    </row>
    <row r="581">
      <c r="C581" s="102"/>
      <c r="H581" s="102"/>
    </row>
    <row r="582">
      <c r="C582" s="102"/>
      <c r="H582" s="102"/>
    </row>
    <row r="583">
      <c r="C583" s="102"/>
      <c r="H583" s="102"/>
    </row>
    <row r="584">
      <c r="C584" s="102"/>
      <c r="H584" s="102"/>
    </row>
    <row r="585">
      <c r="C585" s="102"/>
      <c r="H585" s="102"/>
    </row>
    <row r="586">
      <c r="C586" s="102"/>
      <c r="H586" s="102"/>
    </row>
    <row r="587">
      <c r="C587" s="102"/>
      <c r="H587" s="102"/>
    </row>
    <row r="588">
      <c r="C588" s="102"/>
      <c r="H588" s="102"/>
    </row>
    <row r="589">
      <c r="C589" s="102"/>
      <c r="H589" s="102"/>
    </row>
    <row r="590">
      <c r="C590" s="102"/>
      <c r="H590" s="102"/>
    </row>
    <row r="591">
      <c r="C591" s="102"/>
      <c r="H591" s="102"/>
    </row>
    <row r="592">
      <c r="C592" s="102"/>
      <c r="H592" s="102"/>
    </row>
    <row r="593">
      <c r="C593" s="102"/>
      <c r="H593" s="102"/>
    </row>
    <row r="594">
      <c r="C594" s="102"/>
      <c r="H594" s="102"/>
    </row>
    <row r="595">
      <c r="C595" s="102"/>
      <c r="H595" s="102"/>
    </row>
    <row r="596">
      <c r="C596" s="102"/>
      <c r="H596" s="102"/>
    </row>
    <row r="597">
      <c r="C597" s="102"/>
      <c r="H597" s="102"/>
    </row>
    <row r="598">
      <c r="C598" s="102"/>
      <c r="H598" s="102"/>
    </row>
    <row r="599">
      <c r="C599" s="102"/>
      <c r="H599" s="102"/>
    </row>
    <row r="600">
      <c r="C600" s="102"/>
      <c r="H600" s="102"/>
    </row>
    <row r="601">
      <c r="C601" s="102"/>
      <c r="H601" s="102"/>
    </row>
    <row r="602">
      <c r="C602" s="102"/>
      <c r="H602" s="102"/>
    </row>
    <row r="603">
      <c r="C603" s="102"/>
      <c r="H603" s="102"/>
    </row>
    <row r="604">
      <c r="C604" s="102"/>
      <c r="H604" s="102"/>
    </row>
    <row r="605">
      <c r="C605" s="102"/>
      <c r="H605" s="102"/>
    </row>
    <row r="606">
      <c r="C606" s="102"/>
      <c r="H606" s="102"/>
    </row>
    <row r="607">
      <c r="C607" s="102"/>
      <c r="H607" s="102"/>
    </row>
    <row r="608">
      <c r="C608" s="102"/>
      <c r="H608" s="102"/>
    </row>
    <row r="609">
      <c r="C609" s="102"/>
      <c r="H609" s="102"/>
    </row>
    <row r="610">
      <c r="C610" s="102"/>
      <c r="H610" s="102"/>
    </row>
    <row r="611">
      <c r="C611" s="102"/>
      <c r="H611" s="102"/>
    </row>
    <row r="612">
      <c r="C612" s="102"/>
      <c r="H612" s="102"/>
    </row>
    <row r="613">
      <c r="C613" s="102"/>
      <c r="H613" s="102"/>
    </row>
    <row r="614">
      <c r="C614" s="102"/>
      <c r="H614" s="102"/>
    </row>
    <row r="615">
      <c r="C615" s="102"/>
      <c r="H615" s="102"/>
    </row>
    <row r="616">
      <c r="C616" s="102"/>
      <c r="H616" s="102"/>
    </row>
    <row r="617">
      <c r="C617" s="102"/>
      <c r="H617" s="102"/>
    </row>
    <row r="618">
      <c r="C618" s="102"/>
      <c r="H618" s="102"/>
    </row>
    <row r="619">
      <c r="C619" s="102"/>
      <c r="H619" s="102"/>
    </row>
    <row r="620">
      <c r="C620" s="102"/>
      <c r="H620" s="102"/>
    </row>
    <row r="621">
      <c r="C621" s="102"/>
      <c r="H621" s="102"/>
    </row>
    <row r="622">
      <c r="C622" s="102"/>
      <c r="H622" s="102"/>
    </row>
    <row r="623">
      <c r="C623" s="102"/>
      <c r="H623" s="102"/>
    </row>
    <row r="624">
      <c r="C624" s="102"/>
      <c r="H624" s="102"/>
    </row>
    <row r="625">
      <c r="C625" s="102"/>
      <c r="H625" s="102"/>
    </row>
    <row r="626">
      <c r="C626" s="102"/>
      <c r="H626" s="102"/>
    </row>
    <row r="627">
      <c r="C627" s="102"/>
      <c r="H627" s="102"/>
    </row>
    <row r="628">
      <c r="C628" s="102"/>
      <c r="H628" s="102"/>
    </row>
    <row r="629">
      <c r="C629" s="102"/>
      <c r="H629" s="102"/>
    </row>
    <row r="630">
      <c r="C630" s="102"/>
      <c r="H630" s="102"/>
    </row>
    <row r="631">
      <c r="C631" s="102"/>
      <c r="H631" s="102"/>
    </row>
    <row r="632">
      <c r="C632" s="102"/>
      <c r="H632" s="102"/>
    </row>
    <row r="633">
      <c r="C633" s="102"/>
      <c r="H633" s="102"/>
    </row>
    <row r="634">
      <c r="C634" s="102"/>
      <c r="H634" s="102"/>
    </row>
    <row r="635">
      <c r="C635" s="102"/>
      <c r="H635" s="102"/>
    </row>
    <row r="636">
      <c r="C636" s="102"/>
      <c r="H636" s="102"/>
    </row>
    <row r="637">
      <c r="C637" s="102"/>
      <c r="H637" s="102"/>
    </row>
    <row r="638">
      <c r="C638" s="102"/>
      <c r="H638" s="102"/>
    </row>
    <row r="639">
      <c r="C639" s="102"/>
      <c r="H639" s="102"/>
    </row>
    <row r="640">
      <c r="C640" s="102"/>
      <c r="H640" s="102"/>
    </row>
    <row r="641">
      <c r="C641" s="102"/>
      <c r="H641" s="102"/>
    </row>
    <row r="642">
      <c r="C642" s="102"/>
      <c r="H642" s="102"/>
    </row>
    <row r="643">
      <c r="C643" s="102"/>
      <c r="H643" s="102"/>
    </row>
    <row r="644">
      <c r="C644" s="102"/>
      <c r="H644" s="102"/>
    </row>
    <row r="645">
      <c r="C645" s="102"/>
      <c r="H645" s="102"/>
    </row>
    <row r="646">
      <c r="C646" s="102"/>
      <c r="H646" s="102"/>
    </row>
    <row r="647">
      <c r="C647" s="102"/>
      <c r="H647" s="102"/>
    </row>
    <row r="648">
      <c r="C648" s="102"/>
      <c r="H648" s="102"/>
    </row>
    <row r="649">
      <c r="C649" s="102"/>
      <c r="H649" s="102"/>
    </row>
    <row r="650">
      <c r="C650" s="102"/>
      <c r="H650" s="102"/>
    </row>
    <row r="651">
      <c r="C651" s="102"/>
      <c r="H651" s="102"/>
    </row>
    <row r="652">
      <c r="C652" s="102"/>
      <c r="H652" s="102"/>
    </row>
    <row r="653">
      <c r="C653" s="102"/>
      <c r="H653" s="102"/>
    </row>
    <row r="654">
      <c r="C654" s="102"/>
      <c r="H654" s="102"/>
    </row>
    <row r="655">
      <c r="C655" s="102"/>
      <c r="H655" s="102"/>
    </row>
    <row r="656">
      <c r="C656" s="102"/>
      <c r="H656" s="102"/>
    </row>
    <row r="657">
      <c r="C657" s="102"/>
      <c r="H657" s="102"/>
    </row>
    <row r="658">
      <c r="C658" s="102"/>
      <c r="H658" s="102"/>
    </row>
    <row r="659">
      <c r="C659" s="102"/>
      <c r="H659" s="102"/>
    </row>
    <row r="660">
      <c r="C660" s="102"/>
      <c r="H660" s="102"/>
    </row>
    <row r="661">
      <c r="C661" s="102"/>
      <c r="H661" s="102"/>
    </row>
    <row r="662">
      <c r="C662" s="102"/>
      <c r="H662" s="102"/>
    </row>
    <row r="663">
      <c r="C663" s="102"/>
      <c r="H663" s="102"/>
    </row>
    <row r="664">
      <c r="C664" s="102"/>
      <c r="H664" s="102"/>
    </row>
    <row r="665">
      <c r="C665" s="102"/>
      <c r="H665" s="102"/>
    </row>
    <row r="666">
      <c r="C666" s="102"/>
      <c r="H666" s="102"/>
    </row>
    <row r="667">
      <c r="C667" s="102"/>
      <c r="H667" s="102"/>
    </row>
    <row r="668">
      <c r="C668" s="102"/>
      <c r="H668" s="102"/>
    </row>
    <row r="669">
      <c r="C669" s="102"/>
      <c r="H669" s="102"/>
    </row>
    <row r="670">
      <c r="C670" s="102"/>
      <c r="H670" s="102"/>
    </row>
    <row r="671">
      <c r="C671" s="102"/>
      <c r="H671" s="102"/>
    </row>
    <row r="672">
      <c r="C672" s="102"/>
      <c r="H672" s="102"/>
    </row>
    <row r="673">
      <c r="C673" s="102"/>
      <c r="H673" s="102"/>
    </row>
    <row r="674">
      <c r="C674" s="102"/>
      <c r="H674" s="102"/>
    </row>
    <row r="675">
      <c r="C675" s="102"/>
      <c r="H675" s="102"/>
    </row>
    <row r="676">
      <c r="C676" s="102"/>
      <c r="H676" s="102"/>
    </row>
    <row r="677">
      <c r="C677" s="102"/>
      <c r="H677" s="102"/>
    </row>
    <row r="678">
      <c r="C678" s="102"/>
      <c r="H678" s="102"/>
    </row>
    <row r="679">
      <c r="C679" s="102"/>
      <c r="H679" s="102"/>
    </row>
    <row r="680">
      <c r="C680" s="102"/>
      <c r="H680" s="102"/>
    </row>
    <row r="681">
      <c r="C681" s="102"/>
      <c r="H681" s="102"/>
    </row>
    <row r="682">
      <c r="C682" s="102"/>
      <c r="H682" s="102"/>
    </row>
    <row r="683">
      <c r="C683" s="102"/>
      <c r="H683" s="102"/>
    </row>
    <row r="684">
      <c r="C684" s="102"/>
      <c r="H684" s="102"/>
    </row>
    <row r="685">
      <c r="C685" s="102"/>
      <c r="H685" s="102"/>
    </row>
    <row r="686">
      <c r="C686" s="102"/>
      <c r="H686" s="102"/>
    </row>
    <row r="687">
      <c r="C687" s="102"/>
      <c r="H687" s="102"/>
    </row>
    <row r="688">
      <c r="C688" s="102"/>
      <c r="H688" s="102"/>
    </row>
    <row r="689">
      <c r="C689" s="102"/>
      <c r="H689" s="102"/>
    </row>
    <row r="690">
      <c r="C690" s="102"/>
      <c r="H690" s="102"/>
    </row>
    <row r="691">
      <c r="C691" s="102"/>
      <c r="H691" s="102"/>
    </row>
    <row r="692">
      <c r="C692" s="102"/>
      <c r="H692" s="102"/>
    </row>
    <row r="693">
      <c r="C693" s="102"/>
      <c r="H693" s="102"/>
    </row>
    <row r="694">
      <c r="C694" s="102"/>
      <c r="H694" s="102"/>
    </row>
    <row r="695">
      <c r="C695" s="102"/>
      <c r="H695" s="102"/>
    </row>
    <row r="696">
      <c r="C696" s="102"/>
      <c r="H696" s="102"/>
    </row>
    <row r="697">
      <c r="C697" s="102"/>
      <c r="H697" s="102"/>
    </row>
    <row r="698">
      <c r="C698" s="102"/>
      <c r="H698" s="102"/>
    </row>
    <row r="699">
      <c r="C699" s="102"/>
      <c r="H699" s="102"/>
    </row>
    <row r="700">
      <c r="C700" s="102"/>
      <c r="H700" s="102"/>
    </row>
    <row r="701">
      <c r="C701" s="102"/>
      <c r="H701" s="102"/>
    </row>
    <row r="702">
      <c r="C702" s="102"/>
      <c r="H702" s="102"/>
    </row>
    <row r="703">
      <c r="C703" s="102"/>
      <c r="H703" s="102"/>
    </row>
    <row r="704">
      <c r="C704" s="102"/>
      <c r="H704" s="102"/>
    </row>
    <row r="705">
      <c r="C705" s="102"/>
      <c r="H705" s="102"/>
    </row>
    <row r="706">
      <c r="C706" s="102"/>
      <c r="H706" s="102"/>
    </row>
    <row r="707">
      <c r="C707" s="102"/>
      <c r="H707" s="102"/>
    </row>
    <row r="708">
      <c r="C708" s="102"/>
      <c r="H708" s="102"/>
    </row>
    <row r="709">
      <c r="C709" s="102"/>
      <c r="H709" s="102"/>
    </row>
    <row r="710">
      <c r="C710" s="102"/>
      <c r="H710" s="102"/>
    </row>
    <row r="711">
      <c r="C711" s="102"/>
      <c r="H711" s="102"/>
    </row>
    <row r="712">
      <c r="C712" s="102"/>
      <c r="H712" s="102"/>
    </row>
    <row r="713">
      <c r="C713" s="102"/>
      <c r="H713" s="102"/>
    </row>
    <row r="714">
      <c r="C714" s="102"/>
      <c r="H714" s="102"/>
    </row>
    <row r="715">
      <c r="C715" s="102"/>
      <c r="H715" s="102"/>
    </row>
    <row r="716">
      <c r="C716" s="102"/>
      <c r="H716" s="102"/>
    </row>
    <row r="717">
      <c r="C717" s="102"/>
      <c r="H717" s="102"/>
    </row>
    <row r="718">
      <c r="C718" s="102"/>
      <c r="H718" s="102"/>
    </row>
    <row r="719">
      <c r="C719" s="102"/>
      <c r="H719" s="102"/>
    </row>
    <row r="720">
      <c r="C720" s="102"/>
      <c r="H720" s="102"/>
    </row>
    <row r="721">
      <c r="C721" s="102"/>
      <c r="H721" s="102"/>
    </row>
    <row r="722">
      <c r="C722" s="102"/>
      <c r="H722" s="102"/>
    </row>
    <row r="723">
      <c r="C723" s="102"/>
      <c r="H723" s="102"/>
    </row>
    <row r="724">
      <c r="C724" s="102"/>
      <c r="H724" s="102"/>
    </row>
    <row r="725">
      <c r="C725" s="102"/>
      <c r="H725" s="102"/>
    </row>
    <row r="726">
      <c r="C726" s="102"/>
      <c r="H726" s="102"/>
    </row>
    <row r="727">
      <c r="C727" s="102"/>
      <c r="H727" s="102"/>
    </row>
    <row r="728">
      <c r="C728" s="102"/>
      <c r="H728" s="102"/>
    </row>
    <row r="729">
      <c r="C729" s="102"/>
      <c r="H729" s="102"/>
    </row>
    <row r="730">
      <c r="C730" s="102"/>
      <c r="H730" s="102"/>
    </row>
    <row r="731">
      <c r="C731" s="102"/>
      <c r="H731" s="102"/>
    </row>
    <row r="732">
      <c r="C732" s="102"/>
      <c r="H732" s="102"/>
    </row>
    <row r="733">
      <c r="C733" s="102"/>
      <c r="H733" s="102"/>
    </row>
    <row r="734">
      <c r="C734" s="102"/>
      <c r="H734" s="102"/>
    </row>
    <row r="735">
      <c r="C735" s="102"/>
      <c r="H735" s="102"/>
    </row>
    <row r="736">
      <c r="C736" s="102"/>
      <c r="H736" s="102"/>
    </row>
    <row r="737">
      <c r="C737" s="102"/>
      <c r="H737" s="102"/>
    </row>
    <row r="738">
      <c r="C738" s="102"/>
      <c r="H738" s="102"/>
    </row>
    <row r="739">
      <c r="C739" s="102"/>
      <c r="H739" s="102"/>
    </row>
    <row r="740">
      <c r="C740" s="102"/>
      <c r="H740" s="102"/>
    </row>
    <row r="741">
      <c r="C741" s="102"/>
      <c r="H741" s="102"/>
    </row>
    <row r="742">
      <c r="C742" s="102"/>
      <c r="H742" s="102"/>
    </row>
    <row r="743">
      <c r="C743" s="102"/>
      <c r="H743" s="102"/>
    </row>
    <row r="744">
      <c r="C744" s="102"/>
      <c r="H744" s="102"/>
    </row>
    <row r="745">
      <c r="C745" s="102"/>
      <c r="H745" s="102"/>
    </row>
    <row r="746">
      <c r="C746" s="102"/>
      <c r="H746" s="102"/>
    </row>
    <row r="747">
      <c r="C747" s="102"/>
      <c r="H747" s="102"/>
    </row>
    <row r="748">
      <c r="C748" s="102"/>
      <c r="H748" s="102"/>
    </row>
    <row r="749">
      <c r="C749" s="102"/>
      <c r="H749" s="102"/>
    </row>
    <row r="750">
      <c r="C750" s="102"/>
      <c r="H750" s="102"/>
    </row>
    <row r="751">
      <c r="C751" s="102"/>
      <c r="H751" s="102"/>
    </row>
    <row r="752">
      <c r="C752" s="102"/>
      <c r="H752" s="102"/>
    </row>
    <row r="753">
      <c r="C753" s="102"/>
      <c r="H753" s="102"/>
    </row>
    <row r="754">
      <c r="C754" s="102"/>
      <c r="H754" s="102"/>
    </row>
    <row r="755">
      <c r="C755" s="102"/>
      <c r="H755" s="102"/>
    </row>
    <row r="756">
      <c r="C756" s="102"/>
      <c r="H756" s="102"/>
    </row>
    <row r="757">
      <c r="C757" s="102"/>
      <c r="H757" s="102"/>
    </row>
    <row r="758">
      <c r="C758" s="102"/>
      <c r="H758" s="102"/>
    </row>
    <row r="759">
      <c r="C759" s="102"/>
      <c r="H759" s="102"/>
    </row>
    <row r="760">
      <c r="C760" s="102"/>
      <c r="H760" s="102"/>
    </row>
    <row r="761">
      <c r="C761" s="102"/>
      <c r="H761" s="102"/>
    </row>
    <row r="762">
      <c r="C762" s="102"/>
      <c r="H762" s="102"/>
    </row>
    <row r="763">
      <c r="C763" s="102"/>
      <c r="H763" s="102"/>
    </row>
    <row r="764">
      <c r="C764" s="102"/>
      <c r="H764" s="102"/>
    </row>
    <row r="765">
      <c r="C765" s="102"/>
      <c r="H765" s="102"/>
    </row>
    <row r="766">
      <c r="C766" s="102"/>
      <c r="H766" s="102"/>
    </row>
    <row r="767">
      <c r="C767" s="102"/>
      <c r="H767" s="102"/>
    </row>
    <row r="768">
      <c r="C768" s="102"/>
      <c r="H768" s="102"/>
    </row>
    <row r="769">
      <c r="C769" s="102"/>
      <c r="H769" s="102"/>
    </row>
    <row r="770">
      <c r="C770" s="102"/>
      <c r="H770" s="102"/>
    </row>
    <row r="771">
      <c r="C771" s="102"/>
      <c r="H771" s="102"/>
    </row>
    <row r="772">
      <c r="C772" s="102"/>
      <c r="H772" s="102"/>
    </row>
    <row r="773">
      <c r="C773" s="102"/>
      <c r="H773" s="102"/>
    </row>
    <row r="774">
      <c r="C774" s="102"/>
      <c r="H774" s="102"/>
    </row>
    <row r="775">
      <c r="C775" s="102"/>
      <c r="H775" s="102"/>
    </row>
    <row r="776">
      <c r="C776" s="102"/>
      <c r="H776" s="102"/>
    </row>
    <row r="777">
      <c r="C777" s="102"/>
      <c r="H777" s="102"/>
    </row>
    <row r="778">
      <c r="C778" s="102"/>
      <c r="H778" s="102"/>
    </row>
    <row r="779">
      <c r="C779" s="102"/>
      <c r="H779" s="102"/>
    </row>
    <row r="780">
      <c r="C780" s="102"/>
      <c r="H780" s="102"/>
    </row>
    <row r="781">
      <c r="C781" s="102"/>
      <c r="H781" s="102"/>
    </row>
    <row r="782">
      <c r="C782" s="102"/>
      <c r="H782" s="102"/>
    </row>
    <row r="783">
      <c r="C783" s="102"/>
      <c r="H783" s="102"/>
    </row>
    <row r="784">
      <c r="C784" s="102"/>
      <c r="H784" s="102"/>
    </row>
    <row r="785">
      <c r="C785" s="102"/>
      <c r="H785" s="102"/>
    </row>
    <row r="786">
      <c r="C786" s="102"/>
      <c r="H786" s="102"/>
    </row>
    <row r="787">
      <c r="C787" s="102"/>
      <c r="H787" s="102"/>
    </row>
    <row r="788">
      <c r="C788" s="102"/>
      <c r="H788" s="102"/>
    </row>
    <row r="789">
      <c r="C789" s="102"/>
      <c r="H789" s="102"/>
    </row>
    <row r="790">
      <c r="C790" s="102"/>
      <c r="H790" s="102"/>
    </row>
    <row r="791">
      <c r="C791" s="102"/>
      <c r="H791" s="102"/>
    </row>
    <row r="792">
      <c r="C792" s="102"/>
      <c r="H792" s="102"/>
    </row>
    <row r="793">
      <c r="C793" s="102"/>
      <c r="H793" s="102"/>
    </row>
    <row r="794">
      <c r="C794" s="102"/>
      <c r="H794" s="102"/>
    </row>
    <row r="795">
      <c r="C795" s="102"/>
      <c r="H795" s="102"/>
    </row>
    <row r="796">
      <c r="C796" s="102"/>
      <c r="H796" s="102"/>
    </row>
    <row r="797">
      <c r="C797" s="102"/>
      <c r="H797" s="102"/>
    </row>
    <row r="798">
      <c r="C798" s="102"/>
      <c r="H798" s="102"/>
    </row>
    <row r="799">
      <c r="C799" s="102"/>
      <c r="H799" s="102"/>
    </row>
    <row r="800">
      <c r="C800" s="102"/>
      <c r="H800" s="102"/>
    </row>
    <row r="801">
      <c r="C801" s="102"/>
      <c r="H801" s="102"/>
    </row>
    <row r="802">
      <c r="C802" s="102"/>
      <c r="H802" s="102"/>
    </row>
    <row r="803">
      <c r="C803" s="102"/>
      <c r="H803" s="102"/>
    </row>
    <row r="804">
      <c r="C804" s="102"/>
      <c r="H804" s="102"/>
    </row>
    <row r="805">
      <c r="C805" s="102"/>
      <c r="H805" s="102"/>
    </row>
    <row r="806">
      <c r="C806" s="102"/>
      <c r="H806" s="102"/>
    </row>
    <row r="807">
      <c r="C807" s="102"/>
      <c r="H807" s="102"/>
    </row>
    <row r="808">
      <c r="C808" s="102"/>
      <c r="H808" s="102"/>
    </row>
    <row r="809">
      <c r="C809" s="102"/>
      <c r="H809" s="102"/>
    </row>
    <row r="810">
      <c r="C810" s="102"/>
      <c r="H810" s="102"/>
    </row>
    <row r="811">
      <c r="C811" s="102"/>
      <c r="H811" s="102"/>
    </row>
    <row r="812">
      <c r="C812" s="102"/>
      <c r="H812" s="102"/>
    </row>
    <row r="813">
      <c r="C813" s="102"/>
      <c r="H813" s="102"/>
    </row>
    <row r="814">
      <c r="C814" s="102"/>
      <c r="H814" s="102"/>
    </row>
    <row r="815">
      <c r="C815" s="102"/>
      <c r="H815" s="102"/>
    </row>
    <row r="816">
      <c r="C816" s="102"/>
      <c r="H816" s="102"/>
    </row>
    <row r="817">
      <c r="C817" s="102"/>
      <c r="H817" s="102"/>
    </row>
    <row r="818">
      <c r="C818" s="102"/>
      <c r="H818" s="102"/>
    </row>
    <row r="819">
      <c r="C819" s="102"/>
      <c r="H819" s="102"/>
    </row>
    <row r="820">
      <c r="C820" s="102"/>
      <c r="H820" s="102"/>
    </row>
    <row r="821">
      <c r="C821" s="102"/>
      <c r="H821" s="102"/>
    </row>
    <row r="822">
      <c r="C822" s="102"/>
      <c r="H822" s="102"/>
    </row>
    <row r="823">
      <c r="C823" s="102"/>
      <c r="H823" s="102"/>
    </row>
    <row r="824">
      <c r="C824" s="102"/>
      <c r="H824" s="102"/>
    </row>
    <row r="825">
      <c r="C825" s="102"/>
      <c r="H825" s="102"/>
    </row>
    <row r="826">
      <c r="C826" s="102"/>
      <c r="H826" s="102"/>
    </row>
    <row r="827">
      <c r="C827" s="102"/>
      <c r="H827" s="102"/>
    </row>
    <row r="828">
      <c r="C828" s="102"/>
      <c r="H828" s="102"/>
    </row>
    <row r="829">
      <c r="C829" s="102"/>
      <c r="H829" s="102"/>
    </row>
    <row r="830">
      <c r="C830" s="102"/>
      <c r="H830" s="102"/>
    </row>
    <row r="831">
      <c r="C831" s="102"/>
      <c r="H831" s="102"/>
    </row>
    <row r="832">
      <c r="C832" s="102"/>
      <c r="H832" s="102"/>
    </row>
    <row r="833">
      <c r="C833" s="102"/>
      <c r="H833" s="102"/>
    </row>
    <row r="834">
      <c r="C834" s="102"/>
      <c r="H834" s="102"/>
    </row>
    <row r="835">
      <c r="C835" s="102"/>
      <c r="H835" s="102"/>
    </row>
    <row r="836">
      <c r="C836" s="102"/>
      <c r="H836" s="102"/>
    </row>
    <row r="837">
      <c r="C837" s="102"/>
      <c r="H837" s="102"/>
    </row>
    <row r="838">
      <c r="C838" s="102"/>
      <c r="H838" s="102"/>
    </row>
    <row r="839">
      <c r="C839" s="102"/>
      <c r="H839" s="102"/>
    </row>
    <row r="840">
      <c r="C840" s="102"/>
      <c r="H840" s="102"/>
    </row>
    <row r="841">
      <c r="C841" s="102"/>
      <c r="H841" s="102"/>
    </row>
    <row r="842">
      <c r="C842" s="102"/>
      <c r="H842" s="102"/>
    </row>
    <row r="843">
      <c r="C843" s="102"/>
      <c r="H843" s="102"/>
    </row>
    <row r="844">
      <c r="C844" s="102"/>
      <c r="H844" s="102"/>
    </row>
    <row r="845">
      <c r="C845" s="102"/>
      <c r="H845" s="102"/>
    </row>
    <row r="846">
      <c r="C846" s="102"/>
      <c r="H846" s="102"/>
    </row>
    <row r="847">
      <c r="C847" s="102"/>
      <c r="H847" s="102"/>
    </row>
    <row r="848">
      <c r="C848" s="102"/>
      <c r="H848" s="102"/>
    </row>
    <row r="849">
      <c r="C849" s="102"/>
      <c r="H849" s="102"/>
    </row>
    <row r="850">
      <c r="C850" s="102"/>
      <c r="H850" s="102"/>
    </row>
    <row r="851">
      <c r="C851" s="102"/>
      <c r="H851" s="102"/>
    </row>
    <row r="852">
      <c r="C852" s="102"/>
      <c r="H852" s="102"/>
    </row>
    <row r="853">
      <c r="C853" s="102"/>
      <c r="H853" s="102"/>
    </row>
    <row r="854">
      <c r="C854" s="102"/>
      <c r="H854" s="102"/>
    </row>
    <row r="855">
      <c r="C855" s="102"/>
      <c r="H855" s="102"/>
    </row>
    <row r="856">
      <c r="C856" s="102"/>
      <c r="H856" s="102"/>
    </row>
    <row r="857">
      <c r="C857" s="102"/>
      <c r="H857" s="102"/>
    </row>
    <row r="858">
      <c r="C858" s="102"/>
      <c r="H858" s="102"/>
    </row>
    <row r="859">
      <c r="C859" s="102"/>
      <c r="H859" s="102"/>
    </row>
    <row r="860">
      <c r="C860" s="102"/>
      <c r="H860" s="102"/>
    </row>
    <row r="861">
      <c r="C861" s="102"/>
      <c r="H861" s="102"/>
    </row>
    <row r="862">
      <c r="C862" s="102"/>
      <c r="H862" s="102"/>
    </row>
    <row r="863">
      <c r="C863" s="102"/>
      <c r="H863" s="102"/>
    </row>
    <row r="864">
      <c r="C864" s="102"/>
      <c r="H864" s="102"/>
    </row>
    <row r="865">
      <c r="C865" s="102"/>
      <c r="H865" s="102"/>
    </row>
    <row r="866">
      <c r="C866" s="102"/>
      <c r="H866" s="102"/>
    </row>
    <row r="867">
      <c r="C867" s="102"/>
      <c r="H867" s="102"/>
    </row>
    <row r="868">
      <c r="C868" s="102"/>
      <c r="H868" s="102"/>
    </row>
    <row r="869">
      <c r="C869" s="102"/>
      <c r="H869" s="102"/>
    </row>
    <row r="870">
      <c r="C870" s="102"/>
      <c r="H870" s="102"/>
    </row>
    <row r="871">
      <c r="C871" s="102"/>
      <c r="H871" s="102"/>
    </row>
    <row r="872">
      <c r="C872" s="102"/>
      <c r="H872" s="102"/>
    </row>
    <row r="873">
      <c r="C873" s="102"/>
      <c r="H873" s="102"/>
    </row>
    <row r="874">
      <c r="C874" s="102"/>
      <c r="H874" s="102"/>
    </row>
    <row r="875">
      <c r="C875" s="102"/>
      <c r="H875" s="102"/>
    </row>
    <row r="876">
      <c r="C876" s="102"/>
      <c r="H876" s="102"/>
    </row>
    <row r="877">
      <c r="C877" s="102"/>
      <c r="H877" s="102"/>
    </row>
    <row r="878">
      <c r="C878" s="102"/>
      <c r="H878" s="102"/>
    </row>
    <row r="879">
      <c r="C879" s="102"/>
      <c r="H879" s="102"/>
    </row>
    <row r="880">
      <c r="C880" s="102"/>
      <c r="H880" s="102"/>
    </row>
    <row r="881">
      <c r="C881" s="102"/>
      <c r="H881" s="102"/>
    </row>
    <row r="882">
      <c r="C882" s="102"/>
      <c r="H882" s="102"/>
    </row>
    <row r="883">
      <c r="C883" s="102"/>
      <c r="H883" s="102"/>
    </row>
    <row r="884">
      <c r="C884" s="102"/>
      <c r="H884" s="102"/>
    </row>
    <row r="885">
      <c r="C885" s="102"/>
      <c r="H885" s="102"/>
    </row>
    <row r="886">
      <c r="C886" s="102"/>
      <c r="H886" s="102"/>
    </row>
    <row r="887">
      <c r="C887" s="102"/>
      <c r="H887" s="102"/>
    </row>
    <row r="888">
      <c r="C888" s="102"/>
      <c r="H888" s="102"/>
    </row>
    <row r="889">
      <c r="C889" s="102"/>
      <c r="H889" s="102"/>
    </row>
    <row r="890">
      <c r="C890" s="102"/>
      <c r="H890" s="102"/>
    </row>
    <row r="891">
      <c r="C891" s="102"/>
      <c r="H891" s="102"/>
    </row>
    <row r="892">
      <c r="C892" s="102"/>
      <c r="H892" s="102"/>
    </row>
    <row r="893">
      <c r="C893" s="102"/>
      <c r="H893" s="102"/>
    </row>
    <row r="894">
      <c r="C894" s="102"/>
      <c r="H894" s="102"/>
    </row>
    <row r="895">
      <c r="C895" s="102"/>
      <c r="H895" s="102"/>
    </row>
    <row r="896">
      <c r="C896" s="102"/>
      <c r="H896" s="102"/>
    </row>
    <row r="897">
      <c r="C897" s="102"/>
      <c r="H897" s="102"/>
    </row>
    <row r="898">
      <c r="C898" s="102"/>
      <c r="H898" s="102"/>
    </row>
    <row r="899">
      <c r="C899" s="102"/>
      <c r="H899" s="102"/>
    </row>
    <row r="900">
      <c r="C900" s="102"/>
      <c r="H900" s="102"/>
    </row>
    <row r="901">
      <c r="C901" s="102"/>
      <c r="H901" s="102"/>
    </row>
    <row r="902">
      <c r="C902" s="102"/>
      <c r="H902" s="102"/>
    </row>
    <row r="903">
      <c r="C903" s="102"/>
      <c r="H903" s="102"/>
    </row>
    <row r="904">
      <c r="C904" s="102"/>
      <c r="H904" s="102"/>
    </row>
    <row r="905">
      <c r="C905" s="102"/>
      <c r="H905" s="102"/>
    </row>
    <row r="906">
      <c r="C906" s="102"/>
      <c r="H906" s="102"/>
    </row>
    <row r="907">
      <c r="C907" s="102"/>
      <c r="H907" s="102"/>
    </row>
    <row r="908">
      <c r="C908" s="102"/>
      <c r="H908" s="102"/>
    </row>
    <row r="909">
      <c r="C909" s="102"/>
      <c r="H909" s="102"/>
    </row>
    <row r="910">
      <c r="C910" s="102"/>
      <c r="H910" s="102"/>
    </row>
    <row r="911">
      <c r="C911" s="102"/>
      <c r="H911" s="102"/>
    </row>
    <row r="912">
      <c r="C912" s="102"/>
      <c r="H912" s="102"/>
    </row>
    <row r="913">
      <c r="C913" s="102"/>
      <c r="H913" s="102"/>
    </row>
    <row r="914">
      <c r="C914" s="102"/>
      <c r="H914" s="102"/>
    </row>
    <row r="915">
      <c r="C915" s="102"/>
      <c r="H915" s="102"/>
    </row>
    <row r="916">
      <c r="C916" s="102"/>
      <c r="H916" s="102"/>
    </row>
    <row r="917">
      <c r="C917" s="102"/>
      <c r="H917" s="102"/>
    </row>
    <row r="918">
      <c r="C918" s="102"/>
      <c r="H918" s="102"/>
    </row>
    <row r="919">
      <c r="C919" s="102"/>
      <c r="H919" s="102"/>
    </row>
    <row r="920">
      <c r="C920" s="102"/>
      <c r="H920" s="102"/>
    </row>
    <row r="921">
      <c r="C921" s="102"/>
      <c r="H921" s="102"/>
    </row>
    <row r="922">
      <c r="C922" s="102"/>
      <c r="H922" s="102"/>
    </row>
    <row r="923">
      <c r="C923" s="102"/>
      <c r="H923" s="102"/>
    </row>
    <row r="924">
      <c r="C924" s="102"/>
      <c r="H924" s="102"/>
    </row>
    <row r="925">
      <c r="C925" s="102"/>
      <c r="H925" s="102"/>
    </row>
    <row r="926">
      <c r="C926" s="102"/>
      <c r="H926" s="102"/>
    </row>
    <row r="927">
      <c r="C927" s="102"/>
      <c r="H927" s="102"/>
    </row>
    <row r="928">
      <c r="C928" s="102"/>
      <c r="H928" s="102"/>
    </row>
    <row r="929">
      <c r="C929" s="102"/>
      <c r="H929" s="102"/>
    </row>
    <row r="930">
      <c r="C930" s="102"/>
      <c r="H930" s="102"/>
    </row>
    <row r="931">
      <c r="C931" s="102"/>
      <c r="H931" s="102"/>
    </row>
    <row r="932">
      <c r="C932" s="102"/>
      <c r="H932" s="102"/>
    </row>
    <row r="933">
      <c r="C933" s="102"/>
      <c r="H933" s="102"/>
    </row>
    <row r="934">
      <c r="C934" s="102"/>
      <c r="H934" s="102"/>
    </row>
    <row r="935">
      <c r="C935" s="102"/>
      <c r="H935" s="102"/>
    </row>
    <row r="936">
      <c r="C936" s="102"/>
      <c r="H936" s="102"/>
    </row>
    <row r="937">
      <c r="C937" s="102"/>
      <c r="H937" s="102"/>
    </row>
    <row r="938">
      <c r="C938" s="102"/>
      <c r="H938" s="102"/>
    </row>
    <row r="939">
      <c r="C939" s="102"/>
      <c r="H939" s="102"/>
    </row>
    <row r="940">
      <c r="C940" s="102"/>
      <c r="H940" s="102"/>
    </row>
    <row r="941">
      <c r="C941" s="102"/>
      <c r="H941" s="102"/>
    </row>
    <row r="942">
      <c r="C942" s="102"/>
      <c r="H942" s="102"/>
    </row>
    <row r="943">
      <c r="C943" s="102"/>
      <c r="H943" s="102"/>
    </row>
    <row r="944">
      <c r="C944" s="102"/>
      <c r="H944" s="102"/>
    </row>
    <row r="945">
      <c r="C945" s="102"/>
      <c r="H945" s="102"/>
    </row>
    <row r="946">
      <c r="C946" s="102"/>
      <c r="H946" s="102"/>
    </row>
    <row r="947">
      <c r="C947" s="102"/>
      <c r="H947" s="102"/>
    </row>
    <row r="948">
      <c r="C948" s="102"/>
      <c r="H948" s="102"/>
    </row>
    <row r="949">
      <c r="C949" s="102"/>
      <c r="H949" s="102"/>
    </row>
    <row r="950">
      <c r="C950" s="102"/>
      <c r="H950" s="102"/>
    </row>
    <row r="951">
      <c r="C951" s="102"/>
      <c r="H951" s="102"/>
    </row>
    <row r="952">
      <c r="C952" s="102"/>
      <c r="H952" s="102"/>
    </row>
    <row r="953">
      <c r="C953" s="102"/>
      <c r="H953" s="102"/>
    </row>
    <row r="954">
      <c r="C954" s="102"/>
      <c r="H954" s="102"/>
    </row>
    <row r="955">
      <c r="C955" s="102"/>
      <c r="H955" s="102"/>
    </row>
    <row r="956">
      <c r="C956" s="102"/>
      <c r="H956" s="102"/>
    </row>
    <row r="957">
      <c r="C957" s="102"/>
      <c r="H957" s="102"/>
    </row>
    <row r="958">
      <c r="C958" s="102"/>
      <c r="H958" s="102"/>
    </row>
    <row r="959">
      <c r="C959" s="102"/>
      <c r="H959" s="102"/>
    </row>
    <row r="960">
      <c r="C960" s="102"/>
      <c r="H960" s="102"/>
    </row>
    <row r="961">
      <c r="C961" s="102"/>
      <c r="H961" s="102"/>
    </row>
    <row r="962">
      <c r="C962" s="102"/>
      <c r="H962" s="102"/>
    </row>
    <row r="963">
      <c r="C963" s="102"/>
      <c r="H963" s="102"/>
    </row>
    <row r="964">
      <c r="C964" s="102"/>
      <c r="H964" s="102"/>
    </row>
    <row r="965">
      <c r="C965" s="102"/>
      <c r="H965" s="102"/>
    </row>
    <row r="966">
      <c r="C966" s="102"/>
      <c r="H966" s="102"/>
    </row>
    <row r="967">
      <c r="C967" s="102"/>
      <c r="H967" s="102"/>
    </row>
    <row r="968">
      <c r="C968" s="102"/>
      <c r="H968" s="102"/>
    </row>
    <row r="969">
      <c r="C969" s="102"/>
      <c r="H969" s="102"/>
    </row>
    <row r="970">
      <c r="C970" s="102"/>
      <c r="H970" s="102"/>
    </row>
    <row r="971">
      <c r="C971" s="102"/>
      <c r="H971" s="102"/>
    </row>
    <row r="972">
      <c r="C972" s="102"/>
      <c r="H972" s="102"/>
    </row>
    <row r="973">
      <c r="C973" s="102"/>
      <c r="H973" s="102"/>
    </row>
    <row r="974">
      <c r="C974" s="102"/>
      <c r="H974" s="102"/>
    </row>
    <row r="975">
      <c r="C975" s="102"/>
      <c r="H975" s="102"/>
    </row>
    <row r="976">
      <c r="C976" s="102"/>
      <c r="H976" s="102"/>
    </row>
    <row r="977">
      <c r="C977" s="102"/>
      <c r="H977" s="102"/>
    </row>
    <row r="978">
      <c r="C978" s="102"/>
      <c r="H978" s="102"/>
    </row>
    <row r="979">
      <c r="C979" s="102"/>
      <c r="H979" s="102"/>
    </row>
    <row r="980">
      <c r="C980" s="102"/>
      <c r="H980" s="102"/>
    </row>
    <row r="981">
      <c r="C981" s="102"/>
      <c r="H981" s="102"/>
    </row>
    <row r="982">
      <c r="C982" s="102"/>
      <c r="H982" s="102"/>
    </row>
    <row r="983">
      <c r="C983" s="102"/>
      <c r="H983" s="102"/>
    </row>
    <row r="984">
      <c r="C984" s="102"/>
      <c r="H984" s="102"/>
    </row>
    <row r="985">
      <c r="C985" s="102"/>
      <c r="H985" s="102"/>
    </row>
    <row r="986">
      <c r="C986" s="102"/>
      <c r="H986" s="102"/>
    </row>
    <row r="987">
      <c r="C987" s="102"/>
      <c r="H987" s="102"/>
    </row>
    <row r="988">
      <c r="C988" s="102"/>
      <c r="H988" s="102"/>
    </row>
    <row r="989">
      <c r="C989" s="102"/>
      <c r="H989" s="102"/>
    </row>
    <row r="990">
      <c r="C990" s="102"/>
      <c r="H990" s="102"/>
    </row>
    <row r="991">
      <c r="C991" s="102"/>
      <c r="H991" s="102"/>
    </row>
    <row r="992">
      <c r="C992" s="102"/>
      <c r="H992" s="102"/>
    </row>
    <row r="993">
      <c r="C993" s="102"/>
      <c r="H993" s="102"/>
    </row>
    <row r="994">
      <c r="C994" s="102"/>
      <c r="H994" s="102"/>
    </row>
    <row r="995">
      <c r="C995" s="102"/>
      <c r="H995" s="102"/>
    </row>
    <row r="996">
      <c r="C996" s="102"/>
      <c r="H996" s="102"/>
    </row>
    <row r="997">
      <c r="C997" s="102"/>
      <c r="H997" s="102"/>
    </row>
    <row r="998">
      <c r="C998" s="10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1" width="13.0"/>
    <col customWidth="1" min="2" max="3" width="3.57"/>
    <col customWidth="1" min="4" max="4" width="13.0"/>
    <col customWidth="1" min="5" max="6" width="3.57"/>
    <col customWidth="1" min="7" max="7" width="13.0"/>
    <col customWidth="1" min="8" max="9" width="3.57"/>
    <col customWidth="1" min="10" max="10" width="13.0"/>
    <col customWidth="1" min="11" max="11" width="4.29"/>
    <col customWidth="1" min="12" max="12" width="3.57"/>
    <col customWidth="1" min="13" max="13" width="13.0"/>
    <col customWidth="1" min="14" max="14" width="2.43"/>
    <col customWidth="1" min="15" max="15" width="2.29"/>
    <col customWidth="1" min="16" max="34" width="13.0"/>
  </cols>
  <sheetData>
    <row r="1" ht="21.75" customHeight="1">
      <c r="A1" s="112" t="s">
        <v>217</v>
      </c>
      <c r="B1" s="113" t="s">
        <v>218</v>
      </c>
      <c r="C1" s="114"/>
      <c r="D1" s="115" t="s">
        <v>108</v>
      </c>
      <c r="E1" s="113">
        <v>2.0</v>
      </c>
      <c r="F1" s="114"/>
      <c r="G1" s="115" t="s">
        <v>108</v>
      </c>
      <c r="H1" s="113">
        <v>4.0</v>
      </c>
      <c r="I1" s="114"/>
      <c r="J1" s="115" t="s">
        <v>108</v>
      </c>
      <c r="K1" s="113">
        <v>6.0</v>
      </c>
      <c r="L1" s="114"/>
      <c r="M1" s="115" t="s">
        <v>108</v>
      </c>
      <c r="N1" s="113">
        <v>8.0</v>
      </c>
      <c r="O1" s="114"/>
      <c r="P1" s="116" t="s">
        <v>108</v>
      </c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</row>
    <row r="2" ht="21.75" customHeight="1">
      <c r="A2" s="118" t="s">
        <v>219</v>
      </c>
      <c r="B2" s="119">
        <v>3.0</v>
      </c>
      <c r="C2" s="119">
        <v>2.0</v>
      </c>
      <c r="D2" s="119">
        <f t="shared" ref="D2:D4" si="1">B2-C2</f>
        <v>1</v>
      </c>
      <c r="E2" s="119">
        <v>5.0</v>
      </c>
      <c r="F2" s="119">
        <v>5.0</v>
      </c>
      <c r="G2" s="119">
        <f t="shared" ref="G2:G4" si="2">E2-F2</f>
        <v>0</v>
      </c>
      <c r="H2" s="119">
        <v>4.0</v>
      </c>
      <c r="I2" s="119">
        <v>2.0</v>
      </c>
      <c r="J2" s="119">
        <f t="shared" ref="J2:J4" si="3">H2-I2</f>
        <v>2</v>
      </c>
      <c r="K2" s="119">
        <v>3.0</v>
      </c>
      <c r="L2" s="119">
        <v>3.0</v>
      </c>
      <c r="M2" s="119">
        <f t="shared" ref="M2:M4" si="4">K2-L2</f>
        <v>0</v>
      </c>
      <c r="N2" s="119">
        <v>4.0</v>
      </c>
      <c r="O2" s="119">
        <v>4.0</v>
      </c>
      <c r="P2" s="119">
        <f t="shared" ref="P2:P4" si="5">N2-O2</f>
        <v>0</v>
      </c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</row>
    <row r="3" ht="21.75" customHeight="1">
      <c r="A3" s="118" t="s">
        <v>220</v>
      </c>
      <c r="B3" s="119">
        <v>4.0</v>
      </c>
      <c r="C3" s="119">
        <v>4.0</v>
      </c>
      <c r="D3" s="119">
        <f t="shared" si="1"/>
        <v>0</v>
      </c>
      <c r="E3" s="119">
        <v>5.0</v>
      </c>
      <c r="F3" s="119">
        <v>5.0</v>
      </c>
      <c r="G3" s="119">
        <f t="shared" si="2"/>
        <v>0</v>
      </c>
      <c r="H3" s="119">
        <v>5.0</v>
      </c>
      <c r="I3" s="119">
        <v>2.0</v>
      </c>
      <c r="J3" s="119">
        <f t="shared" si="3"/>
        <v>3</v>
      </c>
      <c r="K3" s="119">
        <v>4.0</v>
      </c>
      <c r="L3" s="119">
        <v>4.0</v>
      </c>
      <c r="M3" s="119">
        <f t="shared" si="4"/>
        <v>0</v>
      </c>
      <c r="N3" s="119">
        <v>5.0</v>
      </c>
      <c r="O3" s="119">
        <v>3.0</v>
      </c>
      <c r="P3" s="119">
        <f t="shared" si="5"/>
        <v>2</v>
      </c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</row>
    <row r="4" ht="21.75" customHeight="1">
      <c r="A4" s="120" t="s">
        <v>221</v>
      </c>
      <c r="B4" s="121">
        <v>2.0</v>
      </c>
      <c r="C4" s="121">
        <v>2.0</v>
      </c>
      <c r="D4" s="119">
        <f t="shared" si="1"/>
        <v>0</v>
      </c>
      <c r="E4" s="121">
        <v>4.0</v>
      </c>
      <c r="F4" s="121">
        <v>3.0</v>
      </c>
      <c r="G4" s="119">
        <f t="shared" si="2"/>
        <v>1</v>
      </c>
      <c r="H4" s="121">
        <v>5.0</v>
      </c>
      <c r="I4" s="121">
        <v>2.0</v>
      </c>
      <c r="J4" s="119">
        <f t="shared" si="3"/>
        <v>3</v>
      </c>
      <c r="K4" s="121">
        <v>3.0</v>
      </c>
      <c r="L4" s="121">
        <v>3.0</v>
      </c>
      <c r="M4" s="119">
        <f t="shared" si="4"/>
        <v>0</v>
      </c>
      <c r="N4" s="121">
        <v>4.0</v>
      </c>
      <c r="O4" s="121">
        <v>4.0</v>
      </c>
      <c r="P4" s="119">
        <f t="shared" si="5"/>
        <v>0</v>
      </c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</row>
    <row r="5" ht="21.75" customHeight="1">
      <c r="A5" s="122"/>
      <c r="B5" s="123"/>
      <c r="C5" s="123"/>
      <c r="D5" s="123"/>
      <c r="E5" s="123"/>
      <c r="F5" s="123"/>
      <c r="G5" s="123"/>
      <c r="H5" s="123"/>
      <c r="I5" s="123"/>
      <c r="J5" s="122"/>
      <c r="K5" s="122"/>
      <c r="L5" s="122"/>
      <c r="M5" s="122"/>
      <c r="N5" s="124"/>
      <c r="O5" s="124"/>
      <c r="P5" s="124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</row>
    <row r="6" ht="21.75" customHeight="1">
      <c r="A6" s="112" t="s">
        <v>222</v>
      </c>
      <c r="B6" s="113" t="s">
        <v>223</v>
      </c>
      <c r="C6" s="114"/>
      <c r="D6" s="115" t="s">
        <v>108</v>
      </c>
      <c r="E6" s="113" t="s">
        <v>224</v>
      </c>
      <c r="F6" s="114"/>
      <c r="G6" s="115" t="s">
        <v>108</v>
      </c>
      <c r="H6" s="113" t="s">
        <v>218</v>
      </c>
      <c r="I6" s="114"/>
      <c r="J6" s="115" t="s">
        <v>108</v>
      </c>
      <c r="K6" s="113" t="s">
        <v>225</v>
      </c>
      <c r="L6" s="114"/>
      <c r="M6" s="116" t="s">
        <v>108</v>
      </c>
      <c r="N6" s="125"/>
      <c r="O6" s="126"/>
      <c r="P6" s="126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</row>
    <row r="7" ht="21.75" customHeight="1">
      <c r="A7" s="118" t="s">
        <v>226</v>
      </c>
      <c r="B7" s="119">
        <v>13.0</v>
      </c>
      <c r="C7" s="119">
        <v>13.0</v>
      </c>
      <c r="D7" s="119">
        <f t="shared" ref="D7:D11" si="6">B7-C7</f>
        <v>0</v>
      </c>
      <c r="E7" s="119">
        <v>17.0</v>
      </c>
      <c r="F7" s="119">
        <v>15.0</v>
      </c>
      <c r="G7" s="119">
        <f t="shared" ref="G7:G11" si="7">E7-F7</f>
        <v>2</v>
      </c>
      <c r="H7" s="119">
        <v>12.0</v>
      </c>
      <c r="I7" s="119">
        <v>11.0</v>
      </c>
      <c r="J7" s="119">
        <f t="shared" ref="J7:J11" si="8">H7-I7</f>
        <v>1</v>
      </c>
      <c r="K7" s="119">
        <v>9.0</v>
      </c>
      <c r="L7" s="119">
        <v>8.0</v>
      </c>
      <c r="M7" s="119">
        <f t="shared" ref="M7:M11" si="9">K7-L7</f>
        <v>1</v>
      </c>
      <c r="N7" s="125"/>
      <c r="O7" s="126"/>
      <c r="P7" s="126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7"/>
      <c r="AG7" s="117"/>
      <c r="AH7" s="117"/>
    </row>
    <row r="8" ht="21.75" customHeight="1">
      <c r="A8" s="118" t="s">
        <v>227</v>
      </c>
      <c r="B8" s="119">
        <v>6.0</v>
      </c>
      <c r="C8" s="119">
        <v>6.0</v>
      </c>
      <c r="D8" s="119">
        <f t="shared" si="6"/>
        <v>0</v>
      </c>
      <c r="E8" s="119">
        <v>10.0</v>
      </c>
      <c r="F8" s="119">
        <v>8.0</v>
      </c>
      <c r="G8" s="119">
        <f t="shared" si="7"/>
        <v>2</v>
      </c>
      <c r="H8" s="119">
        <v>5.0</v>
      </c>
      <c r="I8" s="119">
        <v>3.0</v>
      </c>
      <c r="J8" s="119">
        <f t="shared" si="8"/>
        <v>2</v>
      </c>
      <c r="K8" s="119">
        <v>9.0</v>
      </c>
      <c r="L8" s="119">
        <v>9.0</v>
      </c>
      <c r="M8" s="119">
        <f t="shared" si="9"/>
        <v>0</v>
      </c>
      <c r="N8" s="125"/>
      <c r="O8" s="126"/>
      <c r="P8" s="126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</row>
    <row r="9" ht="21.75" customHeight="1">
      <c r="A9" s="118" t="s">
        <v>219</v>
      </c>
      <c r="B9" s="119">
        <v>13.0</v>
      </c>
      <c r="C9" s="119">
        <v>13.0</v>
      </c>
      <c r="D9" s="119">
        <f t="shared" si="6"/>
        <v>0</v>
      </c>
      <c r="E9" s="119">
        <v>18.0</v>
      </c>
      <c r="F9" s="119">
        <v>18.0</v>
      </c>
      <c r="G9" s="119">
        <f t="shared" si="7"/>
        <v>0</v>
      </c>
      <c r="H9" s="119">
        <v>11.0</v>
      </c>
      <c r="I9" s="119">
        <v>11.0</v>
      </c>
      <c r="J9" s="119">
        <f t="shared" si="8"/>
        <v>0</v>
      </c>
      <c r="K9" s="119">
        <v>10.0</v>
      </c>
      <c r="L9" s="119">
        <v>9.0</v>
      </c>
      <c r="M9" s="119">
        <f t="shared" si="9"/>
        <v>1</v>
      </c>
      <c r="N9" s="125"/>
      <c r="O9" s="126"/>
      <c r="P9" s="126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</row>
    <row r="10" ht="21.75" customHeight="1">
      <c r="A10" s="118" t="s">
        <v>229</v>
      </c>
      <c r="B10" s="119">
        <v>9.0</v>
      </c>
      <c r="C10" s="119">
        <v>5.0</v>
      </c>
      <c r="D10" s="119">
        <f t="shared" si="6"/>
        <v>4</v>
      </c>
      <c r="E10" s="119">
        <v>15.0</v>
      </c>
      <c r="F10" s="119">
        <v>10.0</v>
      </c>
      <c r="G10" s="119">
        <f t="shared" si="7"/>
        <v>5</v>
      </c>
      <c r="H10" s="119">
        <v>6.0</v>
      </c>
      <c r="I10" s="119">
        <v>4.0</v>
      </c>
      <c r="J10" s="119">
        <f t="shared" si="8"/>
        <v>2</v>
      </c>
      <c r="K10" s="119">
        <v>6.0</v>
      </c>
      <c r="L10" s="119">
        <v>5.0</v>
      </c>
      <c r="M10" s="119">
        <f t="shared" si="9"/>
        <v>1</v>
      </c>
      <c r="N10" s="125"/>
      <c r="O10" s="126"/>
      <c r="P10" s="126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</row>
    <row r="11" ht="21.75" customHeight="1">
      <c r="A11" s="120" t="s">
        <v>220</v>
      </c>
      <c r="B11" s="121">
        <v>11.0</v>
      </c>
      <c r="C11" s="121">
        <v>11.0</v>
      </c>
      <c r="D11" s="119">
        <f t="shared" si="6"/>
        <v>0</v>
      </c>
      <c r="E11" s="121">
        <v>17.0</v>
      </c>
      <c r="F11" s="121">
        <v>17.0</v>
      </c>
      <c r="G11" s="119">
        <f t="shared" si="7"/>
        <v>0</v>
      </c>
      <c r="H11" s="121">
        <v>13.0</v>
      </c>
      <c r="I11" s="121">
        <v>13.0</v>
      </c>
      <c r="J11" s="119">
        <f t="shared" si="8"/>
        <v>0</v>
      </c>
      <c r="K11" s="121">
        <v>10.0</v>
      </c>
      <c r="L11" s="121">
        <v>9.0</v>
      </c>
      <c r="M11" s="119">
        <f t="shared" si="9"/>
        <v>1</v>
      </c>
      <c r="N11" s="125"/>
      <c r="O11" s="126"/>
      <c r="P11" s="126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</row>
    <row r="12" ht="21.75" customHeight="1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6"/>
      <c r="O12" s="126"/>
      <c r="P12" s="126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</row>
    <row r="13" ht="21.75" customHeight="1">
      <c r="A13" s="112" t="s">
        <v>232</v>
      </c>
      <c r="B13" s="113" t="s">
        <v>223</v>
      </c>
      <c r="C13" s="114"/>
      <c r="D13" s="115" t="s">
        <v>108</v>
      </c>
      <c r="E13" s="113" t="s">
        <v>224</v>
      </c>
      <c r="F13" s="114"/>
      <c r="G13" s="115" t="s">
        <v>108</v>
      </c>
      <c r="H13" s="113" t="s">
        <v>218</v>
      </c>
      <c r="I13" s="114"/>
      <c r="J13" s="115" t="s">
        <v>108</v>
      </c>
      <c r="K13" s="113" t="s">
        <v>225</v>
      </c>
      <c r="L13" s="114"/>
      <c r="M13" s="116" t="s">
        <v>108</v>
      </c>
      <c r="N13" s="125"/>
      <c r="O13" s="126"/>
      <c r="P13" s="126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</row>
    <row r="14" ht="21.75" customHeight="1">
      <c r="A14" s="118" t="s">
        <v>226</v>
      </c>
      <c r="B14" s="119">
        <v>8.0</v>
      </c>
      <c r="C14" s="119">
        <v>8.0</v>
      </c>
      <c r="D14" s="119">
        <f t="shared" ref="D14:D18" si="10">B14-C14</f>
        <v>0</v>
      </c>
      <c r="E14" s="119">
        <v>11.0</v>
      </c>
      <c r="F14" s="119">
        <v>10.0</v>
      </c>
      <c r="G14" s="119">
        <f t="shared" ref="G14:G18" si="11">E14-F14</f>
        <v>1</v>
      </c>
      <c r="H14" s="119">
        <v>14.0</v>
      </c>
      <c r="I14" s="119">
        <v>13.0</v>
      </c>
      <c r="J14" s="119">
        <f t="shared" ref="J14:J18" si="12">H14-I14</f>
        <v>1</v>
      </c>
      <c r="K14" s="119">
        <v>13.0</v>
      </c>
      <c r="L14" s="119">
        <v>12.0</v>
      </c>
      <c r="M14" s="119">
        <f t="shared" ref="M14:M18" si="13">K14-L14</f>
        <v>1</v>
      </c>
      <c r="N14" s="125"/>
      <c r="O14" s="126"/>
      <c r="P14" s="126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</row>
    <row r="15" ht="21.75" customHeight="1">
      <c r="A15" s="118" t="s">
        <v>227</v>
      </c>
      <c r="B15" s="119">
        <v>4.0</v>
      </c>
      <c r="C15" s="119">
        <v>4.0</v>
      </c>
      <c r="D15" s="119">
        <f t="shared" si="10"/>
        <v>0</v>
      </c>
      <c r="E15" s="119">
        <v>11.0</v>
      </c>
      <c r="F15" s="119">
        <v>11.0</v>
      </c>
      <c r="G15" s="119">
        <f t="shared" si="11"/>
        <v>0</v>
      </c>
      <c r="H15" s="119">
        <v>2.0</v>
      </c>
      <c r="I15" s="119">
        <v>2.0</v>
      </c>
      <c r="J15" s="119">
        <f t="shared" si="12"/>
        <v>0</v>
      </c>
      <c r="K15" s="119">
        <v>3.0</v>
      </c>
      <c r="L15" s="119">
        <v>2.0</v>
      </c>
      <c r="M15" s="119">
        <f t="shared" si="13"/>
        <v>1</v>
      </c>
      <c r="N15" s="125"/>
      <c r="O15" s="126"/>
      <c r="P15" s="126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</row>
    <row r="16" ht="21.75" customHeight="1">
      <c r="A16" s="118" t="s">
        <v>219</v>
      </c>
      <c r="B16" s="119">
        <v>7.0</v>
      </c>
      <c r="C16" s="119">
        <v>7.0</v>
      </c>
      <c r="D16" s="119">
        <f t="shared" si="10"/>
        <v>0</v>
      </c>
      <c r="E16" s="119">
        <v>10.0</v>
      </c>
      <c r="F16" s="119">
        <v>9.0</v>
      </c>
      <c r="G16" s="119">
        <f t="shared" si="11"/>
        <v>1</v>
      </c>
      <c r="H16" s="119">
        <v>16.0</v>
      </c>
      <c r="I16" s="119">
        <v>14.0</v>
      </c>
      <c r="J16" s="119">
        <f t="shared" si="12"/>
        <v>2</v>
      </c>
      <c r="K16" s="119">
        <v>13.0</v>
      </c>
      <c r="L16" s="119">
        <v>13.0</v>
      </c>
      <c r="M16" s="119">
        <f t="shared" si="13"/>
        <v>0</v>
      </c>
      <c r="N16" s="125"/>
      <c r="O16" s="126"/>
      <c r="P16" s="126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</row>
    <row r="17" ht="21.75" customHeight="1">
      <c r="A17" s="118" t="s">
        <v>229</v>
      </c>
      <c r="B17" s="119">
        <v>3.0</v>
      </c>
      <c r="C17" s="119">
        <v>1.0</v>
      </c>
      <c r="D17" s="119">
        <f t="shared" si="10"/>
        <v>2</v>
      </c>
      <c r="E17" s="119">
        <v>8.0</v>
      </c>
      <c r="F17" s="119">
        <v>0.0</v>
      </c>
      <c r="G17" s="119">
        <f t="shared" si="11"/>
        <v>8</v>
      </c>
      <c r="H17" s="119">
        <v>10.0</v>
      </c>
      <c r="I17" s="119">
        <v>6.0</v>
      </c>
      <c r="J17" s="119">
        <f t="shared" si="12"/>
        <v>4</v>
      </c>
      <c r="K17" s="119">
        <v>5.0</v>
      </c>
      <c r="L17" s="119">
        <v>2.0</v>
      </c>
      <c r="M17" s="119">
        <f t="shared" si="13"/>
        <v>3</v>
      </c>
      <c r="N17" s="125"/>
      <c r="O17" s="126"/>
      <c r="P17" s="126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</row>
    <row r="18" ht="21.75" customHeight="1">
      <c r="A18" s="120" t="s">
        <v>220</v>
      </c>
      <c r="B18" s="121">
        <v>8.0</v>
      </c>
      <c r="C18" s="121">
        <v>8.0</v>
      </c>
      <c r="D18" s="119">
        <f t="shared" si="10"/>
        <v>0</v>
      </c>
      <c r="E18" s="121">
        <v>12.0</v>
      </c>
      <c r="F18" s="121">
        <v>12.0</v>
      </c>
      <c r="G18" s="119">
        <f t="shared" si="11"/>
        <v>0</v>
      </c>
      <c r="H18" s="121">
        <v>17.0</v>
      </c>
      <c r="I18" s="121">
        <v>17.0</v>
      </c>
      <c r="J18" s="119">
        <f t="shared" si="12"/>
        <v>0</v>
      </c>
      <c r="K18" s="121">
        <v>13.0</v>
      </c>
      <c r="L18" s="121">
        <v>13.0</v>
      </c>
      <c r="M18" s="119">
        <f t="shared" si="13"/>
        <v>0</v>
      </c>
      <c r="N18" s="125"/>
      <c r="O18" s="126"/>
      <c r="P18" s="126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</row>
    <row r="19">
      <c r="A19" s="117"/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</row>
    <row r="20">
      <c r="A20" s="117"/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</row>
    <row r="21">
      <c r="A21" s="117"/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</row>
    <row r="22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</row>
    <row r="23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</row>
    <row r="24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</row>
    <row r="25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</row>
    <row r="26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</row>
    <row r="27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</row>
    <row r="28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</row>
    <row r="29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</row>
    <row r="30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</row>
    <row r="31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</row>
    <row r="32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</row>
    <row r="33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</row>
    <row r="34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</row>
    <row r="35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</row>
    <row r="36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7"/>
      <c r="AE36" s="117"/>
      <c r="AF36" s="117"/>
      <c r="AG36" s="117"/>
      <c r="AH36" s="117"/>
    </row>
    <row r="37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</row>
    <row r="38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</row>
    <row r="39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  <c r="AF39" s="117"/>
      <c r="AG39" s="117"/>
      <c r="AH39" s="117"/>
    </row>
    <row r="40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  <c r="AD40" s="117"/>
      <c r="AE40" s="117"/>
      <c r="AF40" s="117"/>
      <c r="AG40" s="117"/>
      <c r="AH40" s="117"/>
    </row>
    <row r="41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7"/>
      <c r="AC41" s="117"/>
      <c r="AD41" s="117"/>
      <c r="AE41" s="117"/>
      <c r="AF41" s="117"/>
      <c r="AG41" s="117"/>
      <c r="AH41" s="117"/>
    </row>
    <row r="42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  <c r="AC42" s="117"/>
      <c r="AD42" s="117"/>
      <c r="AE42" s="117"/>
      <c r="AF42" s="117"/>
      <c r="AG42" s="117"/>
      <c r="AH42" s="117"/>
    </row>
    <row r="43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117"/>
      <c r="AC43" s="117"/>
      <c r="AD43" s="117"/>
      <c r="AE43" s="117"/>
      <c r="AF43" s="117"/>
      <c r="AG43" s="117"/>
      <c r="AH43" s="117"/>
    </row>
    <row r="44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  <c r="AD44" s="117"/>
      <c r="AE44" s="117"/>
      <c r="AF44" s="117"/>
      <c r="AG44" s="117"/>
      <c r="AH44" s="117"/>
    </row>
    <row r="45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  <c r="AD45" s="117"/>
      <c r="AE45" s="117"/>
      <c r="AF45" s="117"/>
      <c r="AG45" s="117"/>
      <c r="AH45" s="117"/>
    </row>
    <row r="46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  <c r="AC46" s="117"/>
      <c r="AD46" s="117"/>
      <c r="AE46" s="117"/>
      <c r="AF46" s="117"/>
      <c r="AG46" s="117"/>
      <c r="AH46" s="117"/>
    </row>
    <row r="47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/>
      <c r="AB47" s="117"/>
      <c r="AC47" s="117"/>
      <c r="AD47" s="117"/>
      <c r="AE47" s="117"/>
      <c r="AF47" s="117"/>
      <c r="AG47" s="117"/>
      <c r="AH47" s="117"/>
    </row>
    <row r="48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  <c r="AA48" s="117"/>
      <c r="AB48" s="117"/>
      <c r="AC48" s="117"/>
      <c r="AD48" s="117"/>
      <c r="AE48" s="117"/>
      <c r="AF48" s="117"/>
      <c r="AG48" s="117"/>
      <c r="AH48" s="117"/>
    </row>
    <row r="49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  <c r="AA49" s="117"/>
      <c r="AB49" s="117"/>
      <c r="AC49" s="117"/>
      <c r="AD49" s="117"/>
      <c r="AE49" s="117"/>
      <c r="AF49" s="117"/>
      <c r="AG49" s="117"/>
      <c r="AH49" s="117"/>
    </row>
    <row r="50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  <c r="AA50" s="117"/>
      <c r="AB50" s="117"/>
      <c r="AC50" s="117"/>
      <c r="AD50" s="117"/>
      <c r="AE50" s="117"/>
      <c r="AF50" s="117"/>
      <c r="AG50" s="117"/>
      <c r="AH50" s="117"/>
    </row>
    <row r="5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  <c r="AA51" s="117"/>
      <c r="AB51" s="117"/>
      <c r="AC51" s="117"/>
      <c r="AD51" s="117"/>
      <c r="AE51" s="117"/>
      <c r="AF51" s="117"/>
      <c r="AG51" s="117"/>
      <c r="AH51" s="117"/>
    </row>
    <row r="52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  <c r="AA52" s="117"/>
      <c r="AB52" s="117"/>
      <c r="AC52" s="117"/>
      <c r="AD52" s="117"/>
      <c r="AE52" s="117"/>
      <c r="AF52" s="117"/>
      <c r="AG52" s="117"/>
      <c r="AH52" s="117"/>
    </row>
    <row r="53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  <c r="AA53" s="117"/>
      <c r="AB53" s="117"/>
      <c r="AC53" s="117"/>
      <c r="AD53" s="117"/>
      <c r="AE53" s="117"/>
      <c r="AF53" s="117"/>
      <c r="AG53" s="117"/>
      <c r="AH53" s="117"/>
    </row>
    <row r="54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  <c r="AB54" s="117"/>
      <c r="AC54" s="117"/>
      <c r="AD54" s="117"/>
      <c r="AE54" s="117"/>
      <c r="AF54" s="117"/>
      <c r="AG54" s="117"/>
      <c r="AH54" s="117"/>
    </row>
    <row r="5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17"/>
      <c r="AB55" s="117"/>
      <c r="AC55" s="117"/>
      <c r="AD55" s="117"/>
      <c r="AE55" s="117"/>
      <c r="AF55" s="117"/>
      <c r="AG55" s="117"/>
      <c r="AH55" s="117"/>
    </row>
    <row r="56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  <c r="AA56" s="117"/>
      <c r="AB56" s="117"/>
      <c r="AC56" s="117"/>
      <c r="AD56" s="117"/>
      <c r="AE56" s="117"/>
      <c r="AF56" s="117"/>
      <c r="AG56" s="117"/>
      <c r="AH56" s="117"/>
    </row>
    <row r="57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7"/>
      <c r="AB57" s="117"/>
      <c r="AC57" s="117"/>
      <c r="AD57" s="117"/>
      <c r="AE57" s="117"/>
      <c r="AF57" s="117"/>
      <c r="AG57" s="117"/>
      <c r="AH57" s="117"/>
    </row>
    <row r="58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  <c r="AA58" s="117"/>
      <c r="AB58" s="117"/>
      <c r="AC58" s="117"/>
      <c r="AD58" s="117"/>
      <c r="AE58" s="117"/>
      <c r="AF58" s="117"/>
      <c r="AG58" s="117"/>
      <c r="AH58" s="117"/>
    </row>
    <row r="59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  <c r="AA59" s="117"/>
      <c r="AB59" s="117"/>
      <c r="AC59" s="117"/>
      <c r="AD59" s="117"/>
      <c r="AE59" s="117"/>
      <c r="AF59" s="117"/>
      <c r="AG59" s="117"/>
      <c r="AH59" s="117"/>
    </row>
    <row r="60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</row>
    <row r="6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  <c r="AG61" s="117"/>
      <c r="AH61" s="117"/>
    </row>
    <row r="62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</row>
    <row r="63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</row>
    <row r="64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</row>
    <row r="6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  <c r="AA65" s="117"/>
      <c r="AB65" s="117"/>
      <c r="AC65" s="117"/>
      <c r="AD65" s="117"/>
      <c r="AE65" s="117"/>
      <c r="AF65" s="117"/>
      <c r="AG65" s="117"/>
      <c r="AH65" s="117"/>
    </row>
    <row r="66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117"/>
      <c r="AB66" s="117"/>
      <c r="AC66" s="117"/>
      <c r="AD66" s="117"/>
      <c r="AE66" s="117"/>
      <c r="AF66" s="117"/>
      <c r="AG66" s="117"/>
      <c r="AH66" s="117"/>
    </row>
    <row r="67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</row>
    <row r="68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117"/>
      <c r="AB68" s="117"/>
      <c r="AC68" s="117"/>
      <c r="AD68" s="117"/>
      <c r="AE68" s="117"/>
      <c r="AF68" s="117"/>
      <c r="AG68" s="117"/>
      <c r="AH68" s="117"/>
    </row>
    <row r="69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117"/>
      <c r="AB69" s="117"/>
      <c r="AC69" s="117"/>
      <c r="AD69" s="117"/>
      <c r="AE69" s="117"/>
      <c r="AF69" s="117"/>
      <c r="AG69" s="117"/>
      <c r="AH69" s="117"/>
    </row>
    <row r="70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7"/>
      <c r="AH70" s="117"/>
    </row>
    <row r="7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7"/>
      <c r="AB71" s="117"/>
      <c r="AC71" s="117"/>
      <c r="AD71" s="117"/>
      <c r="AE71" s="117"/>
      <c r="AF71" s="117"/>
      <c r="AG71" s="117"/>
      <c r="AH71" s="117"/>
    </row>
    <row r="72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  <c r="AB72" s="117"/>
      <c r="AC72" s="117"/>
      <c r="AD72" s="117"/>
      <c r="AE72" s="117"/>
      <c r="AF72" s="117"/>
      <c r="AG72" s="117"/>
      <c r="AH72" s="117"/>
    </row>
    <row r="73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117"/>
      <c r="AB73" s="117"/>
      <c r="AC73" s="117"/>
      <c r="AD73" s="117"/>
      <c r="AE73" s="117"/>
      <c r="AF73" s="117"/>
      <c r="AG73" s="117"/>
      <c r="AH73" s="117"/>
    </row>
    <row r="74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  <c r="AB74" s="117"/>
      <c r="AC74" s="117"/>
      <c r="AD74" s="117"/>
      <c r="AE74" s="117"/>
      <c r="AF74" s="117"/>
      <c r="AG74" s="117"/>
      <c r="AH74" s="117"/>
    </row>
    <row r="7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  <c r="AA75" s="117"/>
      <c r="AB75" s="117"/>
      <c r="AC75" s="117"/>
      <c r="AD75" s="117"/>
      <c r="AE75" s="117"/>
      <c r="AF75" s="117"/>
      <c r="AG75" s="117"/>
      <c r="AH75" s="117"/>
    </row>
    <row r="76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</row>
    <row r="77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117"/>
      <c r="AB77" s="117"/>
      <c r="AC77" s="117"/>
      <c r="AD77" s="117"/>
      <c r="AE77" s="117"/>
      <c r="AF77" s="117"/>
      <c r="AG77" s="117"/>
      <c r="AH77" s="117"/>
    </row>
    <row r="78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</row>
    <row r="79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  <c r="AA79" s="117"/>
      <c r="AB79" s="117"/>
      <c r="AC79" s="117"/>
      <c r="AD79" s="117"/>
      <c r="AE79" s="117"/>
      <c r="AF79" s="117"/>
      <c r="AG79" s="117"/>
      <c r="AH79" s="117"/>
    </row>
    <row r="80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</row>
    <row r="8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  <c r="AB81" s="117"/>
      <c r="AC81" s="117"/>
      <c r="AD81" s="117"/>
      <c r="AE81" s="117"/>
      <c r="AF81" s="117"/>
      <c r="AG81" s="117"/>
      <c r="AH81" s="117"/>
    </row>
    <row r="8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</row>
    <row r="83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  <c r="AA83" s="117"/>
      <c r="AB83" s="117"/>
      <c r="AC83" s="117"/>
      <c r="AD83" s="117"/>
      <c r="AE83" s="117"/>
      <c r="AF83" s="117"/>
      <c r="AG83" s="117"/>
      <c r="AH83" s="117"/>
    </row>
    <row r="84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</row>
    <row r="8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117"/>
      <c r="AB85" s="117"/>
      <c r="AC85" s="117"/>
      <c r="AD85" s="117"/>
      <c r="AE85" s="117"/>
      <c r="AF85" s="117"/>
      <c r="AG85" s="117"/>
      <c r="AH85" s="117"/>
    </row>
    <row r="86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</row>
    <row r="87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  <c r="AA87" s="117"/>
      <c r="AB87" s="117"/>
      <c r="AC87" s="117"/>
      <c r="AD87" s="117"/>
      <c r="AE87" s="117"/>
      <c r="AF87" s="117"/>
      <c r="AG87" s="117"/>
      <c r="AH87" s="117"/>
    </row>
    <row r="88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</row>
    <row r="89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  <c r="AC89" s="117"/>
      <c r="AD89" s="117"/>
      <c r="AE89" s="117"/>
      <c r="AF89" s="117"/>
      <c r="AG89" s="117"/>
      <c r="AH89" s="117"/>
    </row>
    <row r="90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</row>
    <row r="9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  <c r="AA91" s="117"/>
      <c r="AB91" s="117"/>
      <c r="AC91" s="117"/>
      <c r="AD91" s="117"/>
      <c r="AE91" s="117"/>
      <c r="AF91" s="117"/>
      <c r="AG91" s="117"/>
      <c r="AH91" s="117"/>
    </row>
    <row r="9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</row>
    <row r="93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  <c r="AB93" s="117"/>
      <c r="AC93" s="117"/>
      <c r="AD93" s="117"/>
      <c r="AE93" s="117"/>
      <c r="AF93" s="117"/>
      <c r="AG93" s="117"/>
      <c r="AH93" s="117"/>
    </row>
    <row r="94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</row>
    <row r="9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  <c r="AB95" s="117"/>
      <c r="AC95" s="117"/>
      <c r="AD95" s="117"/>
      <c r="AE95" s="117"/>
      <c r="AF95" s="117"/>
      <c r="AG95" s="117"/>
      <c r="AH95" s="117"/>
    </row>
    <row r="96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</row>
    <row r="97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  <c r="AA97" s="117"/>
      <c r="AB97" s="117"/>
      <c r="AC97" s="117"/>
      <c r="AD97" s="117"/>
      <c r="AE97" s="117"/>
      <c r="AF97" s="117"/>
      <c r="AG97" s="117"/>
      <c r="AH97" s="117"/>
    </row>
    <row r="98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117"/>
      <c r="AB98" s="117"/>
      <c r="AC98" s="117"/>
      <c r="AD98" s="117"/>
      <c r="AE98" s="117"/>
      <c r="AF98" s="117"/>
      <c r="AG98" s="117"/>
      <c r="AH98" s="117"/>
    </row>
    <row r="99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  <c r="AA99" s="117"/>
      <c r="AB99" s="117"/>
      <c r="AC99" s="117"/>
      <c r="AD99" s="117"/>
      <c r="AE99" s="117"/>
      <c r="AF99" s="117"/>
      <c r="AG99" s="117"/>
      <c r="AH99" s="117"/>
    </row>
    <row r="100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F100" s="117"/>
      <c r="AG100" s="117"/>
      <c r="AH100" s="117"/>
    </row>
    <row r="10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7"/>
      <c r="AH101" s="117"/>
    </row>
    <row r="102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  <c r="AB102" s="117"/>
      <c r="AC102" s="117"/>
      <c r="AD102" s="117"/>
      <c r="AE102" s="117"/>
      <c r="AF102" s="117"/>
      <c r="AG102" s="117"/>
      <c r="AH102" s="117"/>
    </row>
    <row r="103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  <c r="AA103" s="117"/>
      <c r="AB103" s="117"/>
      <c r="AC103" s="117"/>
      <c r="AD103" s="117"/>
      <c r="AE103" s="117"/>
      <c r="AF103" s="117"/>
      <c r="AG103" s="117"/>
      <c r="AH103" s="117"/>
    </row>
    <row r="104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  <c r="AA104" s="117"/>
      <c r="AB104" s="117"/>
      <c r="AC104" s="117"/>
      <c r="AD104" s="117"/>
      <c r="AE104" s="117"/>
      <c r="AF104" s="117"/>
      <c r="AG104" s="117"/>
      <c r="AH104" s="117"/>
    </row>
    <row r="10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  <c r="AA105" s="117"/>
      <c r="AB105" s="117"/>
      <c r="AC105" s="117"/>
      <c r="AD105" s="117"/>
      <c r="AE105" s="117"/>
      <c r="AF105" s="117"/>
      <c r="AG105" s="117"/>
      <c r="AH105" s="117"/>
    </row>
    <row r="106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  <c r="AA106" s="117"/>
      <c r="AB106" s="117"/>
      <c r="AC106" s="117"/>
      <c r="AD106" s="117"/>
      <c r="AE106" s="117"/>
      <c r="AF106" s="117"/>
      <c r="AG106" s="117"/>
      <c r="AH106" s="117"/>
    </row>
    <row r="107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  <c r="AA107" s="117"/>
      <c r="AB107" s="117"/>
      <c r="AC107" s="117"/>
      <c r="AD107" s="117"/>
      <c r="AE107" s="117"/>
      <c r="AF107" s="117"/>
      <c r="AG107" s="117"/>
      <c r="AH107" s="117"/>
    </row>
    <row r="108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  <c r="AA108" s="117"/>
      <c r="AB108" s="117"/>
      <c r="AC108" s="117"/>
      <c r="AD108" s="117"/>
      <c r="AE108" s="117"/>
      <c r="AF108" s="117"/>
      <c r="AG108" s="117"/>
      <c r="AH108" s="117"/>
    </row>
    <row r="109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  <c r="AA109" s="117"/>
      <c r="AB109" s="117"/>
      <c r="AC109" s="117"/>
      <c r="AD109" s="117"/>
      <c r="AE109" s="117"/>
      <c r="AF109" s="117"/>
      <c r="AG109" s="117"/>
      <c r="AH109" s="117"/>
    </row>
    <row r="110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  <c r="AA110" s="117"/>
      <c r="AB110" s="117"/>
      <c r="AC110" s="117"/>
      <c r="AD110" s="117"/>
      <c r="AE110" s="117"/>
      <c r="AF110" s="117"/>
      <c r="AG110" s="117"/>
      <c r="AH110" s="117"/>
    </row>
    <row r="11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  <c r="AA111" s="117"/>
      <c r="AB111" s="117"/>
      <c r="AC111" s="117"/>
      <c r="AD111" s="117"/>
      <c r="AE111" s="117"/>
      <c r="AF111" s="117"/>
      <c r="AG111" s="117"/>
      <c r="AH111" s="117"/>
    </row>
    <row r="112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  <c r="AA112" s="117"/>
      <c r="AB112" s="117"/>
      <c r="AC112" s="117"/>
      <c r="AD112" s="117"/>
      <c r="AE112" s="117"/>
      <c r="AF112" s="117"/>
      <c r="AG112" s="117"/>
      <c r="AH112" s="117"/>
    </row>
    <row r="113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  <c r="AC113" s="117"/>
      <c r="AD113" s="117"/>
      <c r="AE113" s="117"/>
      <c r="AF113" s="117"/>
      <c r="AG113" s="117"/>
      <c r="AH113" s="117"/>
    </row>
    <row r="114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117"/>
      <c r="AB114" s="117"/>
      <c r="AC114" s="117"/>
      <c r="AD114" s="117"/>
      <c r="AE114" s="117"/>
      <c r="AF114" s="117"/>
      <c r="AG114" s="117"/>
      <c r="AH114" s="117"/>
    </row>
    <row r="11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/>
      <c r="AG115" s="117"/>
      <c r="AH115" s="117"/>
    </row>
    <row r="116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  <c r="AA116" s="117"/>
      <c r="AB116" s="117"/>
      <c r="AC116" s="117"/>
      <c r="AD116" s="117"/>
      <c r="AE116" s="117"/>
      <c r="AF116" s="117"/>
      <c r="AG116" s="117"/>
      <c r="AH116" s="117"/>
    </row>
    <row r="117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  <c r="AA117" s="117"/>
      <c r="AB117" s="117"/>
      <c r="AC117" s="117"/>
      <c r="AD117" s="117"/>
      <c r="AE117" s="117"/>
      <c r="AF117" s="117"/>
      <c r="AG117" s="117"/>
      <c r="AH117" s="117"/>
    </row>
    <row r="118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  <c r="AA118" s="117"/>
      <c r="AB118" s="117"/>
      <c r="AC118" s="117"/>
      <c r="AD118" s="117"/>
      <c r="AE118" s="117"/>
      <c r="AF118" s="117"/>
      <c r="AG118" s="117"/>
      <c r="AH118" s="117"/>
    </row>
    <row r="119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  <c r="AA119" s="117"/>
      <c r="AB119" s="117"/>
      <c r="AC119" s="117"/>
      <c r="AD119" s="117"/>
      <c r="AE119" s="117"/>
      <c r="AF119" s="117"/>
      <c r="AG119" s="117"/>
      <c r="AH119" s="117"/>
    </row>
    <row r="120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  <c r="AA120" s="117"/>
      <c r="AB120" s="117"/>
      <c r="AC120" s="117"/>
      <c r="AD120" s="117"/>
      <c r="AE120" s="117"/>
      <c r="AF120" s="117"/>
      <c r="AG120" s="117"/>
      <c r="AH120" s="117"/>
    </row>
    <row r="12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  <c r="AA121" s="117"/>
      <c r="AB121" s="117"/>
      <c r="AC121" s="117"/>
      <c r="AD121" s="117"/>
      <c r="AE121" s="117"/>
      <c r="AF121" s="117"/>
      <c r="AG121" s="117"/>
      <c r="AH121" s="117"/>
    </row>
    <row r="122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</row>
    <row r="123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  <c r="AB123" s="117"/>
      <c r="AC123" s="117"/>
      <c r="AD123" s="117"/>
      <c r="AE123" s="117"/>
      <c r="AF123" s="117"/>
      <c r="AG123" s="117"/>
      <c r="AH123" s="117"/>
    </row>
    <row r="124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  <c r="AA124" s="117"/>
      <c r="AB124" s="117"/>
      <c r="AC124" s="117"/>
      <c r="AD124" s="117"/>
      <c r="AE124" s="117"/>
      <c r="AF124" s="117"/>
      <c r="AG124" s="117"/>
      <c r="AH124" s="117"/>
    </row>
    <row r="1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  <c r="AA125" s="117"/>
      <c r="AB125" s="117"/>
      <c r="AC125" s="117"/>
      <c r="AD125" s="117"/>
      <c r="AE125" s="117"/>
      <c r="AF125" s="117"/>
      <c r="AG125" s="117"/>
      <c r="AH125" s="117"/>
    </row>
    <row r="126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7"/>
      <c r="AF126" s="117"/>
      <c r="AG126" s="117"/>
      <c r="AH126" s="117"/>
    </row>
    <row r="127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7"/>
      <c r="AH127" s="117"/>
    </row>
    <row r="128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17"/>
      <c r="AH128" s="117"/>
    </row>
    <row r="129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17"/>
      <c r="AH129" s="117"/>
    </row>
    <row r="130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17"/>
      <c r="AH130" s="117"/>
    </row>
    <row r="13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7"/>
      <c r="AH131" s="117"/>
    </row>
    <row r="132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17"/>
      <c r="AH132" s="117"/>
    </row>
    <row r="133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17"/>
      <c r="AH133" s="117"/>
    </row>
    <row r="134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17"/>
      <c r="AH134" s="117"/>
    </row>
    <row r="13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17"/>
      <c r="AH135" s="117"/>
    </row>
    <row r="136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17"/>
      <c r="AH136" s="117"/>
    </row>
    <row r="137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17"/>
      <c r="AH137" s="117"/>
    </row>
    <row r="138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17"/>
      <c r="AH138" s="117"/>
    </row>
    <row r="139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17"/>
      <c r="AH139" s="117"/>
    </row>
    <row r="140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17"/>
      <c r="AH140" s="117"/>
    </row>
    <row r="14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17"/>
      <c r="AH141" s="117"/>
    </row>
    <row r="142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17"/>
      <c r="AH142" s="117"/>
    </row>
    <row r="143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17"/>
      <c r="AH143" s="117"/>
    </row>
    <row r="144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17"/>
      <c r="AH144" s="117"/>
    </row>
    <row r="14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17"/>
      <c r="AH145" s="117"/>
    </row>
    <row r="146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17"/>
      <c r="AH146" s="117"/>
    </row>
    <row r="147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</row>
    <row r="148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17"/>
      <c r="AH148" s="117"/>
    </row>
    <row r="149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17"/>
      <c r="AH149" s="117"/>
    </row>
    <row r="150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17"/>
      <c r="AH150" s="117"/>
    </row>
    <row r="15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17"/>
      <c r="AH151" s="117"/>
    </row>
    <row r="152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17"/>
      <c r="AH152" s="117"/>
    </row>
    <row r="153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7"/>
      <c r="AH153" s="117"/>
    </row>
    <row r="154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17"/>
      <c r="AH154" s="117"/>
    </row>
    <row r="15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17"/>
      <c r="AH155" s="117"/>
    </row>
    <row r="156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17"/>
      <c r="AH156" s="117"/>
    </row>
    <row r="157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7"/>
      <c r="AH157" s="117"/>
    </row>
    <row r="158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17"/>
      <c r="AH158" s="117"/>
    </row>
    <row r="159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17"/>
      <c r="AH159" s="117"/>
    </row>
    <row r="160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17"/>
      <c r="AH160" s="117"/>
    </row>
    <row r="16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17"/>
      <c r="AH161" s="117"/>
    </row>
    <row r="162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17"/>
      <c r="AH162" s="117"/>
    </row>
    <row r="163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17"/>
      <c r="AH163" s="117"/>
    </row>
    <row r="164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17"/>
      <c r="AH164" s="117"/>
    </row>
    <row r="16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17"/>
      <c r="AH165" s="117"/>
    </row>
    <row r="166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17"/>
      <c r="AH166" s="117"/>
    </row>
    <row r="167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17"/>
      <c r="AH167" s="117"/>
    </row>
    <row r="168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17"/>
      <c r="AH168" s="117"/>
    </row>
    <row r="169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17"/>
      <c r="AH169" s="117"/>
    </row>
    <row r="170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17"/>
      <c r="AH170" s="117"/>
    </row>
    <row r="17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17"/>
      <c r="AH171" s="117"/>
    </row>
    <row r="172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17"/>
      <c r="AH172" s="117"/>
    </row>
    <row r="173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17"/>
      <c r="AH173" s="117"/>
    </row>
    <row r="174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17"/>
      <c r="AH174" s="117"/>
    </row>
    <row r="17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17"/>
      <c r="AH175" s="117"/>
    </row>
    <row r="176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17"/>
      <c r="AH176" s="117"/>
    </row>
    <row r="177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17"/>
      <c r="AH177" s="117"/>
    </row>
    <row r="178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17"/>
      <c r="AH178" s="117"/>
    </row>
    <row r="179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17"/>
      <c r="AH179" s="117"/>
    </row>
    <row r="180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17"/>
      <c r="AH180" s="117"/>
    </row>
    <row r="18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17"/>
      <c r="AH181" s="117"/>
    </row>
    <row r="182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17"/>
      <c r="AH182" s="117"/>
    </row>
    <row r="183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17"/>
      <c r="AH183" s="117"/>
    </row>
    <row r="184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17"/>
      <c r="AH184" s="117"/>
    </row>
    <row r="18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17"/>
      <c r="AH185" s="117"/>
    </row>
    <row r="186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17"/>
      <c r="AH186" s="117"/>
    </row>
    <row r="187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17"/>
      <c r="AH187" s="117"/>
    </row>
    <row r="188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17"/>
      <c r="AH188" s="117"/>
    </row>
    <row r="189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17"/>
      <c r="AH189" s="117"/>
    </row>
    <row r="190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17"/>
      <c r="AH190" s="117"/>
    </row>
    <row r="19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17"/>
      <c r="AH191" s="117"/>
    </row>
    <row r="192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17"/>
      <c r="AH192" s="117"/>
    </row>
    <row r="193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17"/>
      <c r="AH193" s="117"/>
    </row>
    <row r="194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17"/>
      <c r="AH194" s="117"/>
    </row>
    <row r="19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17"/>
      <c r="AH195" s="117"/>
    </row>
    <row r="196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17"/>
      <c r="AH196" s="117"/>
    </row>
    <row r="197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17"/>
      <c r="AH197" s="117"/>
    </row>
    <row r="198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17"/>
      <c r="AH198" s="117"/>
    </row>
    <row r="199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17"/>
      <c r="AH199" s="117"/>
    </row>
    <row r="200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17"/>
      <c r="AH200" s="117"/>
    </row>
    <row r="20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17"/>
      <c r="AH201" s="117"/>
    </row>
    <row r="202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17"/>
      <c r="AH202" s="117"/>
    </row>
    <row r="203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17"/>
      <c r="AH203" s="117"/>
    </row>
    <row r="204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17"/>
      <c r="AH204" s="117"/>
    </row>
    <row r="20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17"/>
      <c r="AH205" s="117"/>
    </row>
    <row r="206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17"/>
      <c r="AH206" s="117"/>
    </row>
    <row r="207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17"/>
      <c r="AH207" s="117"/>
    </row>
    <row r="208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17"/>
      <c r="AH208" s="117"/>
    </row>
    <row r="209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17"/>
      <c r="AH209" s="117"/>
    </row>
    <row r="210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17"/>
      <c r="AH210" s="117"/>
    </row>
    <row r="21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17"/>
      <c r="AH211" s="117"/>
    </row>
    <row r="212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17"/>
      <c r="AH212" s="117"/>
    </row>
    <row r="213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17"/>
      <c r="AH213" s="117"/>
    </row>
    <row r="214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17"/>
      <c r="AH214" s="117"/>
    </row>
    <row r="21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17"/>
      <c r="AH215" s="117"/>
    </row>
    <row r="216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17"/>
      <c r="AH216" s="117"/>
    </row>
    <row r="217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17"/>
      <c r="AH217" s="117"/>
    </row>
    <row r="218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17"/>
      <c r="AH218" s="117"/>
    </row>
    <row r="219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17"/>
      <c r="AH219" s="117"/>
    </row>
    <row r="220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17"/>
      <c r="AH220" s="117"/>
    </row>
    <row r="22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17"/>
      <c r="AH221" s="117"/>
    </row>
    <row r="222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17"/>
      <c r="AH222" s="117"/>
    </row>
    <row r="223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17"/>
      <c r="AH223" s="117"/>
    </row>
    <row r="224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17"/>
      <c r="AH224" s="117"/>
    </row>
    <row r="2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17"/>
      <c r="AH225" s="117"/>
    </row>
    <row r="226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17"/>
      <c r="AH226" s="117"/>
    </row>
    <row r="227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  <c r="AA227" s="117"/>
      <c r="AB227" s="117"/>
      <c r="AC227" s="117"/>
      <c r="AD227" s="117"/>
      <c r="AE227" s="117"/>
      <c r="AF227" s="117"/>
      <c r="AG227" s="117"/>
      <c r="AH227" s="117"/>
    </row>
    <row r="228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  <c r="AA228" s="117"/>
      <c r="AB228" s="117"/>
      <c r="AC228" s="117"/>
      <c r="AD228" s="117"/>
      <c r="AE228" s="117"/>
      <c r="AF228" s="117"/>
      <c r="AG228" s="117"/>
      <c r="AH228" s="117"/>
    </row>
    <row r="229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  <c r="AA229" s="117"/>
      <c r="AB229" s="117"/>
      <c r="AC229" s="117"/>
      <c r="AD229" s="117"/>
      <c r="AE229" s="117"/>
      <c r="AF229" s="117"/>
      <c r="AG229" s="117"/>
      <c r="AH229" s="117"/>
    </row>
    <row r="230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  <c r="AA230" s="117"/>
      <c r="AB230" s="117"/>
      <c r="AC230" s="117"/>
      <c r="AD230" s="117"/>
      <c r="AE230" s="117"/>
      <c r="AF230" s="117"/>
      <c r="AG230" s="117"/>
      <c r="AH230" s="117"/>
    </row>
    <row r="23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  <c r="AA231" s="117"/>
      <c r="AB231" s="117"/>
      <c r="AC231" s="117"/>
      <c r="AD231" s="117"/>
      <c r="AE231" s="117"/>
      <c r="AF231" s="117"/>
      <c r="AG231" s="117"/>
      <c r="AH231" s="117"/>
    </row>
    <row r="232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  <c r="AA232" s="117"/>
      <c r="AB232" s="117"/>
      <c r="AC232" s="117"/>
      <c r="AD232" s="117"/>
      <c r="AE232" s="117"/>
      <c r="AF232" s="117"/>
      <c r="AG232" s="117"/>
      <c r="AH232" s="117"/>
    </row>
    <row r="233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  <c r="AA233" s="117"/>
      <c r="AB233" s="117"/>
      <c r="AC233" s="117"/>
      <c r="AD233" s="117"/>
      <c r="AE233" s="117"/>
      <c r="AF233" s="117"/>
      <c r="AG233" s="117"/>
      <c r="AH233" s="117"/>
    </row>
    <row r="234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  <c r="AA234" s="117"/>
      <c r="AB234" s="117"/>
      <c r="AC234" s="117"/>
      <c r="AD234" s="117"/>
      <c r="AE234" s="117"/>
      <c r="AF234" s="117"/>
      <c r="AG234" s="117"/>
      <c r="AH234" s="117"/>
    </row>
    <row r="23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  <c r="AA235" s="117"/>
      <c r="AB235" s="117"/>
      <c r="AC235" s="117"/>
      <c r="AD235" s="117"/>
      <c r="AE235" s="117"/>
      <c r="AF235" s="117"/>
      <c r="AG235" s="117"/>
      <c r="AH235" s="117"/>
    </row>
    <row r="236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  <c r="AA236" s="117"/>
      <c r="AB236" s="117"/>
      <c r="AC236" s="117"/>
      <c r="AD236" s="117"/>
      <c r="AE236" s="117"/>
      <c r="AF236" s="117"/>
      <c r="AG236" s="117"/>
      <c r="AH236" s="117"/>
    </row>
    <row r="237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  <c r="AA237" s="117"/>
      <c r="AB237" s="117"/>
      <c r="AC237" s="117"/>
      <c r="AD237" s="117"/>
      <c r="AE237" s="117"/>
      <c r="AF237" s="117"/>
      <c r="AG237" s="117"/>
      <c r="AH237" s="117"/>
    </row>
    <row r="238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  <c r="AA238" s="117"/>
      <c r="AB238" s="117"/>
      <c r="AC238" s="117"/>
      <c r="AD238" s="117"/>
      <c r="AE238" s="117"/>
      <c r="AF238" s="117"/>
      <c r="AG238" s="117"/>
      <c r="AH238" s="117"/>
    </row>
    <row r="239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  <c r="AA239" s="117"/>
      <c r="AB239" s="117"/>
      <c r="AC239" s="117"/>
      <c r="AD239" s="117"/>
      <c r="AE239" s="117"/>
      <c r="AF239" s="117"/>
      <c r="AG239" s="117"/>
      <c r="AH239" s="117"/>
    </row>
    <row r="240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  <c r="AA240" s="117"/>
      <c r="AB240" s="117"/>
      <c r="AC240" s="117"/>
      <c r="AD240" s="117"/>
      <c r="AE240" s="117"/>
      <c r="AF240" s="117"/>
      <c r="AG240" s="117"/>
      <c r="AH240" s="117"/>
    </row>
    <row r="24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  <c r="AA241" s="117"/>
      <c r="AB241" s="117"/>
      <c r="AC241" s="117"/>
      <c r="AD241" s="117"/>
      <c r="AE241" s="117"/>
      <c r="AF241" s="117"/>
      <c r="AG241" s="117"/>
      <c r="AH241" s="117"/>
    </row>
    <row r="242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  <c r="AA242" s="117"/>
      <c r="AB242" s="117"/>
      <c r="AC242" s="117"/>
      <c r="AD242" s="117"/>
      <c r="AE242" s="117"/>
      <c r="AF242" s="117"/>
      <c r="AG242" s="117"/>
      <c r="AH242" s="117"/>
    </row>
    <row r="243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  <c r="AA243" s="117"/>
      <c r="AB243" s="117"/>
      <c r="AC243" s="117"/>
      <c r="AD243" s="117"/>
      <c r="AE243" s="117"/>
      <c r="AF243" s="117"/>
      <c r="AG243" s="117"/>
      <c r="AH243" s="117"/>
    </row>
    <row r="244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  <c r="AA244" s="117"/>
      <c r="AB244" s="117"/>
      <c r="AC244" s="117"/>
      <c r="AD244" s="117"/>
      <c r="AE244" s="117"/>
      <c r="AF244" s="117"/>
      <c r="AG244" s="117"/>
      <c r="AH244" s="117"/>
    </row>
    <row r="24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  <c r="AA245" s="117"/>
      <c r="AB245" s="117"/>
      <c r="AC245" s="117"/>
      <c r="AD245" s="117"/>
      <c r="AE245" s="117"/>
      <c r="AF245" s="117"/>
      <c r="AG245" s="117"/>
      <c r="AH245" s="117"/>
    </row>
    <row r="246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  <c r="AA246" s="117"/>
      <c r="AB246" s="117"/>
      <c r="AC246" s="117"/>
      <c r="AD246" s="117"/>
      <c r="AE246" s="117"/>
      <c r="AF246" s="117"/>
      <c r="AG246" s="117"/>
      <c r="AH246" s="117"/>
    </row>
    <row r="247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  <c r="AA247" s="117"/>
      <c r="AB247" s="117"/>
      <c r="AC247" s="117"/>
      <c r="AD247" s="117"/>
      <c r="AE247" s="117"/>
      <c r="AF247" s="117"/>
      <c r="AG247" s="117"/>
      <c r="AH247" s="117"/>
    </row>
    <row r="248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  <c r="AA248" s="117"/>
      <c r="AB248" s="117"/>
      <c r="AC248" s="117"/>
      <c r="AD248" s="117"/>
      <c r="AE248" s="117"/>
      <c r="AF248" s="117"/>
      <c r="AG248" s="117"/>
      <c r="AH248" s="117"/>
    </row>
    <row r="249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  <c r="AA249" s="117"/>
      <c r="AB249" s="117"/>
      <c r="AC249" s="117"/>
      <c r="AD249" s="117"/>
      <c r="AE249" s="117"/>
      <c r="AF249" s="117"/>
      <c r="AG249" s="117"/>
      <c r="AH249" s="117"/>
    </row>
    <row r="250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117"/>
      <c r="AB250" s="117"/>
      <c r="AC250" s="117"/>
      <c r="AD250" s="117"/>
      <c r="AE250" s="117"/>
      <c r="AF250" s="117"/>
      <c r="AG250" s="117"/>
      <c r="AH250" s="117"/>
    </row>
    <row r="25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  <c r="AA251" s="117"/>
      <c r="AB251" s="117"/>
      <c r="AC251" s="117"/>
      <c r="AD251" s="117"/>
      <c r="AE251" s="117"/>
      <c r="AF251" s="117"/>
      <c r="AG251" s="117"/>
      <c r="AH251" s="117"/>
    </row>
    <row r="252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  <c r="AA252" s="117"/>
      <c r="AB252" s="117"/>
      <c r="AC252" s="117"/>
      <c r="AD252" s="117"/>
      <c r="AE252" s="117"/>
      <c r="AF252" s="117"/>
      <c r="AG252" s="117"/>
      <c r="AH252" s="117"/>
    </row>
    <row r="253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  <c r="AA253" s="117"/>
      <c r="AB253" s="117"/>
      <c r="AC253" s="117"/>
      <c r="AD253" s="117"/>
      <c r="AE253" s="117"/>
      <c r="AF253" s="117"/>
      <c r="AG253" s="117"/>
      <c r="AH253" s="117"/>
    </row>
    <row r="254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  <c r="AA254" s="117"/>
      <c r="AB254" s="117"/>
      <c r="AC254" s="117"/>
      <c r="AD254" s="117"/>
      <c r="AE254" s="117"/>
      <c r="AF254" s="117"/>
      <c r="AG254" s="117"/>
      <c r="AH254" s="117"/>
    </row>
    <row r="25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  <c r="AA255" s="117"/>
      <c r="AB255" s="117"/>
      <c r="AC255" s="117"/>
      <c r="AD255" s="117"/>
      <c r="AE255" s="117"/>
      <c r="AF255" s="117"/>
      <c r="AG255" s="117"/>
      <c r="AH255" s="117"/>
    </row>
    <row r="256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  <c r="AA256" s="117"/>
      <c r="AB256" s="117"/>
      <c r="AC256" s="117"/>
      <c r="AD256" s="117"/>
      <c r="AE256" s="117"/>
      <c r="AF256" s="117"/>
      <c r="AG256" s="117"/>
      <c r="AH256" s="117"/>
    </row>
    <row r="257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  <c r="AA257" s="117"/>
      <c r="AB257" s="117"/>
      <c r="AC257" s="117"/>
      <c r="AD257" s="117"/>
      <c r="AE257" s="117"/>
      <c r="AF257" s="117"/>
      <c r="AG257" s="117"/>
      <c r="AH257" s="117"/>
    </row>
    <row r="258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  <c r="AA258" s="117"/>
      <c r="AB258" s="117"/>
      <c r="AC258" s="117"/>
      <c r="AD258" s="117"/>
      <c r="AE258" s="117"/>
      <c r="AF258" s="117"/>
      <c r="AG258" s="117"/>
      <c r="AH258" s="117"/>
    </row>
    <row r="259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  <c r="AA259" s="117"/>
      <c r="AB259" s="117"/>
      <c r="AC259" s="117"/>
      <c r="AD259" s="117"/>
      <c r="AE259" s="117"/>
      <c r="AF259" s="117"/>
      <c r="AG259" s="117"/>
      <c r="AH259" s="117"/>
    </row>
    <row r="260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  <c r="AA260" s="117"/>
      <c r="AB260" s="117"/>
      <c r="AC260" s="117"/>
      <c r="AD260" s="117"/>
      <c r="AE260" s="117"/>
      <c r="AF260" s="117"/>
      <c r="AG260" s="117"/>
      <c r="AH260" s="117"/>
    </row>
    <row r="26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  <c r="AA261" s="117"/>
      <c r="AB261" s="117"/>
      <c r="AC261" s="117"/>
      <c r="AD261" s="117"/>
      <c r="AE261" s="117"/>
      <c r="AF261" s="117"/>
      <c r="AG261" s="117"/>
      <c r="AH261" s="117"/>
    </row>
    <row r="262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  <c r="AA262" s="117"/>
      <c r="AB262" s="117"/>
      <c r="AC262" s="117"/>
      <c r="AD262" s="117"/>
      <c r="AE262" s="117"/>
      <c r="AF262" s="117"/>
      <c r="AG262" s="117"/>
      <c r="AH262" s="117"/>
    </row>
    <row r="263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  <c r="AA263" s="117"/>
      <c r="AB263" s="117"/>
      <c r="AC263" s="117"/>
      <c r="AD263" s="117"/>
      <c r="AE263" s="117"/>
      <c r="AF263" s="117"/>
      <c r="AG263" s="117"/>
      <c r="AH263" s="117"/>
    </row>
    <row r="264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  <c r="AA264" s="117"/>
      <c r="AB264" s="117"/>
      <c r="AC264" s="117"/>
      <c r="AD264" s="117"/>
      <c r="AE264" s="117"/>
      <c r="AF264" s="117"/>
      <c r="AG264" s="117"/>
      <c r="AH264" s="117"/>
    </row>
    <row r="26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  <c r="AA265" s="117"/>
      <c r="AB265" s="117"/>
      <c r="AC265" s="117"/>
      <c r="AD265" s="117"/>
      <c r="AE265" s="117"/>
      <c r="AF265" s="117"/>
      <c r="AG265" s="117"/>
      <c r="AH265" s="117"/>
    </row>
    <row r="266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  <c r="AA266" s="117"/>
      <c r="AB266" s="117"/>
      <c r="AC266" s="117"/>
      <c r="AD266" s="117"/>
      <c r="AE266" s="117"/>
      <c r="AF266" s="117"/>
      <c r="AG266" s="117"/>
      <c r="AH266" s="117"/>
    </row>
    <row r="267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  <c r="AA267" s="117"/>
      <c r="AB267" s="117"/>
      <c r="AC267" s="117"/>
      <c r="AD267" s="117"/>
      <c r="AE267" s="117"/>
      <c r="AF267" s="117"/>
      <c r="AG267" s="117"/>
      <c r="AH267" s="117"/>
    </row>
    <row r="268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  <c r="AA268" s="117"/>
      <c r="AB268" s="117"/>
      <c r="AC268" s="117"/>
      <c r="AD268" s="117"/>
      <c r="AE268" s="117"/>
      <c r="AF268" s="117"/>
      <c r="AG268" s="117"/>
      <c r="AH268" s="117"/>
    </row>
    <row r="269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  <c r="AA269" s="117"/>
      <c r="AB269" s="117"/>
      <c r="AC269" s="117"/>
      <c r="AD269" s="117"/>
      <c r="AE269" s="117"/>
      <c r="AF269" s="117"/>
      <c r="AG269" s="117"/>
      <c r="AH269" s="117"/>
    </row>
    <row r="270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  <c r="AA270" s="117"/>
      <c r="AB270" s="117"/>
      <c r="AC270" s="117"/>
      <c r="AD270" s="117"/>
      <c r="AE270" s="117"/>
      <c r="AF270" s="117"/>
      <c r="AG270" s="117"/>
      <c r="AH270" s="117"/>
    </row>
    <row r="27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  <c r="AA271" s="117"/>
      <c r="AB271" s="117"/>
      <c r="AC271" s="117"/>
      <c r="AD271" s="117"/>
      <c r="AE271" s="117"/>
      <c r="AF271" s="117"/>
      <c r="AG271" s="117"/>
      <c r="AH271" s="117"/>
    </row>
    <row r="272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  <c r="AA272" s="117"/>
      <c r="AB272" s="117"/>
      <c r="AC272" s="117"/>
      <c r="AD272" s="117"/>
      <c r="AE272" s="117"/>
      <c r="AF272" s="117"/>
      <c r="AG272" s="117"/>
      <c r="AH272" s="117"/>
    </row>
    <row r="273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  <c r="AA273" s="117"/>
      <c r="AB273" s="117"/>
      <c r="AC273" s="117"/>
      <c r="AD273" s="117"/>
      <c r="AE273" s="117"/>
      <c r="AF273" s="117"/>
      <c r="AG273" s="117"/>
      <c r="AH273" s="117"/>
    </row>
    <row r="274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  <c r="AA274" s="117"/>
      <c r="AB274" s="117"/>
      <c r="AC274" s="117"/>
      <c r="AD274" s="117"/>
      <c r="AE274" s="117"/>
      <c r="AF274" s="117"/>
      <c r="AG274" s="117"/>
      <c r="AH274" s="117"/>
    </row>
    <row r="27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  <c r="AA275" s="117"/>
      <c r="AB275" s="117"/>
      <c r="AC275" s="117"/>
      <c r="AD275" s="117"/>
      <c r="AE275" s="117"/>
      <c r="AF275" s="117"/>
      <c r="AG275" s="117"/>
      <c r="AH275" s="117"/>
    </row>
    <row r="276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  <c r="AA276" s="117"/>
      <c r="AB276" s="117"/>
      <c r="AC276" s="117"/>
      <c r="AD276" s="117"/>
      <c r="AE276" s="117"/>
      <c r="AF276" s="117"/>
      <c r="AG276" s="117"/>
      <c r="AH276" s="117"/>
    </row>
    <row r="277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  <c r="AA277" s="117"/>
      <c r="AB277" s="117"/>
      <c r="AC277" s="117"/>
      <c r="AD277" s="117"/>
      <c r="AE277" s="117"/>
      <c r="AF277" s="117"/>
      <c r="AG277" s="117"/>
      <c r="AH277" s="117"/>
    </row>
    <row r="278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  <c r="AA278" s="117"/>
      <c r="AB278" s="117"/>
      <c r="AC278" s="117"/>
      <c r="AD278" s="117"/>
      <c r="AE278" s="117"/>
      <c r="AF278" s="117"/>
      <c r="AG278" s="117"/>
      <c r="AH278" s="117"/>
    </row>
    <row r="279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  <c r="AA279" s="117"/>
      <c r="AB279" s="117"/>
      <c r="AC279" s="117"/>
      <c r="AD279" s="117"/>
      <c r="AE279" s="117"/>
      <c r="AF279" s="117"/>
      <c r="AG279" s="117"/>
      <c r="AH279" s="117"/>
    </row>
    <row r="280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  <c r="AA280" s="117"/>
      <c r="AB280" s="117"/>
      <c r="AC280" s="117"/>
      <c r="AD280" s="117"/>
      <c r="AE280" s="117"/>
      <c r="AF280" s="117"/>
      <c r="AG280" s="117"/>
      <c r="AH280" s="117"/>
    </row>
    <row r="28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  <c r="AA281" s="117"/>
      <c r="AB281" s="117"/>
      <c r="AC281" s="117"/>
      <c r="AD281" s="117"/>
      <c r="AE281" s="117"/>
      <c r="AF281" s="117"/>
      <c r="AG281" s="117"/>
      <c r="AH281" s="117"/>
    </row>
    <row r="282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  <c r="AA282" s="117"/>
      <c r="AB282" s="117"/>
      <c r="AC282" s="117"/>
      <c r="AD282" s="117"/>
      <c r="AE282" s="117"/>
      <c r="AF282" s="117"/>
      <c r="AG282" s="117"/>
      <c r="AH282" s="117"/>
    </row>
    <row r="283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  <c r="AA283" s="117"/>
      <c r="AB283" s="117"/>
      <c r="AC283" s="117"/>
      <c r="AD283" s="117"/>
      <c r="AE283" s="117"/>
      <c r="AF283" s="117"/>
      <c r="AG283" s="117"/>
      <c r="AH283" s="117"/>
    </row>
    <row r="284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  <c r="AA284" s="117"/>
      <c r="AB284" s="117"/>
      <c r="AC284" s="117"/>
      <c r="AD284" s="117"/>
      <c r="AE284" s="117"/>
      <c r="AF284" s="117"/>
      <c r="AG284" s="117"/>
      <c r="AH284" s="117"/>
    </row>
    <row r="285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  <c r="AA285" s="117"/>
      <c r="AB285" s="117"/>
      <c r="AC285" s="117"/>
      <c r="AD285" s="117"/>
      <c r="AE285" s="117"/>
      <c r="AF285" s="117"/>
      <c r="AG285" s="117"/>
      <c r="AH285" s="117"/>
    </row>
    <row r="286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  <c r="AA286" s="117"/>
      <c r="AB286" s="117"/>
      <c r="AC286" s="117"/>
      <c r="AD286" s="117"/>
      <c r="AE286" s="117"/>
      <c r="AF286" s="117"/>
      <c r="AG286" s="117"/>
      <c r="AH286" s="117"/>
    </row>
    <row r="287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  <c r="AA287" s="117"/>
      <c r="AB287" s="117"/>
      <c r="AC287" s="117"/>
      <c r="AD287" s="117"/>
      <c r="AE287" s="117"/>
      <c r="AF287" s="117"/>
      <c r="AG287" s="117"/>
      <c r="AH287" s="117"/>
    </row>
    <row r="288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117"/>
      <c r="AB288" s="117"/>
      <c r="AC288" s="117"/>
      <c r="AD288" s="117"/>
      <c r="AE288" s="117"/>
      <c r="AF288" s="117"/>
      <c r="AG288" s="117"/>
      <c r="AH288" s="117"/>
    </row>
    <row r="289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  <c r="AA289" s="117"/>
      <c r="AB289" s="117"/>
      <c r="AC289" s="117"/>
      <c r="AD289" s="117"/>
      <c r="AE289" s="117"/>
      <c r="AF289" s="117"/>
      <c r="AG289" s="117"/>
      <c r="AH289" s="117"/>
    </row>
    <row r="290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  <c r="AA290" s="117"/>
      <c r="AB290" s="117"/>
      <c r="AC290" s="117"/>
      <c r="AD290" s="117"/>
      <c r="AE290" s="117"/>
      <c r="AF290" s="117"/>
      <c r="AG290" s="117"/>
      <c r="AH290" s="117"/>
    </row>
    <row r="291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  <c r="AA291" s="117"/>
      <c r="AB291" s="117"/>
      <c r="AC291" s="117"/>
      <c r="AD291" s="117"/>
      <c r="AE291" s="117"/>
      <c r="AF291" s="117"/>
      <c r="AG291" s="117"/>
      <c r="AH291" s="117"/>
    </row>
    <row r="292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  <c r="AA292" s="117"/>
      <c r="AB292" s="117"/>
      <c r="AC292" s="117"/>
      <c r="AD292" s="117"/>
      <c r="AE292" s="117"/>
      <c r="AF292" s="117"/>
      <c r="AG292" s="117"/>
      <c r="AH292" s="117"/>
    </row>
    <row r="293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  <c r="AA293" s="117"/>
      <c r="AB293" s="117"/>
      <c r="AC293" s="117"/>
      <c r="AD293" s="117"/>
      <c r="AE293" s="117"/>
      <c r="AF293" s="117"/>
      <c r="AG293" s="117"/>
      <c r="AH293" s="117"/>
    </row>
    <row r="294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  <c r="AA294" s="117"/>
      <c r="AB294" s="117"/>
      <c r="AC294" s="117"/>
      <c r="AD294" s="117"/>
      <c r="AE294" s="117"/>
      <c r="AF294" s="117"/>
      <c r="AG294" s="117"/>
      <c r="AH294" s="117"/>
    </row>
    <row r="295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  <c r="AA295" s="117"/>
      <c r="AB295" s="117"/>
      <c r="AC295" s="117"/>
      <c r="AD295" s="117"/>
      <c r="AE295" s="117"/>
      <c r="AF295" s="117"/>
      <c r="AG295" s="117"/>
      <c r="AH295" s="117"/>
    </row>
    <row r="296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  <c r="AA296" s="117"/>
      <c r="AB296" s="117"/>
      <c r="AC296" s="117"/>
      <c r="AD296" s="117"/>
      <c r="AE296" s="117"/>
      <c r="AF296" s="117"/>
      <c r="AG296" s="117"/>
      <c r="AH296" s="117"/>
    </row>
    <row r="297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  <c r="AA297" s="117"/>
      <c r="AB297" s="117"/>
      <c r="AC297" s="117"/>
      <c r="AD297" s="117"/>
      <c r="AE297" s="117"/>
      <c r="AF297" s="117"/>
      <c r="AG297" s="117"/>
      <c r="AH297" s="117"/>
    </row>
    <row r="298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  <c r="AA298" s="117"/>
      <c r="AB298" s="117"/>
      <c r="AC298" s="117"/>
      <c r="AD298" s="117"/>
      <c r="AE298" s="117"/>
      <c r="AF298" s="117"/>
      <c r="AG298" s="117"/>
      <c r="AH298" s="117"/>
    </row>
    <row r="299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  <c r="AA299" s="117"/>
      <c r="AB299" s="117"/>
      <c r="AC299" s="117"/>
      <c r="AD299" s="117"/>
      <c r="AE299" s="117"/>
      <c r="AF299" s="117"/>
      <c r="AG299" s="117"/>
      <c r="AH299" s="117"/>
    </row>
    <row r="300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  <c r="AA300" s="117"/>
      <c r="AB300" s="117"/>
      <c r="AC300" s="117"/>
      <c r="AD300" s="117"/>
      <c r="AE300" s="117"/>
      <c r="AF300" s="117"/>
      <c r="AG300" s="117"/>
      <c r="AH300" s="117"/>
    </row>
    <row r="301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  <c r="AA301" s="117"/>
      <c r="AB301" s="117"/>
      <c r="AC301" s="117"/>
      <c r="AD301" s="117"/>
      <c r="AE301" s="117"/>
      <c r="AF301" s="117"/>
      <c r="AG301" s="117"/>
      <c r="AH301" s="117"/>
    </row>
    <row r="302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  <c r="AA302" s="117"/>
      <c r="AB302" s="117"/>
      <c r="AC302" s="117"/>
      <c r="AD302" s="117"/>
      <c r="AE302" s="117"/>
      <c r="AF302" s="117"/>
      <c r="AG302" s="117"/>
      <c r="AH302" s="117"/>
    </row>
    <row r="303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  <c r="AA303" s="117"/>
      <c r="AB303" s="117"/>
      <c r="AC303" s="117"/>
      <c r="AD303" s="117"/>
      <c r="AE303" s="117"/>
      <c r="AF303" s="117"/>
      <c r="AG303" s="117"/>
      <c r="AH303" s="117"/>
    </row>
    <row r="304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  <c r="AA304" s="117"/>
      <c r="AB304" s="117"/>
      <c r="AC304" s="117"/>
      <c r="AD304" s="117"/>
      <c r="AE304" s="117"/>
      <c r="AF304" s="117"/>
      <c r="AG304" s="117"/>
      <c r="AH304" s="117"/>
    </row>
    <row r="305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  <c r="AA305" s="117"/>
      <c r="AB305" s="117"/>
      <c r="AC305" s="117"/>
      <c r="AD305" s="117"/>
      <c r="AE305" s="117"/>
      <c r="AF305" s="117"/>
      <c r="AG305" s="117"/>
      <c r="AH305" s="117"/>
    </row>
    <row r="306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  <c r="AA306" s="117"/>
      <c r="AB306" s="117"/>
      <c r="AC306" s="117"/>
      <c r="AD306" s="117"/>
      <c r="AE306" s="117"/>
      <c r="AF306" s="117"/>
      <c r="AG306" s="117"/>
      <c r="AH306" s="117"/>
    </row>
    <row r="307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  <c r="AA307" s="117"/>
      <c r="AB307" s="117"/>
      <c r="AC307" s="117"/>
      <c r="AD307" s="117"/>
      <c r="AE307" s="117"/>
      <c r="AF307" s="117"/>
      <c r="AG307" s="117"/>
      <c r="AH307" s="117"/>
    </row>
    <row r="308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  <c r="AA308" s="117"/>
      <c r="AB308" s="117"/>
      <c r="AC308" s="117"/>
      <c r="AD308" s="117"/>
      <c r="AE308" s="117"/>
      <c r="AF308" s="117"/>
      <c r="AG308" s="117"/>
      <c r="AH308" s="117"/>
    </row>
    <row r="309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  <c r="AA309" s="117"/>
      <c r="AB309" s="117"/>
      <c r="AC309" s="117"/>
      <c r="AD309" s="117"/>
      <c r="AE309" s="117"/>
      <c r="AF309" s="117"/>
      <c r="AG309" s="117"/>
      <c r="AH309" s="117"/>
    </row>
    <row r="310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  <c r="AA310" s="117"/>
      <c r="AB310" s="117"/>
      <c r="AC310" s="117"/>
      <c r="AD310" s="117"/>
      <c r="AE310" s="117"/>
      <c r="AF310" s="117"/>
      <c r="AG310" s="117"/>
      <c r="AH310" s="117"/>
    </row>
    <row r="311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  <c r="AA311" s="117"/>
      <c r="AB311" s="117"/>
      <c r="AC311" s="117"/>
      <c r="AD311" s="117"/>
      <c r="AE311" s="117"/>
      <c r="AF311" s="117"/>
      <c r="AG311" s="117"/>
      <c r="AH311" s="117"/>
    </row>
    <row r="312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  <c r="AA312" s="117"/>
      <c r="AB312" s="117"/>
      <c r="AC312" s="117"/>
      <c r="AD312" s="117"/>
      <c r="AE312" s="117"/>
      <c r="AF312" s="117"/>
      <c r="AG312" s="117"/>
      <c r="AH312" s="117"/>
    </row>
    <row r="313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  <c r="AA313" s="117"/>
      <c r="AB313" s="117"/>
      <c r="AC313" s="117"/>
      <c r="AD313" s="117"/>
      <c r="AE313" s="117"/>
      <c r="AF313" s="117"/>
      <c r="AG313" s="117"/>
      <c r="AH313" s="117"/>
    </row>
    <row r="314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  <c r="AA314" s="117"/>
      <c r="AB314" s="117"/>
      <c r="AC314" s="117"/>
      <c r="AD314" s="117"/>
      <c r="AE314" s="117"/>
      <c r="AF314" s="117"/>
      <c r="AG314" s="117"/>
      <c r="AH314" s="117"/>
    </row>
    <row r="315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  <c r="AA315" s="117"/>
      <c r="AB315" s="117"/>
      <c r="AC315" s="117"/>
      <c r="AD315" s="117"/>
      <c r="AE315" s="117"/>
      <c r="AF315" s="117"/>
      <c r="AG315" s="117"/>
      <c r="AH315" s="117"/>
    </row>
    <row r="316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  <c r="AA316" s="117"/>
      <c r="AB316" s="117"/>
      <c r="AC316" s="117"/>
      <c r="AD316" s="117"/>
      <c r="AE316" s="117"/>
      <c r="AF316" s="117"/>
      <c r="AG316" s="117"/>
      <c r="AH316" s="117"/>
    </row>
    <row r="317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  <c r="AA317" s="117"/>
      <c r="AB317" s="117"/>
      <c r="AC317" s="117"/>
      <c r="AD317" s="117"/>
      <c r="AE317" s="117"/>
      <c r="AF317" s="117"/>
      <c r="AG317" s="117"/>
      <c r="AH317" s="117"/>
    </row>
    <row r="318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  <c r="AA318" s="117"/>
      <c r="AB318" s="117"/>
      <c r="AC318" s="117"/>
      <c r="AD318" s="117"/>
      <c r="AE318" s="117"/>
      <c r="AF318" s="117"/>
      <c r="AG318" s="117"/>
      <c r="AH318" s="117"/>
    </row>
    <row r="319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  <c r="AA319" s="117"/>
      <c r="AB319" s="117"/>
      <c r="AC319" s="117"/>
      <c r="AD319" s="117"/>
      <c r="AE319" s="117"/>
      <c r="AF319" s="117"/>
      <c r="AG319" s="117"/>
      <c r="AH319" s="117"/>
    </row>
    <row r="320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  <c r="AA320" s="117"/>
      <c r="AB320" s="117"/>
      <c r="AC320" s="117"/>
      <c r="AD320" s="117"/>
      <c r="AE320" s="117"/>
      <c r="AF320" s="117"/>
      <c r="AG320" s="117"/>
      <c r="AH320" s="117"/>
    </row>
    <row r="32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  <c r="AA321" s="117"/>
      <c r="AB321" s="117"/>
      <c r="AC321" s="117"/>
      <c r="AD321" s="117"/>
      <c r="AE321" s="117"/>
      <c r="AF321" s="117"/>
      <c r="AG321" s="117"/>
      <c r="AH321" s="117"/>
    </row>
    <row r="322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  <c r="AA322" s="117"/>
      <c r="AB322" s="117"/>
      <c r="AC322" s="117"/>
      <c r="AD322" s="117"/>
      <c r="AE322" s="117"/>
      <c r="AF322" s="117"/>
      <c r="AG322" s="117"/>
      <c r="AH322" s="117"/>
    </row>
    <row r="323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  <c r="AA323" s="117"/>
      <c r="AB323" s="117"/>
      <c r="AC323" s="117"/>
      <c r="AD323" s="117"/>
      <c r="AE323" s="117"/>
      <c r="AF323" s="117"/>
      <c r="AG323" s="117"/>
      <c r="AH323" s="117"/>
    </row>
    <row r="324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  <c r="AA324" s="117"/>
      <c r="AB324" s="117"/>
      <c r="AC324" s="117"/>
      <c r="AD324" s="117"/>
      <c r="AE324" s="117"/>
      <c r="AF324" s="117"/>
      <c r="AG324" s="117"/>
      <c r="AH324" s="117"/>
    </row>
    <row r="3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  <c r="AA325" s="117"/>
      <c r="AB325" s="117"/>
      <c r="AC325" s="117"/>
      <c r="AD325" s="117"/>
      <c r="AE325" s="117"/>
      <c r="AF325" s="117"/>
      <c r="AG325" s="117"/>
      <c r="AH325" s="117"/>
    </row>
    <row r="326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117"/>
      <c r="AB326" s="117"/>
      <c r="AC326" s="117"/>
      <c r="AD326" s="117"/>
      <c r="AE326" s="117"/>
      <c r="AF326" s="117"/>
      <c r="AG326" s="117"/>
      <c r="AH326" s="117"/>
    </row>
    <row r="327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  <c r="AA327" s="117"/>
      <c r="AB327" s="117"/>
      <c r="AC327" s="117"/>
      <c r="AD327" s="117"/>
      <c r="AE327" s="117"/>
      <c r="AF327" s="117"/>
      <c r="AG327" s="117"/>
      <c r="AH327" s="117"/>
    </row>
    <row r="328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  <c r="AA328" s="117"/>
      <c r="AB328" s="117"/>
      <c r="AC328" s="117"/>
      <c r="AD328" s="117"/>
      <c r="AE328" s="117"/>
      <c r="AF328" s="117"/>
      <c r="AG328" s="117"/>
      <c r="AH328" s="117"/>
    </row>
    <row r="329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  <c r="AA329" s="117"/>
      <c r="AB329" s="117"/>
      <c r="AC329" s="117"/>
      <c r="AD329" s="117"/>
      <c r="AE329" s="117"/>
      <c r="AF329" s="117"/>
      <c r="AG329" s="117"/>
      <c r="AH329" s="117"/>
    </row>
    <row r="330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  <c r="AA330" s="117"/>
      <c r="AB330" s="117"/>
      <c r="AC330" s="117"/>
      <c r="AD330" s="117"/>
      <c r="AE330" s="117"/>
      <c r="AF330" s="117"/>
      <c r="AG330" s="117"/>
      <c r="AH330" s="117"/>
    </row>
    <row r="33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  <c r="AA331" s="117"/>
      <c r="AB331" s="117"/>
      <c r="AC331" s="117"/>
      <c r="AD331" s="117"/>
      <c r="AE331" s="117"/>
      <c r="AF331" s="117"/>
      <c r="AG331" s="117"/>
      <c r="AH331" s="117"/>
    </row>
    <row r="332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  <c r="AA332" s="117"/>
      <c r="AB332" s="117"/>
      <c r="AC332" s="117"/>
      <c r="AD332" s="117"/>
      <c r="AE332" s="117"/>
      <c r="AF332" s="117"/>
      <c r="AG332" s="117"/>
      <c r="AH332" s="117"/>
    </row>
    <row r="333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  <c r="AA333" s="117"/>
      <c r="AB333" s="117"/>
      <c r="AC333" s="117"/>
      <c r="AD333" s="117"/>
      <c r="AE333" s="117"/>
      <c r="AF333" s="117"/>
      <c r="AG333" s="117"/>
      <c r="AH333" s="117"/>
    </row>
    <row r="334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  <c r="AA334" s="117"/>
      <c r="AB334" s="117"/>
      <c r="AC334" s="117"/>
      <c r="AD334" s="117"/>
      <c r="AE334" s="117"/>
      <c r="AF334" s="117"/>
      <c r="AG334" s="117"/>
      <c r="AH334" s="117"/>
    </row>
    <row r="33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  <c r="AA335" s="117"/>
      <c r="AB335" s="117"/>
      <c r="AC335" s="117"/>
      <c r="AD335" s="117"/>
      <c r="AE335" s="117"/>
      <c r="AF335" s="117"/>
      <c r="AG335" s="117"/>
      <c r="AH335" s="117"/>
    </row>
    <row r="336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  <c r="AA336" s="117"/>
      <c r="AB336" s="117"/>
      <c r="AC336" s="117"/>
      <c r="AD336" s="117"/>
      <c r="AE336" s="117"/>
      <c r="AF336" s="117"/>
      <c r="AG336" s="117"/>
      <c r="AH336" s="117"/>
    </row>
    <row r="337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  <c r="AA337" s="117"/>
      <c r="AB337" s="117"/>
      <c r="AC337" s="117"/>
      <c r="AD337" s="117"/>
      <c r="AE337" s="117"/>
      <c r="AF337" s="117"/>
      <c r="AG337" s="117"/>
      <c r="AH337" s="117"/>
    </row>
    <row r="338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  <c r="AA338" s="117"/>
      <c r="AB338" s="117"/>
      <c r="AC338" s="117"/>
      <c r="AD338" s="117"/>
      <c r="AE338" s="117"/>
      <c r="AF338" s="117"/>
      <c r="AG338" s="117"/>
      <c r="AH338" s="117"/>
    </row>
    <row r="339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  <c r="AA339" s="117"/>
      <c r="AB339" s="117"/>
      <c r="AC339" s="117"/>
      <c r="AD339" s="117"/>
      <c r="AE339" s="117"/>
      <c r="AF339" s="117"/>
      <c r="AG339" s="117"/>
      <c r="AH339" s="117"/>
    </row>
    <row r="340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  <c r="AA340" s="117"/>
      <c r="AB340" s="117"/>
      <c r="AC340" s="117"/>
      <c r="AD340" s="117"/>
      <c r="AE340" s="117"/>
      <c r="AF340" s="117"/>
      <c r="AG340" s="117"/>
      <c r="AH340" s="117"/>
    </row>
    <row r="34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  <c r="AA341" s="117"/>
      <c r="AB341" s="117"/>
      <c r="AC341" s="117"/>
      <c r="AD341" s="117"/>
      <c r="AE341" s="117"/>
      <c r="AF341" s="117"/>
      <c r="AG341" s="117"/>
      <c r="AH341" s="117"/>
    </row>
    <row r="342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  <c r="AA342" s="117"/>
      <c r="AB342" s="117"/>
      <c r="AC342" s="117"/>
      <c r="AD342" s="117"/>
      <c r="AE342" s="117"/>
      <c r="AF342" s="117"/>
      <c r="AG342" s="117"/>
      <c r="AH342" s="117"/>
    </row>
    <row r="343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  <c r="AA343" s="117"/>
      <c r="AB343" s="117"/>
      <c r="AC343" s="117"/>
      <c r="AD343" s="117"/>
      <c r="AE343" s="117"/>
      <c r="AF343" s="117"/>
      <c r="AG343" s="117"/>
      <c r="AH343" s="117"/>
    </row>
    <row r="344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  <c r="AA344" s="117"/>
      <c r="AB344" s="117"/>
      <c r="AC344" s="117"/>
      <c r="AD344" s="117"/>
      <c r="AE344" s="117"/>
      <c r="AF344" s="117"/>
      <c r="AG344" s="117"/>
      <c r="AH344" s="117"/>
    </row>
    <row r="34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  <c r="AA345" s="117"/>
      <c r="AB345" s="117"/>
      <c r="AC345" s="117"/>
      <c r="AD345" s="117"/>
      <c r="AE345" s="117"/>
      <c r="AF345" s="117"/>
      <c r="AG345" s="117"/>
      <c r="AH345" s="117"/>
    </row>
    <row r="346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  <c r="AA346" s="117"/>
      <c r="AB346" s="117"/>
      <c r="AC346" s="117"/>
      <c r="AD346" s="117"/>
      <c r="AE346" s="117"/>
      <c r="AF346" s="117"/>
      <c r="AG346" s="117"/>
      <c r="AH346" s="117"/>
    </row>
    <row r="347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  <c r="AA347" s="117"/>
      <c r="AB347" s="117"/>
      <c r="AC347" s="117"/>
      <c r="AD347" s="117"/>
      <c r="AE347" s="117"/>
      <c r="AF347" s="117"/>
      <c r="AG347" s="117"/>
      <c r="AH347" s="117"/>
    </row>
    <row r="348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  <c r="AA348" s="117"/>
      <c r="AB348" s="117"/>
      <c r="AC348" s="117"/>
      <c r="AD348" s="117"/>
      <c r="AE348" s="117"/>
      <c r="AF348" s="117"/>
      <c r="AG348" s="117"/>
      <c r="AH348" s="117"/>
    </row>
    <row r="349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  <c r="AA349" s="117"/>
      <c r="AB349" s="117"/>
      <c r="AC349" s="117"/>
      <c r="AD349" s="117"/>
      <c r="AE349" s="117"/>
      <c r="AF349" s="117"/>
      <c r="AG349" s="117"/>
      <c r="AH349" s="117"/>
    </row>
    <row r="350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  <c r="AA350" s="117"/>
      <c r="AB350" s="117"/>
      <c r="AC350" s="117"/>
      <c r="AD350" s="117"/>
      <c r="AE350" s="117"/>
      <c r="AF350" s="117"/>
      <c r="AG350" s="117"/>
      <c r="AH350" s="117"/>
    </row>
    <row r="35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  <c r="AA351" s="117"/>
      <c r="AB351" s="117"/>
      <c r="AC351" s="117"/>
      <c r="AD351" s="117"/>
      <c r="AE351" s="117"/>
      <c r="AF351" s="117"/>
      <c r="AG351" s="117"/>
      <c r="AH351" s="117"/>
    </row>
    <row r="352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  <c r="AA352" s="117"/>
      <c r="AB352" s="117"/>
      <c r="AC352" s="117"/>
      <c r="AD352" s="117"/>
      <c r="AE352" s="117"/>
      <c r="AF352" s="117"/>
      <c r="AG352" s="117"/>
      <c r="AH352" s="117"/>
    </row>
    <row r="353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  <c r="AA353" s="117"/>
      <c r="AB353" s="117"/>
      <c r="AC353" s="117"/>
      <c r="AD353" s="117"/>
      <c r="AE353" s="117"/>
      <c r="AF353" s="117"/>
      <c r="AG353" s="117"/>
      <c r="AH353" s="117"/>
    </row>
    <row r="354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  <c r="AA354" s="117"/>
      <c r="AB354" s="117"/>
      <c r="AC354" s="117"/>
      <c r="AD354" s="117"/>
      <c r="AE354" s="117"/>
      <c r="AF354" s="117"/>
      <c r="AG354" s="117"/>
      <c r="AH354" s="117"/>
    </row>
    <row r="35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  <c r="AA355" s="117"/>
      <c r="AB355" s="117"/>
      <c r="AC355" s="117"/>
      <c r="AD355" s="117"/>
      <c r="AE355" s="117"/>
      <c r="AF355" s="117"/>
      <c r="AG355" s="117"/>
      <c r="AH355" s="117"/>
    </row>
    <row r="356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  <c r="AA356" s="117"/>
      <c r="AB356" s="117"/>
      <c r="AC356" s="117"/>
      <c r="AD356" s="117"/>
      <c r="AE356" s="117"/>
      <c r="AF356" s="117"/>
      <c r="AG356" s="117"/>
      <c r="AH356" s="117"/>
    </row>
    <row r="357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  <c r="AA357" s="117"/>
      <c r="AB357" s="117"/>
      <c r="AC357" s="117"/>
      <c r="AD357" s="117"/>
      <c r="AE357" s="117"/>
      <c r="AF357" s="117"/>
      <c r="AG357" s="117"/>
      <c r="AH357" s="117"/>
    </row>
    <row r="358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  <c r="AA358" s="117"/>
      <c r="AB358" s="117"/>
      <c r="AC358" s="117"/>
      <c r="AD358" s="117"/>
      <c r="AE358" s="117"/>
      <c r="AF358" s="117"/>
      <c r="AG358" s="117"/>
      <c r="AH358" s="117"/>
    </row>
    <row r="359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  <c r="AA359" s="117"/>
      <c r="AB359" s="117"/>
      <c r="AC359" s="117"/>
      <c r="AD359" s="117"/>
      <c r="AE359" s="117"/>
      <c r="AF359" s="117"/>
      <c r="AG359" s="117"/>
      <c r="AH359" s="117"/>
    </row>
    <row r="360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  <c r="AA360" s="117"/>
      <c r="AB360" s="117"/>
      <c r="AC360" s="117"/>
      <c r="AD360" s="117"/>
      <c r="AE360" s="117"/>
      <c r="AF360" s="117"/>
      <c r="AG360" s="117"/>
      <c r="AH360" s="117"/>
    </row>
    <row r="36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  <c r="AA361" s="117"/>
      <c r="AB361" s="117"/>
      <c r="AC361" s="117"/>
      <c r="AD361" s="117"/>
      <c r="AE361" s="117"/>
      <c r="AF361" s="117"/>
      <c r="AG361" s="117"/>
      <c r="AH361" s="117"/>
    </row>
    <row r="362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  <c r="AA362" s="117"/>
      <c r="AB362" s="117"/>
      <c r="AC362" s="117"/>
      <c r="AD362" s="117"/>
      <c r="AE362" s="117"/>
      <c r="AF362" s="117"/>
      <c r="AG362" s="117"/>
      <c r="AH362" s="117"/>
    </row>
    <row r="363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  <c r="AA363" s="117"/>
      <c r="AB363" s="117"/>
      <c r="AC363" s="117"/>
      <c r="AD363" s="117"/>
      <c r="AE363" s="117"/>
      <c r="AF363" s="117"/>
      <c r="AG363" s="117"/>
      <c r="AH363" s="117"/>
    </row>
    <row r="364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117"/>
      <c r="AB364" s="117"/>
      <c r="AC364" s="117"/>
      <c r="AD364" s="117"/>
      <c r="AE364" s="117"/>
      <c r="AF364" s="117"/>
      <c r="AG364" s="117"/>
      <c r="AH364" s="117"/>
    </row>
    <row r="36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  <c r="AA365" s="117"/>
      <c r="AB365" s="117"/>
      <c r="AC365" s="117"/>
      <c r="AD365" s="117"/>
      <c r="AE365" s="117"/>
      <c r="AF365" s="117"/>
      <c r="AG365" s="117"/>
      <c r="AH365" s="117"/>
    </row>
    <row r="366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  <c r="AA366" s="117"/>
      <c r="AB366" s="117"/>
      <c r="AC366" s="117"/>
      <c r="AD366" s="117"/>
      <c r="AE366" s="117"/>
      <c r="AF366" s="117"/>
      <c r="AG366" s="117"/>
      <c r="AH366" s="117"/>
    </row>
    <row r="367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  <c r="AA367" s="117"/>
      <c r="AB367" s="117"/>
      <c r="AC367" s="117"/>
      <c r="AD367" s="117"/>
      <c r="AE367" s="117"/>
      <c r="AF367" s="117"/>
      <c r="AG367" s="117"/>
      <c r="AH367" s="117"/>
    </row>
    <row r="368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  <c r="AA368" s="117"/>
      <c r="AB368" s="117"/>
      <c r="AC368" s="117"/>
      <c r="AD368" s="117"/>
      <c r="AE368" s="117"/>
      <c r="AF368" s="117"/>
      <c r="AG368" s="117"/>
      <c r="AH368" s="117"/>
    </row>
    <row r="369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  <c r="AA369" s="117"/>
      <c r="AB369" s="117"/>
      <c r="AC369" s="117"/>
      <c r="AD369" s="117"/>
      <c r="AE369" s="117"/>
      <c r="AF369" s="117"/>
      <c r="AG369" s="117"/>
      <c r="AH369" s="117"/>
    </row>
    <row r="370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  <c r="AA370" s="117"/>
      <c r="AB370" s="117"/>
      <c r="AC370" s="117"/>
      <c r="AD370" s="117"/>
      <c r="AE370" s="117"/>
      <c r="AF370" s="117"/>
      <c r="AG370" s="117"/>
      <c r="AH370" s="117"/>
    </row>
    <row r="37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  <c r="AA371" s="117"/>
      <c r="AB371" s="117"/>
      <c r="AC371" s="117"/>
      <c r="AD371" s="117"/>
      <c r="AE371" s="117"/>
      <c r="AF371" s="117"/>
      <c r="AG371" s="117"/>
      <c r="AH371" s="117"/>
    </row>
    <row r="372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  <c r="AA372" s="117"/>
      <c r="AB372" s="117"/>
      <c r="AC372" s="117"/>
      <c r="AD372" s="117"/>
      <c r="AE372" s="117"/>
      <c r="AF372" s="117"/>
      <c r="AG372" s="117"/>
      <c r="AH372" s="117"/>
    </row>
    <row r="373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  <c r="AA373" s="117"/>
      <c r="AB373" s="117"/>
      <c r="AC373" s="117"/>
      <c r="AD373" s="117"/>
      <c r="AE373" s="117"/>
      <c r="AF373" s="117"/>
      <c r="AG373" s="117"/>
      <c r="AH373" s="117"/>
    </row>
    <row r="374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  <c r="AA374" s="117"/>
      <c r="AB374" s="117"/>
      <c r="AC374" s="117"/>
      <c r="AD374" s="117"/>
      <c r="AE374" s="117"/>
      <c r="AF374" s="117"/>
      <c r="AG374" s="117"/>
      <c r="AH374" s="117"/>
    </row>
    <row r="37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  <c r="AB375" s="117"/>
      <c r="AC375" s="117"/>
      <c r="AD375" s="117"/>
      <c r="AE375" s="117"/>
      <c r="AF375" s="117"/>
      <c r="AG375" s="117"/>
      <c r="AH375" s="117"/>
    </row>
    <row r="376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  <c r="AB376" s="117"/>
      <c r="AC376" s="117"/>
      <c r="AD376" s="117"/>
      <c r="AE376" s="117"/>
      <c r="AF376" s="117"/>
      <c r="AG376" s="117"/>
      <c r="AH376" s="117"/>
    </row>
    <row r="377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  <c r="AB377" s="117"/>
      <c r="AC377" s="117"/>
      <c r="AD377" s="117"/>
      <c r="AE377" s="117"/>
      <c r="AF377" s="117"/>
      <c r="AG377" s="117"/>
      <c r="AH377" s="117"/>
    </row>
    <row r="378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  <c r="AB378" s="117"/>
      <c r="AC378" s="117"/>
      <c r="AD378" s="117"/>
      <c r="AE378" s="117"/>
      <c r="AF378" s="117"/>
      <c r="AG378" s="117"/>
      <c r="AH378" s="117"/>
    </row>
    <row r="379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  <c r="AB379" s="117"/>
      <c r="AC379" s="117"/>
      <c r="AD379" s="117"/>
      <c r="AE379" s="117"/>
      <c r="AF379" s="117"/>
      <c r="AG379" s="117"/>
      <c r="AH379" s="117"/>
    </row>
    <row r="380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  <c r="AB380" s="117"/>
      <c r="AC380" s="117"/>
      <c r="AD380" s="117"/>
      <c r="AE380" s="117"/>
      <c r="AF380" s="117"/>
      <c r="AG380" s="117"/>
      <c r="AH380" s="117"/>
    </row>
    <row r="38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  <c r="AB381" s="117"/>
      <c r="AC381" s="117"/>
      <c r="AD381" s="117"/>
      <c r="AE381" s="117"/>
      <c r="AF381" s="117"/>
      <c r="AG381" s="117"/>
      <c r="AH381" s="117"/>
    </row>
    <row r="382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  <c r="AB382" s="117"/>
      <c r="AC382" s="117"/>
      <c r="AD382" s="117"/>
      <c r="AE382" s="117"/>
      <c r="AF382" s="117"/>
      <c r="AG382" s="117"/>
      <c r="AH382" s="117"/>
    </row>
    <row r="383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  <c r="AB383" s="117"/>
      <c r="AC383" s="117"/>
      <c r="AD383" s="117"/>
      <c r="AE383" s="117"/>
      <c r="AF383" s="117"/>
      <c r="AG383" s="117"/>
      <c r="AH383" s="117"/>
    </row>
    <row r="384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  <c r="AB384" s="117"/>
      <c r="AC384" s="117"/>
      <c r="AD384" s="117"/>
      <c r="AE384" s="117"/>
      <c r="AF384" s="117"/>
      <c r="AG384" s="117"/>
      <c r="AH384" s="117"/>
    </row>
    <row r="38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  <c r="AB385" s="117"/>
      <c r="AC385" s="117"/>
      <c r="AD385" s="117"/>
      <c r="AE385" s="117"/>
      <c r="AF385" s="117"/>
      <c r="AG385" s="117"/>
      <c r="AH385" s="117"/>
    </row>
    <row r="386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  <c r="AB386" s="117"/>
      <c r="AC386" s="117"/>
      <c r="AD386" s="117"/>
      <c r="AE386" s="117"/>
      <c r="AF386" s="117"/>
      <c r="AG386" s="117"/>
      <c r="AH386" s="117"/>
    </row>
    <row r="387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  <c r="AB387" s="117"/>
      <c r="AC387" s="117"/>
      <c r="AD387" s="117"/>
      <c r="AE387" s="117"/>
      <c r="AF387" s="117"/>
      <c r="AG387" s="117"/>
      <c r="AH387" s="117"/>
    </row>
    <row r="388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  <c r="AB388" s="117"/>
      <c r="AC388" s="117"/>
      <c r="AD388" s="117"/>
      <c r="AE388" s="117"/>
      <c r="AF388" s="117"/>
      <c r="AG388" s="117"/>
      <c r="AH388" s="117"/>
    </row>
    <row r="389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  <c r="AB389" s="117"/>
      <c r="AC389" s="117"/>
      <c r="AD389" s="117"/>
      <c r="AE389" s="117"/>
      <c r="AF389" s="117"/>
      <c r="AG389" s="117"/>
      <c r="AH389" s="117"/>
    </row>
    <row r="390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  <c r="AB390" s="117"/>
      <c r="AC390" s="117"/>
      <c r="AD390" s="117"/>
      <c r="AE390" s="117"/>
      <c r="AF390" s="117"/>
      <c r="AG390" s="117"/>
      <c r="AH390" s="117"/>
    </row>
    <row r="39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  <c r="AB391" s="117"/>
      <c r="AC391" s="117"/>
      <c r="AD391" s="117"/>
      <c r="AE391" s="117"/>
      <c r="AF391" s="117"/>
      <c r="AG391" s="117"/>
      <c r="AH391" s="117"/>
    </row>
    <row r="392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  <c r="AB392" s="117"/>
      <c r="AC392" s="117"/>
      <c r="AD392" s="117"/>
      <c r="AE392" s="117"/>
      <c r="AF392" s="117"/>
      <c r="AG392" s="117"/>
      <c r="AH392" s="117"/>
    </row>
    <row r="393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  <c r="AB393" s="117"/>
      <c r="AC393" s="117"/>
      <c r="AD393" s="117"/>
      <c r="AE393" s="117"/>
      <c r="AF393" s="117"/>
      <c r="AG393" s="117"/>
      <c r="AH393" s="117"/>
    </row>
    <row r="394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  <c r="AB394" s="117"/>
      <c r="AC394" s="117"/>
      <c r="AD394" s="117"/>
      <c r="AE394" s="117"/>
      <c r="AF394" s="117"/>
      <c r="AG394" s="117"/>
      <c r="AH394" s="117"/>
    </row>
    <row r="39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  <c r="AB395" s="117"/>
      <c r="AC395" s="117"/>
      <c r="AD395" s="117"/>
      <c r="AE395" s="117"/>
      <c r="AF395" s="117"/>
      <c r="AG395" s="117"/>
      <c r="AH395" s="117"/>
    </row>
    <row r="396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  <c r="AB396" s="117"/>
      <c r="AC396" s="117"/>
      <c r="AD396" s="117"/>
      <c r="AE396" s="117"/>
      <c r="AF396" s="117"/>
      <c r="AG396" s="117"/>
      <c r="AH396" s="117"/>
    </row>
    <row r="397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  <c r="AB397" s="117"/>
      <c r="AC397" s="117"/>
      <c r="AD397" s="117"/>
      <c r="AE397" s="117"/>
      <c r="AF397" s="117"/>
      <c r="AG397" s="117"/>
      <c r="AH397" s="117"/>
    </row>
    <row r="398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  <c r="AB398" s="117"/>
      <c r="AC398" s="117"/>
      <c r="AD398" s="117"/>
      <c r="AE398" s="117"/>
      <c r="AF398" s="117"/>
      <c r="AG398" s="117"/>
      <c r="AH398" s="117"/>
    </row>
    <row r="399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  <c r="AB399" s="117"/>
      <c r="AC399" s="117"/>
      <c r="AD399" s="117"/>
      <c r="AE399" s="117"/>
      <c r="AF399" s="117"/>
      <c r="AG399" s="117"/>
      <c r="AH399" s="117"/>
    </row>
    <row r="400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  <c r="AB400" s="117"/>
      <c r="AC400" s="117"/>
      <c r="AD400" s="117"/>
      <c r="AE400" s="117"/>
      <c r="AF400" s="117"/>
      <c r="AG400" s="117"/>
      <c r="AH400" s="117"/>
    </row>
    <row r="40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  <c r="AB401" s="117"/>
      <c r="AC401" s="117"/>
      <c r="AD401" s="117"/>
      <c r="AE401" s="117"/>
      <c r="AF401" s="117"/>
      <c r="AG401" s="117"/>
      <c r="AH401" s="117"/>
    </row>
    <row r="402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  <c r="AB402" s="117"/>
      <c r="AC402" s="117"/>
      <c r="AD402" s="117"/>
      <c r="AE402" s="117"/>
      <c r="AF402" s="117"/>
      <c r="AG402" s="117"/>
      <c r="AH402" s="117"/>
    </row>
    <row r="403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  <c r="AB403" s="117"/>
      <c r="AC403" s="117"/>
      <c r="AD403" s="117"/>
      <c r="AE403" s="117"/>
      <c r="AF403" s="117"/>
      <c r="AG403" s="117"/>
      <c r="AH403" s="117"/>
    </row>
    <row r="404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  <c r="AB404" s="117"/>
      <c r="AC404" s="117"/>
      <c r="AD404" s="117"/>
      <c r="AE404" s="117"/>
      <c r="AF404" s="117"/>
      <c r="AG404" s="117"/>
      <c r="AH404" s="117"/>
    </row>
    <row r="40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  <c r="AB405" s="117"/>
      <c r="AC405" s="117"/>
      <c r="AD405" s="117"/>
      <c r="AE405" s="117"/>
      <c r="AF405" s="117"/>
      <c r="AG405" s="117"/>
      <c r="AH405" s="117"/>
    </row>
    <row r="406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  <c r="AB406" s="117"/>
      <c r="AC406" s="117"/>
      <c r="AD406" s="117"/>
      <c r="AE406" s="117"/>
      <c r="AF406" s="117"/>
      <c r="AG406" s="117"/>
      <c r="AH406" s="117"/>
    </row>
    <row r="407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  <c r="AB407" s="117"/>
      <c r="AC407" s="117"/>
      <c r="AD407" s="117"/>
      <c r="AE407" s="117"/>
      <c r="AF407" s="117"/>
      <c r="AG407" s="117"/>
      <c r="AH407" s="117"/>
    </row>
    <row r="408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  <c r="AB408" s="117"/>
      <c r="AC408" s="117"/>
      <c r="AD408" s="117"/>
      <c r="AE408" s="117"/>
      <c r="AF408" s="117"/>
      <c r="AG408" s="117"/>
      <c r="AH408" s="117"/>
    </row>
    <row r="409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  <c r="AB409" s="117"/>
      <c r="AC409" s="117"/>
      <c r="AD409" s="117"/>
      <c r="AE409" s="117"/>
      <c r="AF409" s="117"/>
      <c r="AG409" s="117"/>
      <c r="AH409" s="117"/>
    </row>
    <row r="410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  <c r="AB410" s="117"/>
      <c r="AC410" s="117"/>
      <c r="AD410" s="117"/>
      <c r="AE410" s="117"/>
      <c r="AF410" s="117"/>
      <c r="AG410" s="117"/>
      <c r="AH410" s="117"/>
    </row>
    <row r="41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  <c r="AB411" s="117"/>
      <c r="AC411" s="117"/>
      <c r="AD411" s="117"/>
      <c r="AE411" s="117"/>
      <c r="AF411" s="117"/>
      <c r="AG411" s="117"/>
      <c r="AH411" s="117"/>
    </row>
    <row r="412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  <c r="AB412" s="117"/>
      <c r="AC412" s="117"/>
      <c r="AD412" s="117"/>
      <c r="AE412" s="117"/>
      <c r="AF412" s="117"/>
      <c r="AG412" s="117"/>
      <c r="AH412" s="117"/>
    </row>
    <row r="413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  <c r="AB413" s="117"/>
      <c r="AC413" s="117"/>
      <c r="AD413" s="117"/>
      <c r="AE413" s="117"/>
      <c r="AF413" s="117"/>
      <c r="AG413" s="117"/>
      <c r="AH413" s="117"/>
    </row>
    <row r="414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  <c r="AB414" s="117"/>
      <c r="AC414" s="117"/>
      <c r="AD414" s="117"/>
      <c r="AE414" s="117"/>
      <c r="AF414" s="117"/>
      <c r="AG414" s="117"/>
      <c r="AH414" s="117"/>
    </row>
    <row r="41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  <c r="AB415" s="117"/>
      <c r="AC415" s="117"/>
      <c r="AD415" s="117"/>
      <c r="AE415" s="117"/>
      <c r="AF415" s="117"/>
      <c r="AG415" s="117"/>
      <c r="AH415" s="117"/>
    </row>
    <row r="416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  <c r="AB416" s="117"/>
      <c r="AC416" s="117"/>
      <c r="AD416" s="117"/>
      <c r="AE416" s="117"/>
      <c r="AF416" s="117"/>
      <c r="AG416" s="117"/>
      <c r="AH416" s="117"/>
    </row>
    <row r="417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  <c r="AB417" s="117"/>
      <c r="AC417" s="117"/>
      <c r="AD417" s="117"/>
      <c r="AE417" s="117"/>
      <c r="AF417" s="117"/>
      <c r="AG417" s="117"/>
      <c r="AH417" s="117"/>
    </row>
    <row r="418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  <c r="AB418" s="117"/>
      <c r="AC418" s="117"/>
      <c r="AD418" s="117"/>
      <c r="AE418" s="117"/>
      <c r="AF418" s="117"/>
      <c r="AG418" s="117"/>
      <c r="AH418" s="117"/>
    </row>
    <row r="419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  <c r="AB419" s="117"/>
      <c r="AC419" s="117"/>
      <c r="AD419" s="117"/>
      <c r="AE419" s="117"/>
      <c r="AF419" s="117"/>
      <c r="AG419" s="117"/>
      <c r="AH419" s="117"/>
    </row>
    <row r="420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  <c r="AB420" s="117"/>
      <c r="AC420" s="117"/>
      <c r="AD420" s="117"/>
      <c r="AE420" s="117"/>
      <c r="AF420" s="117"/>
      <c r="AG420" s="117"/>
      <c r="AH420" s="117"/>
    </row>
    <row r="42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  <c r="AB421" s="117"/>
      <c r="AC421" s="117"/>
      <c r="AD421" s="117"/>
      <c r="AE421" s="117"/>
      <c r="AF421" s="117"/>
      <c r="AG421" s="117"/>
      <c r="AH421" s="117"/>
    </row>
    <row r="422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  <c r="AB422" s="117"/>
      <c r="AC422" s="117"/>
      <c r="AD422" s="117"/>
      <c r="AE422" s="117"/>
      <c r="AF422" s="117"/>
      <c r="AG422" s="117"/>
      <c r="AH422" s="117"/>
    </row>
    <row r="423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  <c r="AB423" s="117"/>
      <c r="AC423" s="117"/>
      <c r="AD423" s="117"/>
      <c r="AE423" s="117"/>
      <c r="AF423" s="117"/>
      <c r="AG423" s="117"/>
      <c r="AH423" s="117"/>
    </row>
    <row r="424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  <c r="AB424" s="117"/>
      <c r="AC424" s="117"/>
      <c r="AD424" s="117"/>
      <c r="AE424" s="117"/>
      <c r="AF424" s="117"/>
      <c r="AG424" s="117"/>
      <c r="AH424" s="117"/>
    </row>
    <row r="425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  <c r="AB425" s="117"/>
      <c r="AC425" s="117"/>
      <c r="AD425" s="117"/>
      <c r="AE425" s="117"/>
      <c r="AF425" s="117"/>
      <c r="AG425" s="117"/>
      <c r="AH425" s="117"/>
    </row>
    <row r="426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  <c r="AB426" s="117"/>
      <c r="AC426" s="117"/>
      <c r="AD426" s="117"/>
      <c r="AE426" s="117"/>
      <c r="AF426" s="117"/>
      <c r="AG426" s="117"/>
      <c r="AH426" s="117"/>
    </row>
    <row r="427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  <c r="AB427" s="117"/>
      <c r="AC427" s="117"/>
      <c r="AD427" s="117"/>
      <c r="AE427" s="117"/>
      <c r="AF427" s="117"/>
      <c r="AG427" s="117"/>
      <c r="AH427" s="117"/>
    </row>
    <row r="428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  <c r="AB428" s="117"/>
      <c r="AC428" s="117"/>
      <c r="AD428" s="117"/>
      <c r="AE428" s="117"/>
      <c r="AF428" s="117"/>
      <c r="AG428" s="117"/>
      <c r="AH428" s="117"/>
    </row>
    <row r="429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  <c r="AB429" s="117"/>
      <c r="AC429" s="117"/>
      <c r="AD429" s="117"/>
      <c r="AE429" s="117"/>
      <c r="AF429" s="117"/>
      <c r="AG429" s="117"/>
      <c r="AH429" s="117"/>
    </row>
    <row r="430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  <c r="AB430" s="117"/>
      <c r="AC430" s="117"/>
      <c r="AD430" s="117"/>
      <c r="AE430" s="117"/>
      <c r="AF430" s="117"/>
      <c r="AG430" s="117"/>
      <c r="AH430" s="117"/>
    </row>
    <row r="431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  <c r="AB431" s="117"/>
      <c r="AC431" s="117"/>
      <c r="AD431" s="117"/>
      <c r="AE431" s="117"/>
      <c r="AF431" s="117"/>
      <c r="AG431" s="117"/>
      <c r="AH431" s="117"/>
    </row>
    <row r="432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  <c r="AB432" s="117"/>
      <c r="AC432" s="117"/>
      <c r="AD432" s="117"/>
      <c r="AE432" s="117"/>
      <c r="AF432" s="117"/>
      <c r="AG432" s="117"/>
      <c r="AH432" s="117"/>
    </row>
    <row r="433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  <c r="AB433" s="117"/>
      <c r="AC433" s="117"/>
      <c r="AD433" s="117"/>
      <c r="AE433" s="117"/>
      <c r="AF433" s="117"/>
      <c r="AG433" s="117"/>
      <c r="AH433" s="117"/>
    </row>
    <row r="434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  <c r="AB434" s="117"/>
      <c r="AC434" s="117"/>
      <c r="AD434" s="117"/>
      <c r="AE434" s="117"/>
      <c r="AF434" s="117"/>
      <c r="AG434" s="117"/>
      <c r="AH434" s="117"/>
    </row>
    <row r="435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  <c r="AB435" s="117"/>
      <c r="AC435" s="117"/>
      <c r="AD435" s="117"/>
      <c r="AE435" s="117"/>
      <c r="AF435" s="117"/>
      <c r="AG435" s="117"/>
      <c r="AH435" s="117"/>
    </row>
    <row r="436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  <c r="AB436" s="117"/>
      <c r="AC436" s="117"/>
      <c r="AD436" s="117"/>
      <c r="AE436" s="117"/>
      <c r="AF436" s="117"/>
      <c r="AG436" s="117"/>
      <c r="AH436" s="117"/>
    </row>
    <row r="437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  <c r="AB437" s="117"/>
      <c r="AC437" s="117"/>
      <c r="AD437" s="117"/>
      <c r="AE437" s="117"/>
      <c r="AF437" s="117"/>
      <c r="AG437" s="117"/>
      <c r="AH437" s="117"/>
    </row>
    <row r="438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  <c r="AB438" s="117"/>
      <c r="AC438" s="117"/>
      <c r="AD438" s="117"/>
      <c r="AE438" s="117"/>
      <c r="AF438" s="117"/>
      <c r="AG438" s="117"/>
      <c r="AH438" s="117"/>
    </row>
    <row r="439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  <c r="AB439" s="117"/>
      <c r="AC439" s="117"/>
      <c r="AD439" s="117"/>
      <c r="AE439" s="117"/>
      <c r="AF439" s="117"/>
      <c r="AG439" s="117"/>
      <c r="AH439" s="117"/>
    </row>
    <row r="440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  <c r="AB440" s="117"/>
      <c r="AC440" s="117"/>
      <c r="AD440" s="117"/>
      <c r="AE440" s="117"/>
      <c r="AF440" s="117"/>
      <c r="AG440" s="117"/>
      <c r="AH440" s="117"/>
    </row>
    <row r="441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  <c r="AB441" s="117"/>
      <c r="AC441" s="117"/>
      <c r="AD441" s="117"/>
      <c r="AE441" s="117"/>
      <c r="AF441" s="117"/>
      <c r="AG441" s="117"/>
      <c r="AH441" s="117"/>
    </row>
    <row r="442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  <c r="AB442" s="117"/>
      <c r="AC442" s="117"/>
      <c r="AD442" s="117"/>
      <c r="AE442" s="117"/>
      <c r="AF442" s="117"/>
      <c r="AG442" s="117"/>
      <c r="AH442" s="117"/>
    </row>
    <row r="443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  <c r="AB443" s="117"/>
      <c r="AC443" s="117"/>
      <c r="AD443" s="117"/>
      <c r="AE443" s="117"/>
      <c r="AF443" s="117"/>
      <c r="AG443" s="117"/>
      <c r="AH443" s="117"/>
    </row>
    <row r="444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  <c r="AB444" s="117"/>
      <c r="AC444" s="117"/>
      <c r="AD444" s="117"/>
      <c r="AE444" s="117"/>
      <c r="AF444" s="117"/>
      <c r="AG444" s="117"/>
      <c r="AH444" s="117"/>
    </row>
    <row r="445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  <c r="AB445" s="117"/>
      <c r="AC445" s="117"/>
      <c r="AD445" s="117"/>
      <c r="AE445" s="117"/>
      <c r="AF445" s="117"/>
      <c r="AG445" s="117"/>
      <c r="AH445" s="117"/>
    </row>
    <row r="446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  <c r="AB446" s="117"/>
      <c r="AC446" s="117"/>
      <c r="AD446" s="117"/>
      <c r="AE446" s="117"/>
      <c r="AF446" s="117"/>
      <c r="AG446" s="117"/>
      <c r="AH446" s="117"/>
    </row>
    <row r="447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  <c r="AB447" s="117"/>
      <c r="AC447" s="117"/>
      <c r="AD447" s="117"/>
      <c r="AE447" s="117"/>
      <c r="AF447" s="117"/>
      <c r="AG447" s="117"/>
      <c r="AH447" s="117"/>
    </row>
    <row r="448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  <c r="AB448" s="117"/>
      <c r="AC448" s="117"/>
      <c r="AD448" s="117"/>
      <c r="AE448" s="117"/>
      <c r="AF448" s="117"/>
      <c r="AG448" s="117"/>
      <c r="AH448" s="117"/>
    </row>
    <row r="449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  <c r="AB449" s="117"/>
      <c r="AC449" s="117"/>
      <c r="AD449" s="117"/>
      <c r="AE449" s="117"/>
      <c r="AF449" s="117"/>
      <c r="AG449" s="117"/>
      <c r="AH449" s="117"/>
    </row>
    <row r="450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  <c r="AB450" s="117"/>
      <c r="AC450" s="117"/>
      <c r="AD450" s="117"/>
      <c r="AE450" s="117"/>
      <c r="AF450" s="117"/>
      <c r="AG450" s="117"/>
      <c r="AH450" s="117"/>
    </row>
    <row r="451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  <c r="AB451" s="117"/>
      <c r="AC451" s="117"/>
      <c r="AD451" s="117"/>
      <c r="AE451" s="117"/>
      <c r="AF451" s="117"/>
      <c r="AG451" s="117"/>
      <c r="AH451" s="117"/>
    </row>
    <row r="452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  <c r="AB452" s="117"/>
      <c r="AC452" s="117"/>
      <c r="AD452" s="117"/>
      <c r="AE452" s="117"/>
      <c r="AF452" s="117"/>
      <c r="AG452" s="117"/>
      <c r="AH452" s="117"/>
    </row>
    <row r="453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  <c r="AB453" s="117"/>
      <c r="AC453" s="117"/>
      <c r="AD453" s="117"/>
      <c r="AE453" s="117"/>
      <c r="AF453" s="117"/>
      <c r="AG453" s="117"/>
      <c r="AH453" s="117"/>
    </row>
    <row r="454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  <c r="AB454" s="117"/>
      <c r="AC454" s="117"/>
      <c r="AD454" s="117"/>
      <c r="AE454" s="117"/>
      <c r="AF454" s="117"/>
      <c r="AG454" s="117"/>
      <c r="AH454" s="117"/>
    </row>
    <row r="455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  <c r="AB455" s="117"/>
      <c r="AC455" s="117"/>
      <c r="AD455" s="117"/>
      <c r="AE455" s="117"/>
      <c r="AF455" s="117"/>
      <c r="AG455" s="117"/>
      <c r="AH455" s="117"/>
    </row>
    <row r="456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  <c r="AB456" s="117"/>
      <c r="AC456" s="117"/>
      <c r="AD456" s="117"/>
      <c r="AE456" s="117"/>
      <c r="AF456" s="117"/>
      <c r="AG456" s="117"/>
      <c r="AH456" s="117"/>
    </row>
    <row r="457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  <c r="AB457" s="117"/>
      <c r="AC457" s="117"/>
      <c r="AD457" s="117"/>
      <c r="AE457" s="117"/>
      <c r="AF457" s="117"/>
      <c r="AG457" s="117"/>
      <c r="AH457" s="117"/>
    </row>
    <row r="458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  <c r="AB458" s="117"/>
      <c r="AC458" s="117"/>
      <c r="AD458" s="117"/>
      <c r="AE458" s="117"/>
      <c r="AF458" s="117"/>
      <c r="AG458" s="117"/>
      <c r="AH458" s="117"/>
    </row>
    <row r="459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  <c r="AB459" s="117"/>
      <c r="AC459" s="117"/>
      <c r="AD459" s="117"/>
      <c r="AE459" s="117"/>
      <c r="AF459" s="117"/>
      <c r="AG459" s="117"/>
      <c r="AH459" s="117"/>
    </row>
    <row r="460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  <c r="AB460" s="117"/>
      <c r="AC460" s="117"/>
      <c r="AD460" s="117"/>
      <c r="AE460" s="117"/>
      <c r="AF460" s="117"/>
      <c r="AG460" s="117"/>
      <c r="AH460" s="117"/>
    </row>
    <row r="461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  <c r="AB461" s="117"/>
      <c r="AC461" s="117"/>
      <c r="AD461" s="117"/>
      <c r="AE461" s="117"/>
      <c r="AF461" s="117"/>
      <c r="AG461" s="117"/>
      <c r="AH461" s="117"/>
    </row>
    <row r="462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  <c r="AB462" s="117"/>
      <c r="AC462" s="117"/>
      <c r="AD462" s="117"/>
      <c r="AE462" s="117"/>
      <c r="AF462" s="117"/>
      <c r="AG462" s="117"/>
      <c r="AH462" s="117"/>
    </row>
    <row r="463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  <c r="AB463" s="117"/>
      <c r="AC463" s="117"/>
      <c r="AD463" s="117"/>
      <c r="AE463" s="117"/>
      <c r="AF463" s="117"/>
      <c r="AG463" s="117"/>
      <c r="AH463" s="117"/>
    </row>
    <row r="464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  <c r="AB464" s="117"/>
      <c r="AC464" s="117"/>
      <c r="AD464" s="117"/>
      <c r="AE464" s="117"/>
      <c r="AF464" s="117"/>
      <c r="AG464" s="117"/>
      <c r="AH464" s="117"/>
    </row>
    <row r="465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  <c r="AB465" s="117"/>
      <c r="AC465" s="117"/>
      <c r="AD465" s="117"/>
      <c r="AE465" s="117"/>
      <c r="AF465" s="117"/>
      <c r="AG465" s="117"/>
      <c r="AH465" s="117"/>
    </row>
    <row r="466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  <c r="AB466" s="117"/>
      <c r="AC466" s="117"/>
      <c r="AD466" s="117"/>
      <c r="AE466" s="117"/>
      <c r="AF466" s="117"/>
      <c r="AG466" s="117"/>
      <c r="AH466" s="117"/>
    </row>
    <row r="467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  <c r="AB467" s="117"/>
      <c r="AC467" s="117"/>
      <c r="AD467" s="117"/>
      <c r="AE467" s="117"/>
      <c r="AF467" s="117"/>
      <c r="AG467" s="117"/>
      <c r="AH467" s="117"/>
    </row>
    <row r="468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  <c r="AB468" s="117"/>
      <c r="AC468" s="117"/>
      <c r="AD468" s="117"/>
      <c r="AE468" s="117"/>
      <c r="AF468" s="117"/>
      <c r="AG468" s="117"/>
      <c r="AH468" s="117"/>
    </row>
    <row r="469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  <c r="AB469" s="117"/>
      <c r="AC469" s="117"/>
      <c r="AD469" s="117"/>
      <c r="AE469" s="117"/>
      <c r="AF469" s="117"/>
      <c r="AG469" s="117"/>
      <c r="AH469" s="117"/>
    </row>
    <row r="470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  <c r="AB470" s="117"/>
      <c r="AC470" s="117"/>
      <c r="AD470" s="117"/>
      <c r="AE470" s="117"/>
      <c r="AF470" s="117"/>
      <c r="AG470" s="117"/>
      <c r="AH470" s="117"/>
    </row>
    <row r="471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  <c r="AB471" s="117"/>
      <c r="AC471" s="117"/>
      <c r="AD471" s="117"/>
      <c r="AE471" s="117"/>
      <c r="AF471" s="117"/>
      <c r="AG471" s="117"/>
      <c r="AH471" s="117"/>
    </row>
    <row r="472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  <c r="AB472" s="117"/>
      <c r="AC472" s="117"/>
      <c r="AD472" s="117"/>
      <c r="AE472" s="117"/>
      <c r="AF472" s="117"/>
      <c r="AG472" s="117"/>
      <c r="AH472" s="117"/>
    </row>
    <row r="473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  <c r="AB473" s="117"/>
      <c r="AC473" s="117"/>
      <c r="AD473" s="117"/>
      <c r="AE473" s="117"/>
      <c r="AF473" s="117"/>
      <c r="AG473" s="117"/>
      <c r="AH473" s="117"/>
    </row>
    <row r="474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  <c r="AB474" s="117"/>
      <c r="AC474" s="117"/>
      <c r="AD474" s="117"/>
      <c r="AE474" s="117"/>
      <c r="AF474" s="117"/>
      <c r="AG474" s="117"/>
      <c r="AH474" s="117"/>
    </row>
    <row r="475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  <c r="AB475" s="117"/>
      <c r="AC475" s="117"/>
      <c r="AD475" s="117"/>
      <c r="AE475" s="117"/>
      <c r="AF475" s="117"/>
      <c r="AG475" s="117"/>
      <c r="AH475" s="117"/>
    </row>
    <row r="476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  <c r="AB476" s="117"/>
      <c r="AC476" s="117"/>
      <c r="AD476" s="117"/>
      <c r="AE476" s="117"/>
      <c r="AF476" s="117"/>
      <c r="AG476" s="117"/>
      <c r="AH476" s="117"/>
    </row>
    <row r="477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  <c r="AB477" s="117"/>
      <c r="AC477" s="117"/>
      <c r="AD477" s="117"/>
      <c r="AE477" s="117"/>
      <c r="AF477" s="117"/>
      <c r="AG477" s="117"/>
      <c r="AH477" s="117"/>
    </row>
    <row r="478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  <c r="AB478" s="117"/>
      <c r="AC478" s="117"/>
      <c r="AD478" s="117"/>
      <c r="AE478" s="117"/>
      <c r="AF478" s="117"/>
      <c r="AG478" s="117"/>
      <c r="AH478" s="117"/>
    </row>
    <row r="479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  <c r="AB479" s="117"/>
      <c r="AC479" s="117"/>
      <c r="AD479" s="117"/>
      <c r="AE479" s="117"/>
      <c r="AF479" s="117"/>
      <c r="AG479" s="117"/>
      <c r="AH479" s="117"/>
    </row>
    <row r="480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  <c r="AB480" s="117"/>
      <c r="AC480" s="117"/>
      <c r="AD480" s="117"/>
      <c r="AE480" s="117"/>
      <c r="AF480" s="117"/>
      <c r="AG480" s="117"/>
      <c r="AH480" s="117"/>
    </row>
    <row r="481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  <c r="AB481" s="117"/>
      <c r="AC481" s="117"/>
      <c r="AD481" s="117"/>
      <c r="AE481" s="117"/>
      <c r="AF481" s="117"/>
      <c r="AG481" s="117"/>
      <c r="AH481" s="117"/>
    </row>
    <row r="482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  <c r="AB482" s="117"/>
      <c r="AC482" s="117"/>
      <c r="AD482" s="117"/>
      <c r="AE482" s="117"/>
      <c r="AF482" s="117"/>
      <c r="AG482" s="117"/>
      <c r="AH482" s="117"/>
    </row>
    <row r="483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  <c r="AB483" s="117"/>
      <c r="AC483" s="117"/>
      <c r="AD483" s="117"/>
      <c r="AE483" s="117"/>
      <c r="AF483" s="117"/>
      <c r="AG483" s="117"/>
      <c r="AH483" s="117"/>
    </row>
    <row r="484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  <c r="AB484" s="117"/>
      <c r="AC484" s="117"/>
      <c r="AD484" s="117"/>
      <c r="AE484" s="117"/>
      <c r="AF484" s="117"/>
      <c r="AG484" s="117"/>
      <c r="AH484" s="117"/>
    </row>
    <row r="485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  <c r="AB485" s="117"/>
      <c r="AC485" s="117"/>
      <c r="AD485" s="117"/>
      <c r="AE485" s="117"/>
      <c r="AF485" s="117"/>
      <c r="AG485" s="117"/>
      <c r="AH485" s="117"/>
    </row>
    <row r="486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  <c r="AB486" s="117"/>
      <c r="AC486" s="117"/>
      <c r="AD486" s="117"/>
      <c r="AE486" s="117"/>
      <c r="AF486" s="117"/>
      <c r="AG486" s="117"/>
      <c r="AH486" s="117"/>
    </row>
    <row r="487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  <c r="AB487" s="117"/>
      <c r="AC487" s="117"/>
      <c r="AD487" s="117"/>
      <c r="AE487" s="117"/>
      <c r="AF487" s="117"/>
      <c r="AG487" s="117"/>
      <c r="AH487" s="117"/>
    </row>
    <row r="488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  <c r="AB488" s="117"/>
      <c r="AC488" s="117"/>
      <c r="AD488" s="117"/>
      <c r="AE488" s="117"/>
      <c r="AF488" s="117"/>
      <c r="AG488" s="117"/>
      <c r="AH488" s="117"/>
    </row>
    <row r="489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  <c r="AB489" s="117"/>
      <c r="AC489" s="117"/>
      <c r="AD489" s="117"/>
      <c r="AE489" s="117"/>
      <c r="AF489" s="117"/>
      <c r="AG489" s="117"/>
      <c r="AH489" s="117"/>
    </row>
    <row r="490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  <c r="AB490" s="117"/>
      <c r="AC490" s="117"/>
      <c r="AD490" s="117"/>
      <c r="AE490" s="117"/>
      <c r="AF490" s="117"/>
      <c r="AG490" s="117"/>
      <c r="AH490" s="117"/>
    </row>
    <row r="491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  <c r="AB491" s="117"/>
      <c r="AC491" s="117"/>
      <c r="AD491" s="117"/>
      <c r="AE491" s="117"/>
      <c r="AF491" s="117"/>
      <c r="AG491" s="117"/>
      <c r="AH491" s="117"/>
    </row>
    <row r="492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  <c r="AB492" s="117"/>
      <c r="AC492" s="117"/>
      <c r="AD492" s="117"/>
      <c r="AE492" s="117"/>
      <c r="AF492" s="117"/>
      <c r="AG492" s="117"/>
      <c r="AH492" s="117"/>
    </row>
    <row r="493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  <c r="AB493" s="117"/>
      <c r="AC493" s="117"/>
      <c r="AD493" s="117"/>
      <c r="AE493" s="117"/>
      <c r="AF493" s="117"/>
      <c r="AG493" s="117"/>
      <c r="AH493" s="117"/>
    </row>
    <row r="494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  <c r="AB494" s="117"/>
      <c r="AC494" s="117"/>
      <c r="AD494" s="117"/>
      <c r="AE494" s="117"/>
      <c r="AF494" s="117"/>
      <c r="AG494" s="117"/>
      <c r="AH494" s="117"/>
    </row>
    <row r="495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  <c r="AB495" s="117"/>
      <c r="AC495" s="117"/>
      <c r="AD495" s="117"/>
      <c r="AE495" s="117"/>
      <c r="AF495" s="117"/>
      <c r="AG495" s="117"/>
      <c r="AH495" s="117"/>
    </row>
    <row r="496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  <c r="AB496" s="117"/>
      <c r="AC496" s="117"/>
      <c r="AD496" s="117"/>
      <c r="AE496" s="117"/>
      <c r="AF496" s="117"/>
      <c r="AG496" s="117"/>
      <c r="AH496" s="117"/>
    </row>
    <row r="497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  <c r="AB497" s="117"/>
      <c r="AC497" s="117"/>
      <c r="AD497" s="117"/>
      <c r="AE497" s="117"/>
      <c r="AF497" s="117"/>
      <c r="AG497" s="117"/>
      <c r="AH497" s="117"/>
    </row>
    <row r="498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  <c r="AB498" s="117"/>
      <c r="AC498" s="117"/>
      <c r="AD498" s="117"/>
      <c r="AE498" s="117"/>
      <c r="AF498" s="117"/>
      <c r="AG498" s="117"/>
      <c r="AH498" s="117"/>
    </row>
    <row r="499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  <c r="AB499" s="117"/>
      <c r="AC499" s="117"/>
      <c r="AD499" s="117"/>
      <c r="AE499" s="117"/>
      <c r="AF499" s="117"/>
      <c r="AG499" s="117"/>
      <c r="AH499" s="117"/>
    </row>
    <row r="500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  <c r="AB500" s="117"/>
      <c r="AC500" s="117"/>
      <c r="AD500" s="117"/>
      <c r="AE500" s="117"/>
      <c r="AF500" s="117"/>
      <c r="AG500" s="117"/>
      <c r="AH500" s="117"/>
    </row>
    <row r="501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  <c r="AB501" s="117"/>
      <c r="AC501" s="117"/>
      <c r="AD501" s="117"/>
      <c r="AE501" s="117"/>
      <c r="AF501" s="117"/>
      <c r="AG501" s="117"/>
      <c r="AH501" s="117"/>
    </row>
    <row r="502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  <c r="AB502" s="117"/>
      <c r="AC502" s="117"/>
      <c r="AD502" s="117"/>
      <c r="AE502" s="117"/>
      <c r="AF502" s="117"/>
      <c r="AG502" s="117"/>
      <c r="AH502" s="117"/>
    </row>
    <row r="503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  <c r="AB503" s="117"/>
      <c r="AC503" s="117"/>
      <c r="AD503" s="117"/>
      <c r="AE503" s="117"/>
      <c r="AF503" s="117"/>
      <c r="AG503" s="117"/>
      <c r="AH503" s="117"/>
    </row>
    <row r="504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  <c r="AB504" s="117"/>
      <c r="AC504" s="117"/>
      <c r="AD504" s="117"/>
      <c r="AE504" s="117"/>
      <c r="AF504" s="117"/>
      <c r="AG504" s="117"/>
      <c r="AH504" s="117"/>
    </row>
    <row r="505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  <c r="AB505" s="117"/>
      <c r="AC505" s="117"/>
      <c r="AD505" s="117"/>
      <c r="AE505" s="117"/>
      <c r="AF505" s="117"/>
      <c r="AG505" s="117"/>
      <c r="AH505" s="117"/>
    </row>
    <row r="506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  <c r="AB506" s="117"/>
      <c r="AC506" s="117"/>
      <c r="AD506" s="117"/>
      <c r="AE506" s="117"/>
      <c r="AF506" s="117"/>
      <c r="AG506" s="117"/>
      <c r="AH506" s="117"/>
    </row>
    <row r="507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  <c r="AB507" s="117"/>
      <c r="AC507" s="117"/>
      <c r="AD507" s="117"/>
      <c r="AE507" s="117"/>
      <c r="AF507" s="117"/>
      <c r="AG507" s="117"/>
      <c r="AH507" s="117"/>
    </row>
    <row r="508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  <c r="AB508" s="117"/>
      <c r="AC508" s="117"/>
      <c r="AD508" s="117"/>
      <c r="AE508" s="117"/>
      <c r="AF508" s="117"/>
      <c r="AG508" s="117"/>
      <c r="AH508" s="117"/>
    </row>
    <row r="509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  <c r="AB509" s="117"/>
      <c r="AC509" s="117"/>
      <c r="AD509" s="117"/>
      <c r="AE509" s="117"/>
      <c r="AF509" s="117"/>
      <c r="AG509" s="117"/>
      <c r="AH509" s="117"/>
    </row>
    <row r="510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  <c r="AB510" s="117"/>
      <c r="AC510" s="117"/>
      <c r="AD510" s="117"/>
      <c r="AE510" s="117"/>
      <c r="AF510" s="117"/>
      <c r="AG510" s="117"/>
      <c r="AH510" s="117"/>
    </row>
    <row r="511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  <c r="AB511" s="117"/>
      <c r="AC511" s="117"/>
      <c r="AD511" s="117"/>
      <c r="AE511" s="117"/>
      <c r="AF511" s="117"/>
      <c r="AG511" s="117"/>
      <c r="AH511" s="117"/>
    </row>
    <row r="512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  <c r="AB512" s="117"/>
      <c r="AC512" s="117"/>
      <c r="AD512" s="117"/>
      <c r="AE512" s="117"/>
      <c r="AF512" s="117"/>
      <c r="AG512" s="117"/>
      <c r="AH512" s="117"/>
    </row>
    <row r="513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  <c r="AB513" s="117"/>
      <c r="AC513" s="117"/>
      <c r="AD513" s="117"/>
      <c r="AE513" s="117"/>
      <c r="AF513" s="117"/>
      <c r="AG513" s="117"/>
      <c r="AH513" s="117"/>
    </row>
    <row r="514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  <c r="AB514" s="117"/>
      <c r="AC514" s="117"/>
      <c r="AD514" s="117"/>
      <c r="AE514" s="117"/>
      <c r="AF514" s="117"/>
      <c r="AG514" s="117"/>
      <c r="AH514" s="117"/>
    </row>
    <row r="515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  <c r="AB515" s="117"/>
      <c r="AC515" s="117"/>
      <c r="AD515" s="117"/>
      <c r="AE515" s="117"/>
      <c r="AF515" s="117"/>
      <c r="AG515" s="117"/>
      <c r="AH515" s="117"/>
    </row>
    <row r="516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  <c r="AB516" s="117"/>
      <c r="AC516" s="117"/>
      <c r="AD516" s="117"/>
      <c r="AE516" s="117"/>
      <c r="AF516" s="117"/>
      <c r="AG516" s="117"/>
      <c r="AH516" s="117"/>
    </row>
    <row r="517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  <c r="AB517" s="117"/>
      <c r="AC517" s="117"/>
      <c r="AD517" s="117"/>
      <c r="AE517" s="117"/>
      <c r="AF517" s="117"/>
      <c r="AG517" s="117"/>
      <c r="AH517" s="117"/>
    </row>
    <row r="518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  <c r="AB518" s="117"/>
      <c r="AC518" s="117"/>
      <c r="AD518" s="117"/>
      <c r="AE518" s="117"/>
      <c r="AF518" s="117"/>
      <c r="AG518" s="117"/>
      <c r="AH518" s="117"/>
    </row>
    <row r="519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  <c r="AB519" s="117"/>
      <c r="AC519" s="117"/>
      <c r="AD519" s="117"/>
      <c r="AE519" s="117"/>
      <c r="AF519" s="117"/>
      <c r="AG519" s="117"/>
      <c r="AH519" s="117"/>
    </row>
    <row r="520">
      <c r="A520" s="117"/>
      <c r="B520" s="117"/>
      <c r="C520" s="117"/>
      <c r="D520" s="117"/>
      <c r="E520" s="117"/>
      <c r="F520" s="117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  <c r="AB520" s="117"/>
      <c r="AC520" s="117"/>
      <c r="AD520" s="117"/>
      <c r="AE520" s="117"/>
      <c r="AF520" s="117"/>
      <c r="AG520" s="117"/>
      <c r="AH520" s="117"/>
    </row>
    <row r="521">
      <c r="A521" s="117"/>
      <c r="B521" s="117"/>
      <c r="C521" s="117"/>
      <c r="D521" s="117"/>
      <c r="E521" s="117"/>
      <c r="F521" s="117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  <c r="AB521" s="117"/>
      <c r="AC521" s="117"/>
      <c r="AD521" s="117"/>
      <c r="AE521" s="117"/>
      <c r="AF521" s="117"/>
      <c r="AG521" s="117"/>
      <c r="AH521" s="117"/>
    </row>
    <row r="522">
      <c r="A522" s="117"/>
      <c r="B522" s="117"/>
      <c r="C522" s="117"/>
      <c r="D522" s="117"/>
      <c r="E522" s="117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  <c r="AB522" s="117"/>
      <c r="AC522" s="117"/>
      <c r="AD522" s="117"/>
      <c r="AE522" s="117"/>
      <c r="AF522" s="117"/>
      <c r="AG522" s="117"/>
      <c r="AH522" s="117"/>
    </row>
    <row r="523">
      <c r="A523" s="117"/>
      <c r="B523" s="117"/>
      <c r="C523" s="117"/>
      <c r="D523" s="117"/>
      <c r="E523" s="117"/>
      <c r="F523" s="117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  <c r="AB523" s="117"/>
      <c r="AC523" s="117"/>
      <c r="AD523" s="117"/>
      <c r="AE523" s="117"/>
      <c r="AF523" s="117"/>
      <c r="AG523" s="117"/>
      <c r="AH523" s="117"/>
    </row>
    <row r="524">
      <c r="A524" s="117"/>
      <c r="B524" s="117"/>
      <c r="C524" s="117"/>
      <c r="D524" s="117"/>
      <c r="E524" s="117"/>
      <c r="F524" s="117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  <c r="AB524" s="117"/>
      <c r="AC524" s="117"/>
      <c r="AD524" s="117"/>
      <c r="AE524" s="117"/>
      <c r="AF524" s="117"/>
      <c r="AG524" s="117"/>
      <c r="AH524" s="117"/>
    </row>
    <row r="525">
      <c r="A525" s="117"/>
      <c r="B525" s="117"/>
      <c r="C525" s="117"/>
      <c r="D525" s="117"/>
      <c r="E525" s="117"/>
      <c r="F525" s="117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  <c r="AB525" s="117"/>
      <c r="AC525" s="117"/>
      <c r="AD525" s="117"/>
      <c r="AE525" s="117"/>
      <c r="AF525" s="117"/>
      <c r="AG525" s="117"/>
      <c r="AH525" s="117"/>
    </row>
    <row r="526">
      <c r="A526" s="117"/>
      <c r="B526" s="117"/>
      <c r="C526" s="117"/>
      <c r="D526" s="117"/>
      <c r="E526" s="117"/>
      <c r="F526" s="117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  <c r="AB526" s="117"/>
      <c r="AC526" s="117"/>
      <c r="AD526" s="117"/>
      <c r="AE526" s="117"/>
      <c r="AF526" s="117"/>
      <c r="AG526" s="117"/>
      <c r="AH526" s="117"/>
    </row>
    <row r="527">
      <c r="A527" s="117"/>
      <c r="B527" s="117"/>
      <c r="C527" s="117"/>
      <c r="D527" s="117"/>
      <c r="E527" s="117"/>
      <c r="F527" s="117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  <c r="AB527" s="117"/>
      <c r="AC527" s="117"/>
      <c r="AD527" s="117"/>
      <c r="AE527" s="117"/>
      <c r="AF527" s="117"/>
      <c r="AG527" s="117"/>
      <c r="AH527" s="117"/>
    </row>
    <row r="528">
      <c r="A528" s="117"/>
      <c r="B528" s="117"/>
      <c r="C528" s="117"/>
      <c r="D528" s="117"/>
      <c r="E528" s="117"/>
      <c r="F528" s="117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  <c r="AB528" s="117"/>
      <c r="AC528" s="117"/>
      <c r="AD528" s="117"/>
      <c r="AE528" s="117"/>
      <c r="AF528" s="117"/>
      <c r="AG528" s="117"/>
      <c r="AH528" s="117"/>
    </row>
    <row r="529">
      <c r="A529" s="117"/>
      <c r="B529" s="117"/>
      <c r="C529" s="117"/>
      <c r="D529" s="117"/>
      <c r="E529" s="117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  <c r="AB529" s="117"/>
      <c r="AC529" s="117"/>
      <c r="AD529" s="117"/>
      <c r="AE529" s="117"/>
      <c r="AF529" s="117"/>
      <c r="AG529" s="117"/>
      <c r="AH529" s="117"/>
    </row>
    <row r="530">
      <c r="A530" s="117"/>
      <c r="B530" s="117"/>
      <c r="C530" s="117"/>
      <c r="D530" s="117"/>
      <c r="E530" s="117"/>
      <c r="F530" s="117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  <c r="AB530" s="117"/>
      <c r="AC530" s="117"/>
      <c r="AD530" s="117"/>
      <c r="AE530" s="117"/>
      <c r="AF530" s="117"/>
      <c r="AG530" s="117"/>
      <c r="AH530" s="117"/>
    </row>
    <row r="531">
      <c r="A531" s="117"/>
      <c r="B531" s="117"/>
      <c r="C531" s="117"/>
      <c r="D531" s="117"/>
      <c r="E531" s="117"/>
      <c r="F531" s="117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  <c r="AB531" s="117"/>
      <c r="AC531" s="117"/>
      <c r="AD531" s="117"/>
      <c r="AE531" s="117"/>
      <c r="AF531" s="117"/>
      <c r="AG531" s="117"/>
      <c r="AH531" s="117"/>
    </row>
    <row r="532">
      <c r="A532" s="117"/>
      <c r="B532" s="117"/>
      <c r="C532" s="117"/>
      <c r="D532" s="117"/>
      <c r="E532" s="117"/>
      <c r="F532" s="117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  <c r="AB532" s="117"/>
      <c r="AC532" s="117"/>
      <c r="AD532" s="117"/>
      <c r="AE532" s="117"/>
      <c r="AF532" s="117"/>
      <c r="AG532" s="117"/>
      <c r="AH532" s="117"/>
    </row>
    <row r="533">
      <c r="A533" s="117"/>
      <c r="B533" s="117"/>
      <c r="C533" s="117"/>
      <c r="D533" s="117"/>
      <c r="E533" s="117"/>
      <c r="F533" s="117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  <c r="AB533" s="117"/>
      <c r="AC533" s="117"/>
      <c r="AD533" s="117"/>
      <c r="AE533" s="117"/>
      <c r="AF533" s="117"/>
      <c r="AG533" s="117"/>
      <c r="AH533" s="117"/>
    </row>
    <row r="534">
      <c r="A534" s="117"/>
      <c r="B534" s="117"/>
      <c r="C534" s="117"/>
      <c r="D534" s="117"/>
      <c r="E534" s="117"/>
      <c r="F534" s="117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  <c r="AB534" s="117"/>
      <c r="AC534" s="117"/>
      <c r="AD534" s="117"/>
      <c r="AE534" s="117"/>
      <c r="AF534" s="117"/>
      <c r="AG534" s="117"/>
      <c r="AH534" s="117"/>
    </row>
    <row r="535">
      <c r="A535" s="117"/>
      <c r="B535" s="117"/>
      <c r="C535" s="117"/>
      <c r="D535" s="117"/>
      <c r="E535" s="117"/>
      <c r="F535" s="117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  <c r="AB535" s="117"/>
      <c r="AC535" s="117"/>
      <c r="AD535" s="117"/>
      <c r="AE535" s="117"/>
      <c r="AF535" s="117"/>
      <c r="AG535" s="117"/>
      <c r="AH535" s="117"/>
    </row>
    <row r="536">
      <c r="A536" s="117"/>
      <c r="B536" s="117"/>
      <c r="C536" s="117"/>
      <c r="D536" s="117"/>
      <c r="E536" s="117"/>
      <c r="F536" s="117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  <c r="AB536" s="117"/>
      <c r="AC536" s="117"/>
      <c r="AD536" s="117"/>
      <c r="AE536" s="117"/>
      <c r="AF536" s="117"/>
      <c r="AG536" s="117"/>
      <c r="AH536" s="117"/>
    </row>
    <row r="537">
      <c r="A537" s="117"/>
      <c r="B537" s="117"/>
      <c r="C537" s="117"/>
      <c r="D537" s="117"/>
      <c r="E537" s="117"/>
      <c r="F537" s="117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  <c r="AB537" s="117"/>
      <c r="AC537" s="117"/>
      <c r="AD537" s="117"/>
      <c r="AE537" s="117"/>
      <c r="AF537" s="117"/>
      <c r="AG537" s="117"/>
      <c r="AH537" s="117"/>
    </row>
    <row r="538">
      <c r="A538" s="117"/>
      <c r="B538" s="117"/>
      <c r="C538" s="117"/>
      <c r="D538" s="117"/>
      <c r="E538" s="117"/>
      <c r="F538" s="117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  <c r="AB538" s="117"/>
      <c r="AC538" s="117"/>
      <c r="AD538" s="117"/>
      <c r="AE538" s="117"/>
      <c r="AF538" s="117"/>
      <c r="AG538" s="117"/>
      <c r="AH538" s="117"/>
    </row>
    <row r="539">
      <c r="A539" s="117"/>
      <c r="B539" s="117"/>
      <c r="C539" s="117"/>
      <c r="D539" s="117"/>
      <c r="E539" s="117"/>
      <c r="F539" s="117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  <c r="AB539" s="117"/>
      <c r="AC539" s="117"/>
      <c r="AD539" s="117"/>
      <c r="AE539" s="117"/>
      <c r="AF539" s="117"/>
      <c r="AG539" s="117"/>
      <c r="AH539" s="117"/>
    </row>
    <row r="540">
      <c r="A540" s="117"/>
      <c r="B540" s="117"/>
      <c r="C540" s="117"/>
      <c r="D540" s="117"/>
      <c r="E540" s="117"/>
      <c r="F540" s="117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  <c r="AB540" s="117"/>
      <c r="AC540" s="117"/>
      <c r="AD540" s="117"/>
      <c r="AE540" s="117"/>
      <c r="AF540" s="117"/>
      <c r="AG540" s="117"/>
      <c r="AH540" s="117"/>
    </row>
    <row r="541">
      <c r="A541" s="117"/>
      <c r="B541" s="117"/>
      <c r="C541" s="117"/>
      <c r="D541" s="117"/>
      <c r="E541" s="117"/>
      <c r="F541" s="117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  <c r="AB541" s="117"/>
      <c r="AC541" s="117"/>
      <c r="AD541" s="117"/>
      <c r="AE541" s="117"/>
      <c r="AF541" s="117"/>
      <c r="AG541" s="117"/>
      <c r="AH541" s="117"/>
    </row>
    <row r="542">
      <c r="A542" s="117"/>
      <c r="B542" s="117"/>
      <c r="C542" s="117"/>
      <c r="D542" s="117"/>
      <c r="E542" s="117"/>
      <c r="F542" s="117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  <c r="AB542" s="117"/>
      <c r="AC542" s="117"/>
      <c r="AD542" s="117"/>
      <c r="AE542" s="117"/>
      <c r="AF542" s="117"/>
      <c r="AG542" s="117"/>
      <c r="AH542" s="117"/>
    </row>
    <row r="543">
      <c r="A543" s="117"/>
      <c r="B543" s="117"/>
      <c r="C543" s="117"/>
      <c r="D543" s="117"/>
      <c r="E543" s="117"/>
      <c r="F543" s="117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  <c r="AB543" s="117"/>
      <c r="AC543" s="117"/>
      <c r="AD543" s="117"/>
      <c r="AE543" s="117"/>
      <c r="AF543" s="117"/>
      <c r="AG543" s="117"/>
      <c r="AH543" s="117"/>
    </row>
    <row r="544">
      <c r="A544" s="117"/>
      <c r="B544" s="117"/>
      <c r="C544" s="117"/>
      <c r="D544" s="117"/>
      <c r="E544" s="117"/>
      <c r="F544" s="117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  <c r="AB544" s="117"/>
      <c r="AC544" s="117"/>
      <c r="AD544" s="117"/>
      <c r="AE544" s="117"/>
      <c r="AF544" s="117"/>
      <c r="AG544" s="117"/>
      <c r="AH544" s="117"/>
    </row>
    <row r="545">
      <c r="A545" s="117"/>
      <c r="B545" s="117"/>
      <c r="C545" s="117"/>
      <c r="D545" s="117"/>
      <c r="E545" s="117"/>
      <c r="F545" s="117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  <c r="AB545" s="117"/>
      <c r="AC545" s="117"/>
      <c r="AD545" s="117"/>
      <c r="AE545" s="117"/>
      <c r="AF545" s="117"/>
      <c r="AG545" s="117"/>
      <c r="AH545" s="117"/>
    </row>
    <row r="546">
      <c r="A546" s="117"/>
      <c r="B546" s="117"/>
      <c r="C546" s="117"/>
      <c r="D546" s="117"/>
      <c r="E546" s="117"/>
      <c r="F546" s="117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  <c r="AB546" s="117"/>
      <c r="AC546" s="117"/>
      <c r="AD546" s="117"/>
      <c r="AE546" s="117"/>
      <c r="AF546" s="117"/>
      <c r="AG546" s="117"/>
      <c r="AH546" s="117"/>
    </row>
    <row r="547">
      <c r="A547" s="117"/>
      <c r="B547" s="117"/>
      <c r="C547" s="117"/>
      <c r="D547" s="117"/>
      <c r="E547" s="117"/>
      <c r="F547" s="117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  <c r="AB547" s="117"/>
      <c r="AC547" s="117"/>
      <c r="AD547" s="117"/>
      <c r="AE547" s="117"/>
      <c r="AF547" s="117"/>
      <c r="AG547" s="117"/>
      <c r="AH547" s="117"/>
    </row>
    <row r="548">
      <c r="A548" s="117"/>
      <c r="B548" s="117"/>
      <c r="C548" s="117"/>
      <c r="D548" s="117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  <c r="AB548" s="117"/>
      <c r="AC548" s="117"/>
      <c r="AD548" s="117"/>
      <c r="AE548" s="117"/>
      <c r="AF548" s="117"/>
      <c r="AG548" s="117"/>
      <c r="AH548" s="117"/>
    </row>
    <row r="549">
      <c r="A549" s="117"/>
      <c r="B549" s="117"/>
      <c r="C549" s="117"/>
      <c r="D549" s="117"/>
      <c r="E549" s="117"/>
      <c r="F549" s="117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  <c r="AB549" s="117"/>
      <c r="AC549" s="117"/>
      <c r="AD549" s="117"/>
      <c r="AE549" s="117"/>
      <c r="AF549" s="117"/>
      <c r="AG549" s="117"/>
      <c r="AH549" s="117"/>
    </row>
    <row r="550">
      <c r="A550" s="117"/>
      <c r="B550" s="117"/>
      <c r="C550" s="117"/>
      <c r="D550" s="117"/>
      <c r="E550" s="117"/>
      <c r="F550" s="117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  <c r="AB550" s="117"/>
      <c r="AC550" s="117"/>
      <c r="AD550" s="117"/>
      <c r="AE550" s="117"/>
      <c r="AF550" s="117"/>
      <c r="AG550" s="117"/>
      <c r="AH550" s="117"/>
    </row>
    <row r="551">
      <c r="A551" s="117"/>
      <c r="B551" s="117"/>
      <c r="C551" s="117"/>
      <c r="D551" s="117"/>
      <c r="E551" s="117"/>
      <c r="F551" s="117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  <c r="AB551" s="117"/>
      <c r="AC551" s="117"/>
      <c r="AD551" s="117"/>
      <c r="AE551" s="117"/>
      <c r="AF551" s="117"/>
      <c r="AG551" s="117"/>
      <c r="AH551" s="117"/>
    </row>
    <row r="552">
      <c r="A552" s="117"/>
      <c r="B552" s="117"/>
      <c r="C552" s="117"/>
      <c r="D552" s="117"/>
      <c r="E552" s="117"/>
      <c r="F552" s="117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  <c r="AB552" s="117"/>
      <c r="AC552" s="117"/>
      <c r="AD552" s="117"/>
      <c r="AE552" s="117"/>
      <c r="AF552" s="117"/>
      <c r="AG552" s="117"/>
      <c r="AH552" s="117"/>
    </row>
    <row r="553">
      <c r="A553" s="117"/>
      <c r="B553" s="117"/>
      <c r="C553" s="117"/>
      <c r="D553" s="117"/>
      <c r="E553" s="117"/>
      <c r="F553" s="117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  <c r="AB553" s="117"/>
      <c r="AC553" s="117"/>
      <c r="AD553" s="117"/>
      <c r="AE553" s="117"/>
      <c r="AF553" s="117"/>
      <c r="AG553" s="117"/>
      <c r="AH553" s="117"/>
    </row>
    <row r="554">
      <c r="A554" s="117"/>
      <c r="B554" s="117"/>
      <c r="C554" s="117"/>
      <c r="D554" s="117"/>
      <c r="E554" s="117"/>
      <c r="F554" s="117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  <c r="AB554" s="117"/>
      <c r="AC554" s="117"/>
      <c r="AD554" s="117"/>
      <c r="AE554" s="117"/>
      <c r="AF554" s="117"/>
      <c r="AG554" s="117"/>
      <c r="AH554" s="117"/>
    </row>
    <row r="555">
      <c r="A555" s="117"/>
      <c r="B555" s="117"/>
      <c r="C555" s="117"/>
      <c r="D555" s="117"/>
      <c r="E555" s="117"/>
      <c r="F555" s="117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  <c r="AB555" s="117"/>
      <c r="AC555" s="117"/>
      <c r="AD555" s="117"/>
      <c r="AE555" s="117"/>
      <c r="AF555" s="117"/>
      <c r="AG555" s="117"/>
      <c r="AH555" s="117"/>
    </row>
    <row r="556">
      <c r="A556" s="117"/>
      <c r="B556" s="117"/>
      <c r="C556" s="117"/>
      <c r="D556" s="117"/>
      <c r="E556" s="117"/>
      <c r="F556" s="117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  <c r="AB556" s="117"/>
      <c r="AC556" s="117"/>
      <c r="AD556" s="117"/>
      <c r="AE556" s="117"/>
      <c r="AF556" s="117"/>
      <c r="AG556" s="117"/>
      <c r="AH556" s="117"/>
    </row>
    <row r="557">
      <c r="A557" s="117"/>
      <c r="B557" s="117"/>
      <c r="C557" s="117"/>
      <c r="D557" s="117"/>
      <c r="E557" s="117"/>
      <c r="F557" s="117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  <c r="AB557" s="117"/>
      <c r="AC557" s="117"/>
      <c r="AD557" s="117"/>
      <c r="AE557" s="117"/>
      <c r="AF557" s="117"/>
      <c r="AG557" s="117"/>
      <c r="AH557" s="117"/>
    </row>
    <row r="558">
      <c r="A558" s="117"/>
      <c r="B558" s="117"/>
      <c r="C558" s="117"/>
      <c r="D558" s="117"/>
      <c r="E558" s="117"/>
      <c r="F558" s="117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  <c r="AB558" s="117"/>
      <c r="AC558" s="117"/>
      <c r="AD558" s="117"/>
      <c r="AE558" s="117"/>
      <c r="AF558" s="117"/>
      <c r="AG558" s="117"/>
      <c r="AH558" s="117"/>
    </row>
    <row r="559">
      <c r="A559" s="117"/>
      <c r="B559" s="117"/>
      <c r="C559" s="117"/>
      <c r="D559" s="117"/>
      <c r="E559" s="117"/>
      <c r="F559" s="117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  <c r="AB559" s="117"/>
      <c r="AC559" s="117"/>
      <c r="AD559" s="117"/>
      <c r="AE559" s="117"/>
      <c r="AF559" s="117"/>
      <c r="AG559" s="117"/>
      <c r="AH559" s="117"/>
    </row>
    <row r="560">
      <c r="A560" s="117"/>
      <c r="B560" s="117"/>
      <c r="C560" s="117"/>
      <c r="D560" s="117"/>
      <c r="E560" s="117"/>
      <c r="F560" s="117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  <c r="AB560" s="117"/>
      <c r="AC560" s="117"/>
      <c r="AD560" s="117"/>
      <c r="AE560" s="117"/>
      <c r="AF560" s="117"/>
      <c r="AG560" s="117"/>
      <c r="AH560" s="117"/>
    </row>
    <row r="561">
      <c r="A561" s="117"/>
      <c r="B561" s="117"/>
      <c r="C561" s="117"/>
      <c r="D561" s="117"/>
      <c r="E561" s="117"/>
      <c r="F561" s="117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  <c r="AB561" s="117"/>
      <c r="AC561" s="117"/>
      <c r="AD561" s="117"/>
      <c r="AE561" s="117"/>
      <c r="AF561" s="117"/>
      <c r="AG561" s="117"/>
      <c r="AH561" s="117"/>
    </row>
    <row r="562">
      <c r="A562" s="117"/>
      <c r="B562" s="117"/>
      <c r="C562" s="117"/>
      <c r="D562" s="117"/>
      <c r="E562" s="117"/>
      <c r="F562" s="117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  <c r="AB562" s="117"/>
      <c r="AC562" s="117"/>
      <c r="AD562" s="117"/>
      <c r="AE562" s="117"/>
      <c r="AF562" s="117"/>
      <c r="AG562" s="117"/>
      <c r="AH562" s="117"/>
    </row>
    <row r="563">
      <c r="A563" s="117"/>
      <c r="B563" s="117"/>
      <c r="C563" s="117"/>
      <c r="D563" s="117"/>
      <c r="E563" s="117"/>
      <c r="F563" s="117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  <c r="AB563" s="117"/>
      <c r="AC563" s="117"/>
      <c r="AD563" s="117"/>
      <c r="AE563" s="117"/>
      <c r="AF563" s="117"/>
      <c r="AG563" s="117"/>
      <c r="AH563" s="117"/>
    </row>
    <row r="564">
      <c r="A564" s="117"/>
      <c r="B564" s="117"/>
      <c r="C564" s="117"/>
      <c r="D564" s="117"/>
      <c r="E564" s="117"/>
      <c r="F564" s="117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  <c r="AB564" s="117"/>
      <c r="AC564" s="117"/>
      <c r="AD564" s="117"/>
      <c r="AE564" s="117"/>
      <c r="AF564" s="117"/>
      <c r="AG564" s="117"/>
      <c r="AH564" s="117"/>
    </row>
    <row r="565">
      <c r="A565" s="117"/>
      <c r="B565" s="117"/>
      <c r="C565" s="117"/>
      <c r="D565" s="117"/>
      <c r="E565" s="117"/>
      <c r="F565" s="117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  <c r="AB565" s="117"/>
      <c r="AC565" s="117"/>
      <c r="AD565" s="117"/>
      <c r="AE565" s="117"/>
      <c r="AF565" s="117"/>
      <c r="AG565" s="117"/>
      <c r="AH565" s="117"/>
    </row>
    <row r="566">
      <c r="A566" s="117"/>
      <c r="B566" s="117"/>
      <c r="C566" s="117"/>
      <c r="D566" s="117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  <c r="AB566" s="117"/>
      <c r="AC566" s="117"/>
      <c r="AD566" s="117"/>
      <c r="AE566" s="117"/>
      <c r="AF566" s="117"/>
      <c r="AG566" s="117"/>
      <c r="AH566" s="117"/>
    </row>
    <row r="567">
      <c r="A567" s="117"/>
      <c r="B567" s="117"/>
      <c r="C567" s="117"/>
      <c r="D567" s="117"/>
      <c r="E567" s="117"/>
      <c r="F567" s="117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  <c r="AB567" s="117"/>
      <c r="AC567" s="117"/>
      <c r="AD567" s="117"/>
      <c r="AE567" s="117"/>
      <c r="AF567" s="117"/>
      <c r="AG567" s="117"/>
      <c r="AH567" s="117"/>
    </row>
    <row r="568">
      <c r="A568" s="117"/>
      <c r="B568" s="117"/>
      <c r="C568" s="117"/>
      <c r="D568" s="117"/>
      <c r="E568" s="117"/>
      <c r="F568" s="117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  <c r="AB568" s="117"/>
      <c r="AC568" s="117"/>
      <c r="AD568" s="117"/>
      <c r="AE568" s="117"/>
      <c r="AF568" s="117"/>
      <c r="AG568" s="117"/>
      <c r="AH568" s="117"/>
    </row>
    <row r="569">
      <c r="A569" s="117"/>
      <c r="B569" s="117"/>
      <c r="C569" s="117"/>
      <c r="D569" s="117"/>
      <c r="E569" s="117"/>
      <c r="F569" s="117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  <c r="AB569" s="117"/>
      <c r="AC569" s="117"/>
      <c r="AD569" s="117"/>
      <c r="AE569" s="117"/>
      <c r="AF569" s="117"/>
      <c r="AG569" s="117"/>
      <c r="AH569" s="117"/>
    </row>
    <row r="570">
      <c r="A570" s="117"/>
      <c r="B570" s="117"/>
      <c r="C570" s="117"/>
      <c r="D570" s="117"/>
      <c r="E570" s="117"/>
      <c r="F570" s="117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  <c r="AB570" s="117"/>
      <c r="AC570" s="117"/>
      <c r="AD570" s="117"/>
      <c r="AE570" s="117"/>
      <c r="AF570" s="117"/>
      <c r="AG570" s="117"/>
      <c r="AH570" s="117"/>
    </row>
    <row r="571">
      <c r="A571" s="117"/>
      <c r="B571" s="117"/>
      <c r="C571" s="117"/>
      <c r="D571" s="117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  <c r="AB571" s="117"/>
      <c r="AC571" s="117"/>
      <c r="AD571" s="117"/>
      <c r="AE571" s="117"/>
      <c r="AF571" s="117"/>
      <c r="AG571" s="117"/>
      <c r="AH571" s="117"/>
    </row>
    <row r="572">
      <c r="A572" s="117"/>
      <c r="B572" s="117"/>
      <c r="C572" s="117"/>
      <c r="D572" s="117"/>
      <c r="E572" s="117"/>
      <c r="F572" s="117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  <c r="AB572" s="117"/>
      <c r="AC572" s="117"/>
      <c r="AD572" s="117"/>
      <c r="AE572" s="117"/>
      <c r="AF572" s="117"/>
      <c r="AG572" s="117"/>
      <c r="AH572" s="117"/>
    </row>
    <row r="573">
      <c r="A573" s="117"/>
      <c r="B573" s="117"/>
      <c r="C573" s="117"/>
      <c r="D573" s="117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  <c r="AB573" s="117"/>
      <c r="AC573" s="117"/>
      <c r="AD573" s="117"/>
      <c r="AE573" s="117"/>
      <c r="AF573" s="117"/>
      <c r="AG573" s="117"/>
      <c r="AH573" s="117"/>
    </row>
    <row r="574">
      <c r="A574" s="117"/>
      <c r="B574" s="117"/>
      <c r="C574" s="117"/>
      <c r="D574" s="117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  <c r="AB574" s="117"/>
      <c r="AC574" s="117"/>
      <c r="AD574" s="117"/>
      <c r="AE574" s="117"/>
      <c r="AF574" s="117"/>
      <c r="AG574" s="117"/>
      <c r="AH574" s="117"/>
    </row>
    <row r="575">
      <c r="A575" s="117"/>
      <c r="B575" s="117"/>
      <c r="C575" s="117"/>
      <c r="D575" s="117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  <c r="AA575" s="117"/>
      <c r="AB575" s="117"/>
      <c r="AC575" s="117"/>
      <c r="AD575" s="117"/>
      <c r="AE575" s="117"/>
      <c r="AF575" s="117"/>
      <c r="AG575" s="117"/>
      <c r="AH575" s="117"/>
    </row>
    <row r="576">
      <c r="A576" s="117"/>
      <c r="B576" s="117"/>
      <c r="C576" s="117"/>
      <c r="D576" s="117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  <c r="AA576" s="117"/>
      <c r="AB576" s="117"/>
      <c r="AC576" s="117"/>
      <c r="AD576" s="117"/>
      <c r="AE576" s="117"/>
      <c r="AF576" s="117"/>
      <c r="AG576" s="117"/>
      <c r="AH576" s="117"/>
    </row>
    <row r="577">
      <c r="A577" s="117"/>
      <c r="B577" s="117"/>
      <c r="C577" s="117"/>
      <c r="D577" s="117"/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  <c r="AA577" s="117"/>
      <c r="AB577" s="117"/>
      <c r="AC577" s="117"/>
      <c r="AD577" s="117"/>
      <c r="AE577" s="117"/>
      <c r="AF577" s="117"/>
      <c r="AG577" s="117"/>
      <c r="AH577" s="117"/>
    </row>
    <row r="578">
      <c r="A578" s="117"/>
      <c r="B578" s="117"/>
      <c r="C578" s="117"/>
      <c r="D578" s="117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  <c r="AA578" s="117"/>
      <c r="AB578" s="117"/>
      <c r="AC578" s="117"/>
      <c r="AD578" s="117"/>
      <c r="AE578" s="117"/>
      <c r="AF578" s="117"/>
      <c r="AG578" s="117"/>
      <c r="AH578" s="117"/>
    </row>
    <row r="579">
      <c r="A579" s="117"/>
      <c r="B579" s="117"/>
      <c r="C579" s="117"/>
      <c r="D579" s="117"/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  <c r="AA579" s="117"/>
      <c r="AB579" s="117"/>
      <c r="AC579" s="117"/>
      <c r="AD579" s="117"/>
      <c r="AE579" s="117"/>
      <c r="AF579" s="117"/>
      <c r="AG579" s="117"/>
      <c r="AH579" s="117"/>
    </row>
    <row r="580">
      <c r="A580" s="117"/>
      <c r="B580" s="117"/>
      <c r="C580" s="117"/>
      <c r="D580" s="117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  <c r="AA580" s="117"/>
      <c r="AB580" s="117"/>
      <c r="AC580" s="117"/>
      <c r="AD580" s="117"/>
      <c r="AE580" s="117"/>
      <c r="AF580" s="117"/>
      <c r="AG580" s="117"/>
      <c r="AH580" s="117"/>
    </row>
    <row r="581">
      <c r="A581" s="117"/>
      <c r="B581" s="117"/>
      <c r="C581" s="117"/>
      <c r="D581" s="117"/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  <c r="AA581" s="117"/>
      <c r="AB581" s="117"/>
      <c r="AC581" s="117"/>
      <c r="AD581" s="117"/>
      <c r="AE581" s="117"/>
      <c r="AF581" s="117"/>
      <c r="AG581" s="117"/>
      <c r="AH581" s="117"/>
    </row>
    <row r="582">
      <c r="A582" s="117"/>
      <c r="B582" s="117"/>
      <c r="C582" s="117"/>
      <c r="D582" s="117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  <c r="AA582" s="117"/>
      <c r="AB582" s="117"/>
      <c r="AC582" s="117"/>
      <c r="AD582" s="117"/>
      <c r="AE582" s="117"/>
      <c r="AF582" s="117"/>
      <c r="AG582" s="117"/>
      <c r="AH582" s="117"/>
    </row>
    <row r="583">
      <c r="A583" s="117"/>
      <c r="B583" s="117"/>
      <c r="C583" s="117"/>
      <c r="D583" s="117"/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  <c r="AA583" s="117"/>
      <c r="AB583" s="117"/>
      <c r="AC583" s="117"/>
      <c r="AD583" s="117"/>
      <c r="AE583" s="117"/>
      <c r="AF583" s="117"/>
      <c r="AG583" s="117"/>
      <c r="AH583" s="117"/>
    </row>
    <row r="584">
      <c r="A584" s="117"/>
      <c r="B584" s="117"/>
      <c r="C584" s="117"/>
      <c r="D584" s="117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  <c r="AA584" s="117"/>
      <c r="AB584" s="117"/>
      <c r="AC584" s="117"/>
      <c r="AD584" s="117"/>
      <c r="AE584" s="117"/>
      <c r="AF584" s="117"/>
      <c r="AG584" s="117"/>
      <c r="AH584" s="117"/>
    </row>
    <row r="585">
      <c r="A585" s="117"/>
      <c r="B585" s="117"/>
      <c r="C585" s="117"/>
      <c r="D585" s="117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  <c r="AA585" s="117"/>
      <c r="AB585" s="117"/>
      <c r="AC585" s="117"/>
      <c r="AD585" s="117"/>
      <c r="AE585" s="117"/>
      <c r="AF585" s="117"/>
      <c r="AG585" s="117"/>
      <c r="AH585" s="117"/>
    </row>
    <row r="586">
      <c r="A586" s="117"/>
      <c r="B586" s="117"/>
      <c r="C586" s="117"/>
      <c r="D586" s="117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  <c r="AA586" s="117"/>
      <c r="AB586" s="117"/>
      <c r="AC586" s="117"/>
      <c r="AD586" s="117"/>
      <c r="AE586" s="117"/>
      <c r="AF586" s="117"/>
      <c r="AG586" s="117"/>
      <c r="AH586" s="117"/>
    </row>
    <row r="587">
      <c r="A587" s="117"/>
      <c r="B587" s="117"/>
      <c r="C587" s="117"/>
      <c r="D587" s="117"/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  <c r="AA587" s="117"/>
      <c r="AB587" s="117"/>
      <c r="AC587" s="117"/>
      <c r="AD587" s="117"/>
      <c r="AE587" s="117"/>
      <c r="AF587" s="117"/>
      <c r="AG587" s="117"/>
      <c r="AH587" s="117"/>
    </row>
    <row r="588">
      <c r="A588" s="117"/>
      <c r="B588" s="117"/>
      <c r="C588" s="117"/>
      <c r="D588" s="117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  <c r="AA588" s="117"/>
      <c r="AB588" s="117"/>
      <c r="AC588" s="117"/>
      <c r="AD588" s="117"/>
      <c r="AE588" s="117"/>
      <c r="AF588" s="117"/>
      <c r="AG588" s="117"/>
      <c r="AH588" s="117"/>
    </row>
    <row r="589">
      <c r="A589" s="117"/>
      <c r="B589" s="117"/>
      <c r="C589" s="117"/>
      <c r="D589" s="117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  <c r="AA589" s="117"/>
      <c r="AB589" s="117"/>
      <c r="AC589" s="117"/>
      <c r="AD589" s="117"/>
      <c r="AE589" s="117"/>
      <c r="AF589" s="117"/>
      <c r="AG589" s="117"/>
      <c r="AH589" s="117"/>
    </row>
    <row r="590">
      <c r="A590" s="117"/>
      <c r="B590" s="117"/>
      <c r="C590" s="117"/>
      <c r="D590" s="117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  <c r="AA590" s="117"/>
      <c r="AB590" s="117"/>
      <c r="AC590" s="117"/>
      <c r="AD590" s="117"/>
      <c r="AE590" s="117"/>
      <c r="AF590" s="117"/>
      <c r="AG590" s="117"/>
      <c r="AH590" s="117"/>
    </row>
    <row r="591">
      <c r="A591" s="117"/>
      <c r="B591" s="117"/>
      <c r="C591" s="117"/>
      <c r="D591" s="117"/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  <c r="AA591" s="117"/>
      <c r="AB591" s="117"/>
      <c r="AC591" s="117"/>
      <c r="AD591" s="117"/>
      <c r="AE591" s="117"/>
      <c r="AF591" s="117"/>
      <c r="AG591" s="117"/>
      <c r="AH591" s="117"/>
    </row>
    <row r="592">
      <c r="A592" s="117"/>
      <c r="B592" s="117"/>
      <c r="C592" s="117"/>
      <c r="D592" s="117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117"/>
      <c r="AB592" s="117"/>
      <c r="AC592" s="117"/>
      <c r="AD592" s="117"/>
      <c r="AE592" s="117"/>
      <c r="AF592" s="117"/>
      <c r="AG592" s="117"/>
      <c r="AH592" s="117"/>
    </row>
    <row r="593">
      <c r="A593" s="117"/>
      <c r="B593" s="117"/>
      <c r="C593" s="117"/>
      <c r="D593" s="117"/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  <c r="AA593" s="117"/>
      <c r="AB593" s="117"/>
      <c r="AC593" s="117"/>
      <c r="AD593" s="117"/>
      <c r="AE593" s="117"/>
      <c r="AF593" s="117"/>
      <c r="AG593" s="117"/>
      <c r="AH593" s="117"/>
    </row>
    <row r="594">
      <c r="A594" s="117"/>
      <c r="B594" s="117"/>
      <c r="C594" s="117"/>
      <c r="D594" s="117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  <c r="AA594" s="117"/>
      <c r="AB594" s="117"/>
      <c r="AC594" s="117"/>
      <c r="AD594" s="117"/>
      <c r="AE594" s="117"/>
      <c r="AF594" s="117"/>
      <c r="AG594" s="117"/>
      <c r="AH594" s="117"/>
    </row>
    <row r="595">
      <c r="A595" s="117"/>
      <c r="B595" s="117"/>
      <c r="C595" s="117"/>
      <c r="D595" s="117"/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  <c r="AA595" s="117"/>
      <c r="AB595" s="117"/>
      <c r="AC595" s="117"/>
      <c r="AD595" s="117"/>
      <c r="AE595" s="117"/>
      <c r="AF595" s="117"/>
      <c r="AG595" s="117"/>
      <c r="AH595" s="117"/>
    </row>
    <row r="596">
      <c r="A596" s="117"/>
      <c r="B596" s="117"/>
      <c r="C596" s="117"/>
      <c r="D596" s="117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  <c r="AA596" s="117"/>
      <c r="AB596" s="117"/>
      <c r="AC596" s="117"/>
      <c r="AD596" s="117"/>
      <c r="AE596" s="117"/>
      <c r="AF596" s="117"/>
      <c r="AG596" s="117"/>
      <c r="AH596" s="117"/>
    </row>
    <row r="597">
      <c r="A597" s="117"/>
      <c r="B597" s="117"/>
      <c r="C597" s="117"/>
      <c r="D597" s="117"/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  <c r="AA597" s="117"/>
      <c r="AB597" s="117"/>
      <c r="AC597" s="117"/>
      <c r="AD597" s="117"/>
      <c r="AE597" s="117"/>
      <c r="AF597" s="117"/>
      <c r="AG597" s="117"/>
      <c r="AH597" s="117"/>
    </row>
    <row r="598">
      <c r="A598" s="117"/>
      <c r="B598" s="117"/>
      <c r="C598" s="117"/>
      <c r="D598" s="117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  <c r="AA598" s="117"/>
      <c r="AB598" s="117"/>
      <c r="AC598" s="117"/>
      <c r="AD598" s="117"/>
      <c r="AE598" s="117"/>
      <c r="AF598" s="117"/>
      <c r="AG598" s="117"/>
      <c r="AH598" s="117"/>
    </row>
    <row r="599">
      <c r="A599" s="117"/>
      <c r="B599" s="117"/>
      <c r="C599" s="117"/>
      <c r="D599" s="117"/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  <c r="AA599" s="117"/>
      <c r="AB599" s="117"/>
      <c r="AC599" s="117"/>
      <c r="AD599" s="117"/>
      <c r="AE599" s="117"/>
      <c r="AF599" s="117"/>
      <c r="AG599" s="117"/>
      <c r="AH599" s="117"/>
    </row>
    <row r="600">
      <c r="A600" s="117"/>
      <c r="B600" s="117"/>
      <c r="C600" s="117"/>
      <c r="D600" s="117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  <c r="AA600" s="117"/>
      <c r="AB600" s="117"/>
      <c r="AC600" s="117"/>
      <c r="AD600" s="117"/>
      <c r="AE600" s="117"/>
      <c r="AF600" s="117"/>
      <c r="AG600" s="117"/>
      <c r="AH600" s="117"/>
    </row>
    <row r="601">
      <c r="A601" s="117"/>
      <c r="B601" s="117"/>
      <c r="C601" s="117"/>
      <c r="D601" s="117"/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  <c r="AA601" s="117"/>
      <c r="AB601" s="117"/>
      <c r="AC601" s="117"/>
      <c r="AD601" s="117"/>
      <c r="AE601" s="117"/>
      <c r="AF601" s="117"/>
      <c r="AG601" s="117"/>
      <c r="AH601" s="117"/>
    </row>
    <row r="602">
      <c r="A602" s="117"/>
      <c r="B602" s="117"/>
      <c r="C602" s="117"/>
      <c r="D602" s="117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  <c r="AA602" s="117"/>
      <c r="AB602" s="117"/>
      <c r="AC602" s="117"/>
      <c r="AD602" s="117"/>
      <c r="AE602" s="117"/>
      <c r="AF602" s="117"/>
      <c r="AG602" s="117"/>
      <c r="AH602" s="117"/>
    </row>
    <row r="603">
      <c r="A603" s="117"/>
      <c r="B603" s="117"/>
      <c r="C603" s="117"/>
      <c r="D603" s="117"/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  <c r="AA603" s="117"/>
      <c r="AB603" s="117"/>
      <c r="AC603" s="117"/>
      <c r="AD603" s="117"/>
      <c r="AE603" s="117"/>
      <c r="AF603" s="117"/>
      <c r="AG603" s="117"/>
      <c r="AH603" s="117"/>
    </row>
    <row r="604">
      <c r="A604" s="117"/>
      <c r="B604" s="117"/>
      <c r="C604" s="117"/>
      <c r="D604" s="117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  <c r="AA604" s="117"/>
      <c r="AB604" s="117"/>
      <c r="AC604" s="117"/>
      <c r="AD604" s="117"/>
      <c r="AE604" s="117"/>
      <c r="AF604" s="117"/>
      <c r="AG604" s="117"/>
      <c r="AH604" s="117"/>
    </row>
    <row r="605">
      <c r="A605" s="117"/>
      <c r="B605" s="117"/>
      <c r="C605" s="117"/>
      <c r="D605" s="117"/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  <c r="AA605" s="117"/>
      <c r="AB605" s="117"/>
      <c r="AC605" s="117"/>
      <c r="AD605" s="117"/>
      <c r="AE605" s="117"/>
      <c r="AF605" s="117"/>
      <c r="AG605" s="117"/>
      <c r="AH605" s="117"/>
    </row>
    <row r="606">
      <c r="A606" s="117"/>
      <c r="B606" s="117"/>
      <c r="C606" s="117"/>
      <c r="D606" s="117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  <c r="AA606" s="117"/>
      <c r="AB606" s="117"/>
      <c r="AC606" s="117"/>
      <c r="AD606" s="117"/>
      <c r="AE606" s="117"/>
      <c r="AF606" s="117"/>
      <c r="AG606" s="117"/>
      <c r="AH606" s="117"/>
    </row>
    <row r="607">
      <c r="A607" s="117"/>
      <c r="B607" s="117"/>
      <c r="C607" s="117"/>
      <c r="D607" s="117"/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  <c r="AA607" s="117"/>
      <c r="AB607" s="117"/>
      <c r="AC607" s="117"/>
      <c r="AD607" s="117"/>
      <c r="AE607" s="117"/>
      <c r="AF607" s="117"/>
      <c r="AG607" s="117"/>
      <c r="AH607" s="117"/>
    </row>
    <row r="608">
      <c r="A608" s="117"/>
      <c r="B608" s="117"/>
      <c r="C608" s="117"/>
      <c r="D608" s="117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  <c r="AA608" s="117"/>
      <c r="AB608" s="117"/>
      <c r="AC608" s="117"/>
      <c r="AD608" s="117"/>
      <c r="AE608" s="117"/>
      <c r="AF608" s="117"/>
      <c r="AG608" s="117"/>
      <c r="AH608" s="117"/>
    </row>
    <row r="609">
      <c r="A609" s="117"/>
      <c r="B609" s="117"/>
      <c r="C609" s="117"/>
      <c r="D609" s="117"/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  <c r="AA609" s="117"/>
      <c r="AB609" s="117"/>
      <c r="AC609" s="117"/>
      <c r="AD609" s="117"/>
      <c r="AE609" s="117"/>
      <c r="AF609" s="117"/>
      <c r="AG609" s="117"/>
      <c r="AH609" s="117"/>
    </row>
    <row r="610">
      <c r="A610" s="117"/>
      <c r="B610" s="117"/>
      <c r="C610" s="117"/>
      <c r="D610" s="117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  <c r="AA610" s="117"/>
      <c r="AB610" s="117"/>
      <c r="AC610" s="117"/>
      <c r="AD610" s="117"/>
      <c r="AE610" s="117"/>
      <c r="AF610" s="117"/>
      <c r="AG610" s="117"/>
      <c r="AH610" s="117"/>
    </row>
    <row r="611">
      <c r="A611" s="117"/>
      <c r="B611" s="117"/>
      <c r="C611" s="117"/>
      <c r="D611" s="117"/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  <c r="AA611" s="117"/>
      <c r="AB611" s="117"/>
      <c r="AC611" s="117"/>
      <c r="AD611" s="117"/>
      <c r="AE611" s="117"/>
      <c r="AF611" s="117"/>
      <c r="AG611" s="117"/>
      <c r="AH611" s="117"/>
    </row>
    <row r="612">
      <c r="A612" s="117"/>
      <c r="B612" s="117"/>
      <c r="C612" s="117"/>
      <c r="D612" s="117"/>
      <c r="E612" s="117"/>
      <c r="F612" s="117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  <c r="AA612" s="117"/>
      <c r="AB612" s="117"/>
      <c r="AC612" s="117"/>
      <c r="AD612" s="117"/>
      <c r="AE612" s="117"/>
      <c r="AF612" s="117"/>
      <c r="AG612" s="117"/>
      <c r="AH612" s="117"/>
    </row>
    <row r="613">
      <c r="A613" s="117"/>
      <c r="B613" s="117"/>
      <c r="C613" s="117"/>
      <c r="D613" s="117"/>
      <c r="E613" s="117"/>
      <c r="F613" s="117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  <c r="AA613" s="117"/>
      <c r="AB613" s="117"/>
      <c r="AC613" s="117"/>
      <c r="AD613" s="117"/>
      <c r="AE613" s="117"/>
      <c r="AF613" s="117"/>
      <c r="AG613" s="117"/>
      <c r="AH613" s="117"/>
    </row>
    <row r="614">
      <c r="A614" s="117"/>
      <c r="B614" s="117"/>
      <c r="C614" s="117"/>
      <c r="D614" s="117"/>
      <c r="E614" s="117"/>
      <c r="F614" s="117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  <c r="AA614" s="117"/>
      <c r="AB614" s="117"/>
      <c r="AC614" s="117"/>
      <c r="AD614" s="117"/>
      <c r="AE614" s="117"/>
      <c r="AF614" s="117"/>
      <c r="AG614" s="117"/>
      <c r="AH614" s="117"/>
    </row>
    <row r="615">
      <c r="A615" s="117"/>
      <c r="B615" s="117"/>
      <c r="C615" s="117"/>
      <c r="D615" s="117"/>
      <c r="E615" s="117"/>
      <c r="F615" s="117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  <c r="AA615" s="117"/>
      <c r="AB615" s="117"/>
      <c r="AC615" s="117"/>
      <c r="AD615" s="117"/>
      <c r="AE615" s="117"/>
      <c r="AF615" s="117"/>
      <c r="AG615" s="117"/>
      <c r="AH615" s="117"/>
    </row>
    <row r="616">
      <c r="A616" s="117"/>
      <c r="B616" s="117"/>
      <c r="C616" s="117"/>
      <c r="D616" s="117"/>
      <c r="E616" s="117"/>
      <c r="F616" s="117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  <c r="AA616" s="117"/>
      <c r="AB616" s="117"/>
      <c r="AC616" s="117"/>
      <c r="AD616" s="117"/>
      <c r="AE616" s="117"/>
      <c r="AF616" s="117"/>
      <c r="AG616" s="117"/>
      <c r="AH616" s="117"/>
    </row>
    <row r="617">
      <c r="A617" s="117"/>
      <c r="B617" s="117"/>
      <c r="C617" s="117"/>
      <c r="D617" s="117"/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  <c r="AA617" s="117"/>
      <c r="AB617" s="117"/>
      <c r="AC617" s="117"/>
      <c r="AD617" s="117"/>
      <c r="AE617" s="117"/>
      <c r="AF617" s="117"/>
      <c r="AG617" s="117"/>
      <c r="AH617" s="117"/>
    </row>
    <row r="618">
      <c r="A618" s="117"/>
      <c r="B618" s="117"/>
      <c r="C618" s="117"/>
      <c r="D618" s="117"/>
      <c r="E618" s="117"/>
      <c r="F618" s="117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  <c r="AA618" s="117"/>
      <c r="AB618" s="117"/>
      <c r="AC618" s="117"/>
      <c r="AD618" s="117"/>
      <c r="AE618" s="117"/>
      <c r="AF618" s="117"/>
      <c r="AG618" s="117"/>
      <c r="AH618" s="117"/>
    </row>
    <row r="619">
      <c r="A619" s="117"/>
      <c r="B619" s="117"/>
      <c r="C619" s="117"/>
      <c r="D619" s="117"/>
      <c r="E619" s="117"/>
      <c r="F619" s="117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  <c r="AA619" s="117"/>
      <c r="AB619" s="117"/>
      <c r="AC619" s="117"/>
      <c r="AD619" s="117"/>
      <c r="AE619" s="117"/>
      <c r="AF619" s="117"/>
      <c r="AG619" s="117"/>
      <c r="AH619" s="117"/>
    </row>
    <row r="620">
      <c r="A620" s="117"/>
      <c r="B620" s="117"/>
      <c r="C620" s="117"/>
      <c r="D620" s="117"/>
      <c r="E620" s="117"/>
      <c r="F620" s="117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  <c r="AA620" s="117"/>
      <c r="AB620" s="117"/>
      <c r="AC620" s="117"/>
      <c r="AD620" s="117"/>
      <c r="AE620" s="117"/>
      <c r="AF620" s="117"/>
      <c r="AG620" s="117"/>
      <c r="AH620" s="117"/>
    </row>
    <row r="621">
      <c r="A621" s="117"/>
      <c r="B621" s="117"/>
      <c r="C621" s="117"/>
      <c r="D621" s="117"/>
      <c r="E621" s="117"/>
      <c r="F621" s="117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  <c r="AA621" s="117"/>
      <c r="AB621" s="117"/>
      <c r="AC621" s="117"/>
      <c r="AD621" s="117"/>
      <c r="AE621" s="117"/>
      <c r="AF621" s="117"/>
      <c r="AG621" s="117"/>
      <c r="AH621" s="117"/>
    </row>
    <row r="622">
      <c r="A622" s="117"/>
      <c r="B622" s="117"/>
      <c r="C622" s="117"/>
      <c r="D622" s="117"/>
      <c r="E622" s="117"/>
      <c r="F622" s="117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  <c r="AA622" s="117"/>
      <c r="AB622" s="117"/>
      <c r="AC622" s="117"/>
      <c r="AD622" s="117"/>
      <c r="AE622" s="117"/>
      <c r="AF622" s="117"/>
      <c r="AG622" s="117"/>
      <c r="AH622" s="117"/>
    </row>
    <row r="623">
      <c r="A623" s="117"/>
      <c r="B623" s="117"/>
      <c r="C623" s="117"/>
      <c r="D623" s="117"/>
      <c r="E623" s="117"/>
      <c r="F623" s="117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  <c r="AA623" s="117"/>
      <c r="AB623" s="117"/>
      <c r="AC623" s="117"/>
      <c r="AD623" s="117"/>
      <c r="AE623" s="117"/>
      <c r="AF623" s="117"/>
      <c r="AG623" s="117"/>
      <c r="AH623" s="117"/>
    </row>
    <row r="624">
      <c r="A624" s="117"/>
      <c r="B624" s="117"/>
      <c r="C624" s="117"/>
      <c r="D624" s="117"/>
      <c r="E624" s="117"/>
      <c r="F624" s="117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  <c r="AA624" s="117"/>
      <c r="AB624" s="117"/>
      <c r="AC624" s="117"/>
      <c r="AD624" s="117"/>
      <c r="AE624" s="117"/>
      <c r="AF624" s="117"/>
      <c r="AG624" s="117"/>
      <c r="AH624" s="117"/>
    </row>
    <row r="625">
      <c r="A625" s="117"/>
      <c r="B625" s="117"/>
      <c r="C625" s="117"/>
      <c r="D625" s="117"/>
      <c r="E625" s="117"/>
      <c r="F625" s="117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  <c r="AA625" s="117"/>
      <c r="AB625" s="117"/>
      <c r="AC625" s="117"/>
      <c r="AD625" s="117"/>
      <c r="AE625" s="117"/>
      <c r="AF625" s="117"/>
      <c r="AG625" s="117"/>
      <c r="AH625" s="117"/>
    </row>
    <row r="626">
      <c r="A626" s="117"/>
      <c r="B626" s="117"/>
      <c r="C626" s="117"/>
      <c r="D626" s="117"/>
      <c r="E626" s="117"/>
      <c r="F626" s="117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  <c r="AA626" s="117"/>
      <c r="AB626" s="117"/>
      <c r="AC626" s="117"/>
      <c r="AD626" s="117"/>
      <c r="AE626" s="117"/>
      <c r="AF626" s="117"/>
      <c r="AG626" s="117"/>
      <c r="AH626" s="117"/>
    </row>
    <row r="627">
      <c r="A627" s="117"/>
      <c r="B627" s="117"/>
      <c r="C627" s="117"/>
      <c r="D627" s="117"/>
      <c r="E627" s="117"/>
      <c r="F627" s="117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  <c r="AA627" s="117"/>
      <c r="AB627" s="117"/>
      <c r="AC627" s="117"/>
      <c r="AD627" s="117"/>
      <c r="AE627" s="117"/>
      <c r="AF627" s="117"/>
      <c r="AG627" s="117"/>
      <c r="AH627" s="117"/>
    </row>
    <row r="628">
      <c r="A628" s="117"/>
      <c r="B628" s="117"/>
      <c r="C628" s="117"/>
      <c r="D628" s="117"/>
      <c r="E628" s="117"/>
      <c r="F628" s="117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  <c r="AA628" s="117"/>
      <c r="AB628" s="117"/>
      <c r="AC628" s="117"/>
      <c r="AD628" s="117"/>
      <c r="AE628" s="117"/>
      <c r="AF628" s="117"/>
      <c r="AG628" s="117"/>
      <c r="AH628" s="117"/>
    </row>
    <row r="629">
      <c r="A629" s="117"/>
      <c r="B629" s="117"/>
      <c r="C629" s="117"/>
      <c r="D629" s="117"/>
      <c r="E629" s="117"/>
      <c r="F629" s="117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  <c r="AA629" s="117"/>
      <c r="AB629" s="117"/>
      <c r="AC629" s="117"/>
      <c r="AD629" s="117"/>
      <c r="AE629" s="117"/>
      <c r="AF629" s="117"/>
      <c r="AG629" s="117"/>
      <c r="AH629" s="117"/>
    </row>
    <row r="630">
      <c r="A630" s="117"/>
      <c r="B630" s="117"/>
      <c r="C630" s="117"/>
      <c r="D630" s="117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117"/>
      <c r="AB630" s="117"/>
      <c r="AC630" s="117"/>
      <c r="AD630" s="117"/>
      <c r="AE630" s="117"/>
      <c r="AF630" s="117"/>
      <c r="AG630" s="117"/>
      <c r="AH630" s="117"/>
    </row>
    <row r="631">
      <c r="A631" s="117"/>
      <c r="B631" s="117"/>
      <c r="C631" s="117"/>
      <c r="D631" s="117"/>
      <c r="E631" s="117"/>
      <c r="F631" s="117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  <c r="AA631" s="117"/>
      <c r="AB631" s="117"/>
      <c r="AC631" s="117"/>
      <c r="AD631" s="117"/>
      <c r="AE631" s="117"/>
      <c r="AF631" s="117"/>
      <c r="AG631" s="117"/>
      <c r="AH631" s="117"/>
    </row>
    <row r="632">
      <c r="A632" s="117"/>
      <c r="B632" s="117"/>
      <c r="C632" s="117"/>
      <c r="D632" s="117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  <c r="AA632" s="117"/>
      <c r="AB632" s="117"/>
      <c r="AC632" s="117"/>
      <c r="AD632" s="117"/>
      <c r="AE632" s="117"/>
      <c r="AF632" s="117"/>
      <c r="AG632" s="117"/>
      <c r="AH632" s="117"/>
    </row>
    <row r="633">
      <c r="A633" s="117"/>
      <c r="B633" s="117"/>
      <c r="C633" s="117"/>
      <c r="D633" s="117"/>
      <c r="E633" s="117"/>
      <c r="F633" s="117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  <c r="AA633" s="117"/>
      <c r="AB633" s="117"/>
      <c r="AC633" s="117"/>
      <c r="AD633" s="117"/>
      <c r="AE633" s="117"/>
      <c r="AF633" s="117"/>
      <c r="AG633" s="117"/>
      <c r="AH633" s="117"/>
    </row>
    <row r="634">
      <c r="A634" s="117"/>
      <c r="B634" s="117"/>
      <c r="C634" s="117"/>
      <c r="D634" s="117"/>
      <c r="E634" s="117"/>
      <c r="F634" s="117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  <c r="AA634" s="117"/>
      <c r="AB634" s="117"/>
      <c r="AC634" s="117"/>
      <c r="AD634" s="117"/>
      <c r="AE634" s="117"/>
      <c r="AF634" s="117"/>
      <c r="AG634" s="117"/>
      <c r="AH634" s="117"/>
    </row>
    <row r="635">
      <c r="A635" s="117"/>
      <c r="B635" s="117"/>
      <c r="C635" s="117"/>
      <c r="D635" s="117"/>
      <c r="E635" s="117"/>
      <c r="F635" s="117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  <c r="AA635" s="117"/>
      <c r="AB635" s="117"/>
      <c r="AC635" s="117"/>
      <c r="AD635" s="117"/>
      <c r="AE635" s="117"/>
      <c r="AF635" s="117"/>
      <c r="AG635" s="117"/>
      <c r="AH635" s="117"/>
    </row>
    <row r="636">
      <c r="A636" s="117"/>
      <c r="B636" s="117"/>
      <c r="C636" s="117"/>
      <c r="D636" s="117"/>
      <c r="E636" s="117"/>
      <c r="F636" s="117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  <c r="AA636" s="117"/>
      <c r="AB636" s="117"/>
      <c r="AC636" s="117"/>
      <c r="AD636" s="117"/>
      <c r="AE636" s="117"/>
      <c r="AF636" s="117"/>
      <c r="AG636" s="117"/>
      <c r="AH636" s="117"/>
    </row>
    <row r="637">
      <c r="A637" s="117"/>
      <c r="B637" s="117"/>
      <c r="C637" s="117"/>
      <c r="D637" s="117"/>
      <c r="E637" s="117"/>
      <c r="F637" s="117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  <c r="AA637" s="117"/>
      <c r="AB637" s="117"/>
      <c r="AC637" s="117"/>
      <c r="AD637" s="117"/>
      <c r="AE637" s="117"/>
      <c r="AF637" s="117"/>
      <c r="AG637" s="117"/>
      <c r="AH637" s="117"/>
    </row>
    <row r="638">
      <c r="A638" s="117"/>
      <c r="B638" s="117"/>
      <c r="C638" s="117"/>
      <c r="D638" s="117"/>
      <c r="E638" s="117"/>
      <c r="F638" s="117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  <c r="AA638" s="117"/>
      <c r="AB638" s="117"/>
      <c r="AC638" s="117"/>
      <c r="AD638" s="117"/>
      <c r="AE638" s="117"/>
      <c r="AF638" s="117"/>
      <c r="AG638" s="117"/>
      <c r="AH638" s="117"/>
    </row>
    <row r="639">
      <c r="A639" s="117"/>
      <c r="B639" s="117"/>
      <c r="C639" s="117"/>
      <c r="D639" s="117"/>
      <c r="E639" s="117"/>
      <c r="F639" s="117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  <c r="AA639" s="117"/>
      <c r="AB639" s="117"/>
      <c r="AC639" s="117"/>
      <c r="AD639" s="117"/>
      <c r="AE639" s="117"/>
      <c r="AF639" s="117"/>
      <c r="AG639" s="117"/>
      <c r="AH639" s="117"/>
    </row>
    <row r="640">
      <c r="A640" s="117"/>
      <c r="B640" s="117"/>
      <c r="C640" s="117"/>
      <c r="D640" s="117"/>
      <c r="E640" s="117"/>
      <c r="F640" s="117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  <c r="AA640" s="117"/>
      <c r="AB640" s="117"/>
      <c r="AC640" s="117"/>
      <c r="AD640" s="117"/>
      <c r="AE640" s="117"/>
      <c r="AF640" s="117"/>
      <c r="AG640" s="117"/>
      <c r="AH640" s="117"/>
    </row>
    <row r="641">
      <c r="A641" s="117"/>
      <c r="B641" s="117"/>
      <c r="C641" s="117"/>
      <c r="D641" s="117"/>
      <c r="E641" s="117"/>
      <c r="F641" s="117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  <c r="AA641" s="117"/>
      <c r="AB641" s="117"/>
      <c r="AC641" s="117"/>
      <c r="AD641" s="117"/>
      <c r="AE641" s="117"/>
      <c r="AF641" s="117"/>
      <c r="AG641" s="117"/>
      <c r="AH641" s="117"/>
    </row>
    <row r="642">
      <c r="A642" s="117"/>
      <c r="B642" s="117"/>
      <c r="C642" s="117"/>
      <c r="D642" s="117"/>
      <c r="E642" s="117"/>
      <c r="F642" s="117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  <c r="AA642" s="117"/>
      <c r="AB642" s="117"/>
      <c r="AC642" s="117"/>
      <c r="AD642" s="117"/>
      <c r="AE642" s="117"/>
      <c r="AF642" s="117"/>
      <c r="AG642" s="117"/>
      <c r="AH642" s="117"/>
    </row>
    <row r="643">
      <c r="A643" s="117"/>
      <c r="B643" s="117"/>
      <c r="C643" s="117"/>
      <c r="D643" s="117"/>
      <c r="E643" s="117"/>
      <c r="F643" s="117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  <c r="AA643" s="117"/>
      <c r="AB643" s="117"/>
      <c r="AC643" s="117"/>
      <c r="AD643" s="117"/>
      <c r="AE643" s="117"/>
      <c r="AF643" s="117"/>
      <c r="AG643" s="117"/>
      <c r="AH643" s="117"/>
    </row>
    <row r="644">
      <c r="A644" s="117"/>
      <c r="B644" s="117"/>
      <c r="C644" s="117"/>
      <c r="D644" s="117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  <c r="AA644" s="117"/>
      <c r="AB644" s="117"/>
      <c r="AC644" s="117"/>
      <c r="AD644" s="117"/>
      <c r="AE644" s="117"/>
      <c r="AF644" s="117"/>
      <c r="AG644" s="117"/>
      <c r="AH644" s="117"/>
    </row>
    <row r="645">
      <c r="A645" s="117"/>
      <c r="B645" s="117"/>
      <c r="C645" s="117"/>
      <c r="D645" s="117"/>
      <c r="E645" s="117"/>
      <c r="F645" s="117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  <c r="AA645" s="117"/>
      <c r="AB645" s="117"/>
      <c r="AC645" s="117"/>
      <c r="AD645" s="117"/>
      <c r="AE645" s="117"/>
      <c r="AF645" s="117"/>
      <c r="AG645" s="117"/>
      <c r="AH645" s="117"/>
    </row>
    <row r="646">
      <c r="A646" s="117"/>
      <c r="B646" s="117"/>
      <c r="C646" s="117"/>
      <c r="D646" s="117"/>
      <c r="E646" s="117"/>
      <c r="F646" s="117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  <c r="AA646" s="117"/>
      <c r="AB646" s="117"/>
      <c r="AC646" s="117"/>
      <c r="AD646" s="117"/>
      <c r="AE646" s="117"/>
      <c r="AF646" s="117"/>
      <c r="AG646" s="117"/>
      <c r="AH646" s="117"/>
    </row>
    <row r="647">
      <c r="A647" s="117"/>
      <c r="B647" s="117"/>
      <c r="C647" s="117"/>
      <c r="D647" s="117"/>
      <c r="E647" s="117"/>
      <c r="F647" s="117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  <c r="AA647" s="117"/>
      <c r="AB647" s="117"/>
      <c r="AC647" s="117"/>
      <c r="AD647" s="117"/>
      <c r="AE647" s="117"/>
      <c r="AF647" s="117"/>
      <c r="AG647" s="117"/>
      <c r="AH647" s="117"/>
    </row>
    <row r="648">
      <c r="A648" s="117"/>
      <c r="B648" s="117"/>
      <c r="C648" s="117"/>
      <c r="D648" s="117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  <c r="AA648" s="117"/>
      <c r="AB648" s="117"/>
      <c r="AC648" s="117"/>
      <c r="AD648" s="117"/>
      <c r="AE648" s="117"/>
      <c r="AF648" s="117"/>
      <c r="AG648" s="117"/>
      <c r="AH648" s="117"/>
    </row>
    <row r="649">
      <c r="A649" s="117"/>
      <c r="B649" s="117"/>
      <c r="C649" s="117"/>
      <c r="D649" s="117"/>
      <c r="E649" s="117"/>
      <c r="F649" s="117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  <c r="AA649" s="117"/>
      <c r="AB649" s="117"/>
      <c r="AC649" s="117"/>
      <c r="AD649" s="117"/>
      <c r="AE649" s="117"/>
      <c r="AF649" s="117"/>
      <c r="AG649" s="117"/>
      <c r="AH649" s="117"/>
    </row>
    <row r="650">
      <c r="A650" s="117"/>
      <c r="B650" s="117"/>
      <c r="C650" s="117"/>
      <c r="D650" s="117"/>
      <c r="E650" s="117"/>
      <c r="F650" s="117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  <c r="AA650" s="117"/>
      <c r="AB650" s="117"/>
      <c r="AC650" s="117"/>
      <c r="AD650" s="117"/>
      <c r="AE650" s="117"/>
      <c r="AF650" s="117"/>
      <c r="AG650" s="117"/>
      <c r="AH650" s="117"/>
    </row>
    <row r="651">
      <c r="A651" s="117"/>
      <c r="B651" s="117"/>
      <c r="C651" s="117"/>
      <c r="D651" s="117"/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  <c r="AA651" s="117"/>
      <c r="AB651" s="117"/>
      <c r="AC651" s="117"/>
      <c r="AD651" s="117"/>
      <c r="AE651" s="117"/>
      <c r="AF651" s="117"/>
      <c r="AG651" s="117"/>
      <c r="AH651" s="117"/>
    </row>
    <row r="652">
      <c r="A652" s="117"/>
      <c r="B652" s="117"/>
      <c r="C652" s="117"/>
      <c r="D652" s="117"/>
      <c r="E652" s="117"/>
      <c r="F652" s="117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  <c r="AA652" s="117"/>
      <c r="AB652" s="117"/>
      <c r="AC652" s="117"/>
      <c r="AD652" s="117"/>
      <c r="AE652" s="117"/>
      <c r="AF652" s="117"/>
      <c r="AG652" s="117"/>
      <c r="AH652" s="117"/>
    </row>
    <row r="653">
      <c r="A653" s="117"/>
      <c r="B653" s="117"/>
      <c r="C653" s="117"/>
      <c r="D653" s="117"/>
      <c r="E653" s="117"/>
      <c r="F653" s="117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  <c r="AA653" s="117"/>
      <c r="AB653" s="117"/>
      <c r="AC653" s="117"/>
      <c r="AD653" s="117"/>
      <c r="AE653" s="117"/>
      <c r="AF653" s="117"/>
      <c r="AG653" s="117"/>
      <c r="AH653" s="117"/>
    </row>
    <row r="654">
      <c r="A654" s="117"/>
      <c r="B654" s="117"/>
      <c r="C654" s="117"/>
      <c r="D654" s="117"/>
      <c r="E654" s="117"/>
      <c r="F654" s="117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  <c r="AA654" s="117"/>
      <c r="AB654" s="117"/>
      <c r="AC654" s="117"/>
      <c r="AD654" s="117"/>
      <c r="AE654" s="117"/>
      <c r="AF654" s="117"/>
      <c r="AG654" s="117"/>
      <c r="AH654" s="117"/>
    </row>
    <row r="655">
      <c r="A655" s="117"/>
      <c r="B655" s="117"/>
      <c r="C655" s="117"/>
      <c r="D655" s="117"/>
      <c r="E655" s="117"/>
      <c r="F655" s="117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  <c r="AA655" s="117"/>
      <c r="AB655" s="117"/>
      <c r="AC655" s="117"/>
      <c r="AD655" s="117"/>
      <c r="AE655" s="117"/>
      <c r="AF655" s="117"/>
      <c r="AG655" s="117"/>
      <c r="AH655" s="117"/>
    </row>
    <row r="656">
      <c r="A656" s="117"/>
      <c r="B656" s="117"/>
      <c r="C656" s="117"/>
      <c r="D656" s="117"/>
      <c r="E656" s="117"/>
      <c r="F656" s="117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  <c r="AA656" s="117"/>
      <c r="AB656" s="117"/>
      <c r="AC656" s="117"/>
      <c r="AD656" s="117"/>
      <c r="AE656" s="117"/>
      <c r="AF656" s="117"/>
      <c r="AG656" s="117"/>
      <c r="AH656" s="117"/>
    </row>
    <row r="657">
      <c r="A657" s="117"/>
      <c r="B657" s="117"/>
      <c r="C657" s="117"/>
      <c r="D657" s="117"/>
      <c r="E657" s="117"/>
      <c r="F657" s="117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  <c r="AA657" s="117"/>
      <c r="AB657" s="117"/>
      <c r="AC657" s="117"/>
      <c r="AD657" s="117"/>
      <c r="AE657" s="117"/>
      <c r="AF657" s="117"/>
      <c r="AG657" s="117"/>
      <c r="AH657" s="117"/>
    </row>
    <row r="658">
      <c r="A658" s="117"/>
      <c r="B658" s="117"/>
      <c r="C658" s="117"/>
      <c r="D658" s="117"/>
      <c r="E658" s="117"/>
      <c r="F658" s="117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  <c r="AA658" s="117"/>
      <c r="AB658" s="117"/>
      <c r="AC658" s="117"/>
      <c r="AD658" s="117"/>
      <c r="AE658" s="117"/>
      <c r="AF658" s="117"/>
      <c r="AG658" s="117"/>
      <c r="AH658" s="117"/>
    </row>
    <row r="659">
      <c r="A659" s="117"/>
      <c r="B659" s="117"/>
      <c r="C659" s="117"/>
      <c r="D659" s="117"/>
      <c r="E659" s="117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  <c r="AA659" s="117"/>
      <c r="AB659" s="117"/>
      <c r="AC659" s="117"/>
      <c r="AD659" s="117"/>
      <c r="AE659" s="117"/>
      <c r="AF659" s="117"/>
      <c r="AG659" s="117"/>
      <c r="AH659" s="117"/>
    </row>
    <row r="660">
      <c r="A660" s="117"/>
      <c r="B660" s="117"/>
      <c r="C660" s="117"/>
      <c r="D660" s="117"/>
      <c r="E660" s="117"/>
      <c r="F660" s="117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  <c r="AA660" s="117"/>
      <c r="AB660" s="117"/>
      <c r="AC660" s="117"/>
      <c r="AD660" s="117"/>
      <c r="AE660" s="117"/>
      <c r="AF660" s="117"/>
      <c r="AG660" s="117"/>
      <c r="AH660" s="117"/>
    </row>
    <row r="661">
      <c r="A661" s="117"/>
      <c r="B661" s="117"/>
      <c r="C661" s="117"/>
      <c r="D661" s="117"/>
      <c r="E661" s="117"/>
      <c r="F661" s="117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  <c r="AA661" s="117"/>
      <c r="AB661" s="117"/>
      <c r="AC661" s="117"/>
      <c r="AD661" s="117"/>
      <c r="AE661" s="117"/>
      <c r="AF661" s="117"/>
      <c r="AG661" s="117"/>
      <c r="AH661" s="117"/>
    </row>
    <row r="662">
      <c r="A662" s="117"/>
      <c r="B662" s="117"/>
      <c r="C662" s="117"/>
      <c r="D662" s="117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  <c r="AA662" s="117"/>
      <c r="AB662" s="117"/>
      <c r="AC662" s="117"/>
      <c r="AD662" s="117"/>
      <c r="AE662" s="117"/>
      <c r="AF662" s="117"/>
      <c r="AG662" s="117"/>
      <c r="AH662" s="117"/>
    </row>
    <row r="663">
      <c r="A663" s="117"/>
      <c r="B663" s="117"/>
      <c r="C663" s="117"/>
      <c r="D663" s="117"/>
      <c r="E663" s="117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  <c r="AA663" s="117"/>
      <c r="AB663" s="117"/>
      <c r="AC663" s="117"/>
      <c r="AD663" s="117"/>
      <c r="AE663" s="117"/>
      <c r="AF663" s="117"/>
      <c r="AG663" s="117"/>
      <c r="AH663" s="117"/>
    </row>
    <row r="664">
      <c r="A664" s="117"/>
      <c r="B664" s="117"/>
      <c r="C664" s="117"/>
      <c r="D664" s="117"/>
      <c r="E664" s="117"/>
      <c r="F664" s="117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  <c r="AA664" s="117"/>
      <c r="AB664" s="117"/>
      <c r="AC664" s="117"/>
      <c r="AD664" s="117"/>
      <c r="AE664" s="117"/>
      <c r="AF664" s="117"/>
      <c r="AG664" s="117"/>
      <c r="AH664" s="117"/>
    </row>
    <row r="665">
      <c r="A665" s="117"/>
      <c r="B665" s="117"/>
      <c r="C665" s="117"/>
      <c r="D665" s="117"/>
      <c r="E665" s="117"/>
      <c r="F665" s="117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  <c r="AA665" s="117"/>
      <c r="AB665" s="117"/>
      <c r="AC665" s="117"/>
      <c r="AD665" s="117"/>
      <c r="AE665" s="117"/>
      <c r="AF665" s="117"/>
      <c r="AG665" s="117"/>
      <c r="AH665" s="117"/>
    </row>
    <row r="666">
      <c r="A666" s="117"/>
      <c r="B666" s="117"/>
      <c r="C666" s="117"/>
      <c r="D666" s="117"/>
      <c r="E666" s="117"/>
      <c r="F666" s="117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  <c r="AA666" s="117"/>
      <c r="AB666" s="117"/>
      <c r="AC666" s="117"/>
      <c r="AD666" s="117"/>
      <c r="AE666" s="117"/>
      <c r="AF666" s="117"/>
      <c r="AG666" s="117"/>
      <c r="AH666" s="117"/>
    </row>
    <row r="667">
      <c r="A667" s="117"/>
      <c r="B667" s="117"/>
      <c r="C667" s="117"/>
      <c r="D667" s="117"/>
      <c r="E667" s="117"/>
      <c r="F667" s="117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  <c r="AA667" s="117"/>
      <c r="AB667" s="117"/>
      <c r="AC667" s="117"/>
      <c r="AD667" s="117"/>
      <c r="AE667" s="117"/>
      <c r="AF667" s="117"/>
      <c r="AG667" s="117"/>
      <c r="AH667" s="117"/>
    </row>
    <row r="668">
      <c r="A668" s="117"/>
      <c r="B668" s="117"/>
      <c r="C668" s="117"/>
      <c r="D668" s="117"/>
      <c r="E668" s="117"/>
      <c r="F668" s="117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117"/>
      <c r="AB668" s="117"/>
      <c r="AC668" s="117"/>
      <c r="AD668" s="117"/>
      <c r="AE668" s="117"/>
      <c r="AF668" s="117"/>
      <c r="AG668" s="117"/>
      <c r="AH668" s="117"/>
    </row>
    <row r="669">
      <c r="A669" s="117"/>
      <c r="B669" s="117"/>
      <c r="C669" s="117"/>
      <c r="D669" s="117"/>
      <c r="E669" s="117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  <c r="AA669" s="117"/>
      <c r="AB669" s="117"/>
      <c r="AC669" s="117"/>
      <c r="AD669" s="117"/>
      <c r="AE669" s="117"/>
      <c r="AF669" s="117"/>
      <c r="AG669" s="117"/>
      <c r="AH669" s="117"/>
    </row>
    <row r="670">
      <c r="A670" s="117"/>
      <c r="B670" s="117"/>
      <c r="C670" s="117"/>
      <c r="D670" s="117"/>
      <c r="E670" s="117"/>
      <c r="F670" s="117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  <c r="AA670" s="117"/>
      <c r="AB670" s="117"/>
      <c r="AC670" s="117"/>
      <c r="AD670" s="117"/>
      <c r="AE670" s="117"/>
      <c r="AF670" s="117"/>
      <c r="AG670" s="117"/>
      <c r="AH670" s="117"/>
    </row>
    <row r="671">
      <c r="A671" s="117"/>
      <c r="B671" s="117"/>
      <c r="C671" s="117"/>
      <c r="D671" s="117"/>
      <c r="E671" s="117"/>
      <c r="F671" s="117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  <c r="AA671" s="117"/>
      <c r="AB671" s="117"/>
      <c r="AC671" s="117"/>
      <c r="AD671" s="117"/>
      <c r="AE671" s="117"/>
      <c r="AF671" s="117"/>
      <c r="AG671" s="117"/>
      <c r="AH671" s="117"/>
    </row>
    <row r="672">
      <c r="A672" s="117"/>
      <c r="B672" s="117"/>
      <c r="C672" s="117"/>
      <c r="D672" s="117"/>
      <c r="E672" s="117"/>
      <c r="F672" s="117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  <c r="AA672" s="117"/>
      <c r="AB672" s="117"/>
      <c r="AC672" s="117"/>
      <c r="AD672" s="117"/>
      <c r="AE672" s="117"/>
      <c r="AF672" s="117"/>
      <c r="AG672" s="117"/>
      <c r="AH672" s="117"/>
    </row>
    <row r="673">
      <c r="A673" s="117"/>
      <c r="B673" s="117"/>
      <c r="C673" s="117"/>
      <c r="D673" s="117"/>
      <c r="E673" s="117"/>
      <c r="F673" s="117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  <c r="AA673" s="117"/>
      <c r="AB673" s="117"/>
      <c r="AC673" s="117"/>
      <c r="AD673" s="117"/>
      <c r="AE673" s="117"/>
      <c r="AF673" s="117"/>
      <c r="AG673" s="117"/>
      <c r="AH673" s="117"/>
    </row>
    <row r="674">
      <c r="A674" s="117"/>
      <c r="B674" s="117"/>
      <c r="C674" s="117"/>
      <c r="D674" s="117"/>
      <c r="E674" s="117"/>
      <c r="F674" s="117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  <c r="AA674" s="117"/>
      <c r="AB674" s="117"/>
      <c r="AC674" s="117"/>
      <c r="AD674" s="117"/>
      <c r="AE674" s="117"/>
      <c r="AF674" s="117"/>
      <c r="AG674" s="117"/>
      <c r="AH674" s="117"/>
    </row>
    <row r="675">
      <c r="A675" s="117"/>
      <c r="B675" s="117"/>
      <c r="C675" s="117"/>
      <c r="D675" s="117"/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  <c r="AA675" s="117"/>
      <c r="AB675" s="117"/>
      <c r="AC675" s="117"/>
      <c r="AD675" s="117"/>
      <c r="AE675" s="117"/>
      <c r="AF675" s="117"/>
      <c r="AG675" s="117"/>
      <c r="AH675" s="117"/>
    </row>
    <row r="676">
      <c r="A676" s="117"/>
      <c r="B676" s="117"/>
      <c r="C676" s="117"/>
      <c r="D676" s="117"/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  <c r="AA676" s="117"/>
      <c r="AB676" s="117"/>
      <c r="AC676" s="117"/>
      <c r="AD676" s="117"/>
      <c r="AE676" s="117"/>
      <c r="AF676" s="117"/>
      <c r="AG676" s="117"/>
      <c r="AH676" s="117"/>
    </row>
    <row r="677">
      <c r="A677" s="117"/>
      <c r="B677" s="117"/>
      <c r="C677" s="117"/>
      <c r="D677" s="117"/>
      <c r="E677" s="117"/>
      <c r="F677" s="117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  <c r="AA677" s="117"/>
      <c r="AB677" s="117"/>
      <c r="AC677" s="117"/>
      <c r="AD677" s="117"/>
      <c r="AE677" s="117"/>
      <c r="AF677" s="117"/>
      <c r="AG677" s="117"/>
      <c r="AH677" s="117"/>
    </row>
    <row r="678">
      <c r="A678" s="117"/>
      <c r="B678" s="117"/>
      <c r="C678" s="117"/>
      <c r="D678" s="117"/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  <c r="AA678" s="117"/>
      <c r="AB678" s="117"/>
      <c r="AC678" s="117"/>
      <c r="AD678" s="117"/>
      <c r="AE678" s="117"/>
      <c r="AF678" s="117"/>
      <c r="AG678" s="117"/>
      <c r="AH678" s="117"/>
    </row>
    <row r="679">
      <c r="A679" s="117"/>
      <c r="B679" s="117"/>
      <c r="C679" s="117"/>
      <c r="D679" s="117"/>
      <c r="E679" s="117"/>
      <c r="F679" s="117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  <c r="AA679" s="117"/>
      <c r="AB679" s="117"/>
      <c r="AC679" s="117"/>
      <c r="AD679" s="117"/>
      <c r="AE679" s="117"/>
      <c r="AF679" s="117"/>
      <c r="AG679" s="117"/>
      <c r="AH679" s="117"/>
    </row>
    <row r="680">
      <c r="A680" s="117"/>
      <c r="B680" s="117"/>
      <c r="C680" s="117"/>
      <c r="D680" s="117"/>
      <c r="E680" s="117"/>
      <c r="F680" s="117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  <c r="AA680" s="117"/>
      <c r="AB680" s="117"/>
      <c r="AC680" s="117"/>
      <c r="AD680" s="117"/>
      <c r="AE680" s="117"/>
      <c r="AF680" s="117"/>
      <c r="AG680" s="117"/>
      <c r="AH680" s="117"/>
    </row>
    <row r="681">
      <c r="A681" s="117"/>
      <c r="B681" s="117"/>
      <c r="C681" s="117"/>
      <c r="D681" s="117"/>
      <c r="E681" s="117"/>
      <c r="F681" s="117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  <c r="AA681" s="117"/>
      <c r="AB681" s="117"/>
      <c r="AC681" s="117"/>
      <c r="AD681" s="117"/>
      <c r="AE681" s="117"/>
      <c r="AF681" s="117"/>
      <c r="AG681" s="117"/>
      <c r="AH681" s="117"/>
    </row>
    <row r="682">
      <c r="A682" s="117"/>
      <c r="B682" s="117"/>
      <c r="C682" s="117"/>
      <c r="D682" s="117"/>
      <c r="E682" s="117"/>
      <c r="F682" s="117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  <c r="AA682" s="117"/>
      <c r="AB682" s="117"/>
      <c r="AC682" s="117"/>
      <c r="AD682" s="117"/>
      <c r="AE682" s="117"/>
      <c r="AF682" s="117"/>
      <c r="AG682" s="117"/>
      <c r="AH682" s="117"/>
    </row>
    <row r="683">
      <c r="A683" s="117"/>
      <c r="B683" s="117"/>
      <c r="C683" s="117"/>
      <c r="D683" s="117"/>
      <c r="E683" s="117"/>
      <c r="F683" s="117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  <c r="AA683" s="117"/>
      <c r="AB683" s="117"/>
      <c r="AC683" s="117"/>
      <c r="AD683" s="117"/>
      <c r="AE683" s="117"/>
      <c r="AF683" s="117"/>
      <c r="AG683" s="117"/>
      <c r="AH683" s="117"/>
    </row>
    <row r="684">
      <c r="A684" s="117"/>
      <c r="B684" s="117"/>
      <c r="C684" s="117"/>
      <c r="D684" s="117"/>
      <c r="E684" s="117"/>
      <c r="F684" s="117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  <c r="AA684" s="117"/>
      <c r="AB684" s="117"/>
      <c r="AC684" s="117"/>
      <c r="AD684" s="117"/>
      <c r="AE684" s="117"/>
      <c r="AF684" s="117"/>
      <c r="AG684" s="117"/>
      <c r="AH684" s="117"/>
    </row>
    <row r="685">
      <c r="A685" s="117"/>
      <c r="B685" s="117"/>
      <c r="C685" s="117"/>
      <c r="D685" s="117"/>
      <c r="E685" s="117"/>
      <c r="F685" s="117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  <c r="AA685" s="117"/>
      <c r="AB685" s="117"/>
      <c r="AC685" s="117"/>
      <c r="AD685" s="117"/>
      <c r="AE685" s="117"/>
      <c r="AF685" s="117"/>
      <c r="AG685" s="117"/>
      <c r="AH685" s="117"/>
    </row>
    <row r="686">
      <c r="A686" s="117"/>
      <c r="B686" s="117"/>
      <c r="C686" s="117"/>
      <c r="D686" s="117"/>
      <c r="E686" s="117"/>
      <c r="F686" s="117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  <c r="AA686" s="117"/>
      <c r="AB686" s="117"/>
      <c r="AC686" s="117"/>
      <c r="AD686" s="117"/>
      <c r="AE686" s="117"/>
      <c r="AF686" s="117"/>
      <c r="AG686" s="117"/>
      <c r="AH686" s="117"/>
    </row>
    <row r="687">
      <c r="A687" s="117"/>
      <c r="B687" s="117"/>
      <c r="C687" s="117"/>
      <c r="D687" s="117"/>
      <c r="E687" s="117"/>
      <c r="F687" s="117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  <c r="AA687" s="117"/>
      <c r="AB687" s="117"/>
      <c r="AC687" s="117"/>
      <c r="AD687" s="117"/>
      <c r="AE687" s="117"/>
      <c r="AF687" s="117"/>
      <c r="AG687" s="117"/>
      <c r="AH687" s="117"/>
    </row>
    <row r="688">
      <c r="A688" s="117"/>
      <c r="B688" s="117"/>
      <c r="C688" s="117"/>
      <c r="D688" s="117"/>
      <c r="E688" s="117"/>
      <c r="F688" s="117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  <c r="AA688" s="117"/>
      <c r="AB688" s="117"/>
      <c r="AC688" s="117"/>
      <c r="AD688" s="117"/>
      <c r="AE688" s="117"/>
      <c r="AF688" s="117"/>
      <c r="AG688" s="117"/>
      <c r="AH688" s="117"/>
    </row>
    <row r="689">
      <c r="A689" s="117"/>
      <c r="B689" s="117"/>
      <c r="C689" s="117"/>
      <c r="D689" s="117"/>
      <c r="E689" s="117"/>
      <c r="F689" s="117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  <c r="AA689" s="117"/>
      <c r="AB689" s="117"/>
      <c r="AC689" s="117"/>
      <c r="AD689" s="117"/>
      <c r="AE689" s="117"/>
      <c r="AF689" s="117"/>
      <c r="AG689" s="117"/>
      <c r="AH689" s="117"/>
    </row>
    <row r="690">
      <c r="A690" s="117"/>
      <c r="B690" s="117"/>
      <c r="C690" s="117"/>
      <c r="D690" s="117"/>
      <c r="E690" s="117"/>
      <c r="F690" s="117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  <c r="AA690" s="117"/>
      <c r="AB690" s="117"/>
      <c r="AC690" s="117"/>
      <c r="AD690" s="117"/>
      <c r="AE690" s="117"/>
      <c r="AF690" s="117"/>
      <c r="AG690" s="117"/>
      <c r="AH690" s="117"/>
    </row>
    <row r="691">
      <c r="A691" s="117"/>
      <c r="B691" s="117"/>
      <c r="C691" s="117"/>
      <c r="D691" s="117"/>
      <c r="E691" s="117"/>
      <c r="F691" s="117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  <c r="AA691" s="117"/>
      <c r="AB691" s="117"/>
      <c r="AC691" s="117"/>
      <c r="AD691" s="117"/>
      <c r="AE691" s="117"/>
      <c r="AF691" s="117"/>
      <c r="AG691" s="117"/>
      <c r="AH691" s="117"/>
    </row>
    <row r="692">
      <c r="A692" s="117"/>
      <c r="B692" s="117"/>
      <c r="C692" s="117"/>
      <c r="D692" s="117"/>
      <c r="E692" s="117"/>
      <c r="F692" s="117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  <c r="AA692" s="117"/>
      <c r="AB692" s="117"/>
      <c r="AC692" s="117"/>
      <c r="AD692" s="117"/>
      <c r="AE692" s="117"/>
      <c r="AF692" s="117"/>
      <c r="AG692" s="117"/>
      <c r="AH692" s="117"/>
    </row>
    <row r="693">
      <c r="A693" s="117"/>
      <c r="B693" s="117"/>
      <c r="C693" s="117"/>
      <c r="D693" s="117"/>
      <c r="E693" s="117"/>
      <c r="F693" s="117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  <c r="AA693" s="117"/>
      <c r="AB693" s="117"/>
      <c r="AC693" s="117"/>
      <c r="AD693" s="117"/>
      <c r="AE693" s="117"/>
      <c r="AF693" s="117"/>
      <c r="AG693" s="117"/>
      <c r="AH693" s="117"/>
    </row>
    <row r="694">
      <c r="A694" s="117"/>
      <c r="B694" s="117"/>
      <c r="C694" s="117"/>
      <c r="D694" s="117"/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  <c r="AA694" s="117"/>
      <c r="AB694" s="117"/>
      <c r="AC694" s="117"/>
      <c r="AD694" s="117"/>
      <c r="AE694" s="117"/>
      <c r="AF694" s="117"/>
      <c r="AG694" s="117"/>
      <c r="AH694" s="117"/>
    </row>
    <row r="695">
      <c r="A695" s="117"/>
      <c r="B695" s="117"/>
      <c r="C695" s="117"/>
      <c r="D695" s="117"/>
      <c r="E695" s="117"/>
      <c r="F695" s="117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  <c r="AA695" s="117"/>
      <c r="AB695" s="117"/>
      <c r="AC695" s="117"/>
      <c r="AD695" s="117"/>
      <c r="AE695" s="117"/>
      <c r="AF695" s="117"/>
      <c r="AG695" s="117"/>
      <c r="AH695" s="117"/>
    </row>
    <row r="696">
      <c r="A696" s="117"/>
      <c r="B696" s="117"/>
      <c r="C696" s="117"/>
      <c r="D696" s="117"/>
      <c r="E696" s="117"/>
      <c r="F696" s="117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  <c r="AA696" s="117"/>
      <c r="AB696" s="117"/>
      <c r="AC696" s="117"/>
      <c r="AD696" s="117"/>
      <c r="AE696" s="117"/>
      <c r="AF696" s="117"/>
      <c r="AG696" s="117"/>
      <c r="AH696" s="117"/>
    </row>
    <row r="697">
      <c r="A697" s="117"/>
      <c r="B697" s="117"/>
      <c r="C697" s="117"/>
      <c r="D697" s="117"/>
      <c r="E697" s="117"/>
      <c r="F697" s="117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  <c r="AA697" s="117"/>
      <c r="AB697" s="117"/>
      <c r="AC697" s="117"/>
      <c r="AD697" s="117"/>
      <c r="AE697" s="117"/>
      <c r="AF697" s="117"/>
      <c r="AG697" s="117"/>
      <c r="AH697" s="117"/>
    </row>
    <row r="698">
      <c r="A698" s="117"/>
      <c r="B698" s="117"/>
      <c r="C698" s="117"/>
      <c r="D698" s="117"/>
      <c r="E698" s="117"/>
      <c r="F698" s="117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  <c r="AA698" s="117"/>
      <c r="AB698" s="117"/>
      <c r="AC698" s="117"/>
      <c r="AD698" s="117"/>
      <c r="AE698" s="117"/>
      <c r="AF698" s="117"/>
      <c r="AG698" s="117"/>
      <c r="AH698" s="117"/>
    </row>
    <row r="699">
      <c r="A699" s="117"/>
      <c r="B699" s="117"/>
      <c r="C699" s="117"/>
      <c r="D699" s="117"/>
      <c r="E699" s="117"/>
      <c r="F699" s="117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  <c r="AA699" s="117"/>
      <c r="AB699" s="117"/>
      <c r="AC699" s="117"/>
      <c r="AD699" s="117"/>
      <c r="AE699" s="117"/>
      <c r="AF699" s="117"/>
      <c r="AG699" s="117"/>
      <c r="AH699" s="117"/>
    </row>
    <row r="700">
      <c r="A700" s="117"/>
      <c r="B700" s="117"/>
      <c r="C700" s="117"/>
      <c r="D700" s="117"/>
      <c r="E700" s="117"/>
      <c r="F700" s="117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  <c r="AA700" s="117"/>
      <c r="AB700" s="117"/>
      <c r="AC700" s="117"/>
      <c r="AD700" s="117"/>
      <c r="AE700" s="117"/>
      <c r="AF700" s="117"/>
      <c r="AG700" s="117"/>
      <c r="AH700" s="117"/>
    </row>
    <row r="701">
      <c r="A701" s="117"/>
      <c r="B701" s="117"/>
      <c r="C701" s="117"/>
      <c r="D701" s="117"/>
      <c r="E701" s="117"/>
      <c r="F701" s="117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  <c r="AA701" s="117"/>
      <c r="AB701" s="117"/>
      <c r="AC701" s="117"/>
      <c r="AD701" s="117"/>
      <c r="AE701" s="117"/>
      <c r="AF701" s="117"/>
      <c r="AG701" s="117"/>
      <c r="AH701" s="117"/>
    </row>
    <row r="702">
      <c r="A702" s="117"/>
      <c r="B702" s="117"/>
      <c r="C702" s="117"/>
      <c r="D702" s="117"/>
      <c r="E702" s="117"/>
      <c r="F702" s="117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  <c r="AA702" s="117"/>
      <c r="AB702" s="117"/>
      <c r="AC702" s="117"/>
      <c r="AD702" s="117"/>
      <c r="AE702" s="117"/>
      <c r="AF702" s="117"/>
      <c r="AG702" s="117"/>
      <c r="AH702" s="117"/>
    </row>
    <row r="703">
      <c r="A703" s="117"/>
      <c r="B703" s="117"/>
      <c r="C703" s="117"/>
      <c r="D703" s="117"/>
      <c r="E703" s="117"/>
      <c r="F703" s="117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  <c r="AA703" s="117"/>
      <c r="AB703" s="117"/>
      <c r="AC703" s="117"/>
      <c r="AD703" s="117"/>
      <c r="AE703" s="117"/>
      <c r="AF703" s="117"/>
      <c r="AG703" s="117"/>
      <c r="AH703" s="117"/>
    </row>
    <row r="704">
      <c r="A704" s="117"/>
      <c r="B704" s="117"/>
      <c r="C704" s="117"/>
      <c r="D704" s="117"/>
      <c r="E704" s="117"/>
      <c r="F704" s="117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  <c r="AA704" s="117"/>
      <c r="AB704" s="117"/>
      <c r="AC704" s="117"/>
      <c r="AD704" s="117"/>
      <c r="AE704" s="117"/>
      <c r="AF704" s="117"/>
      <c r="AG704" s="117"/>
      <c r="AH704" s="117"/>
    </row>
    <row r="705">
      <c r="A705" s="117"/>
      <c r="B705" s="117"/>
      <c r="C705" s="117"/>
      <c r="D705" s="117"/>
      <c r="E705" s="117"/>
      <c r="F705" s="117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  <c r="AA705" s="117"/>
      <c r="AB705" s="117"/>
      <c r="AC705" s="117"/>
      <c r="AD705" s="117"/>
      <c r="AE705" s="117"/>
      <c r="AF705" s="117"/>
      <c r="AG705" s="117"/>
      <c r="AH705" s="117"/>
    </row>
    <row r="706">
      <c r="A706" s="117"/>
      <c r="B706" s="117"/>
      <c r="C706" s="117"/>
      <c r="D706" s="117"/>
      <c r="E706" s="117"/>
      <c r="F706" s="117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117"/>
      <c r="AB706" s="117"/>
      <c r="AC706" s="117"/>
      <c r="AD706" s="117"/>
      <c r="AE706" s="117"/>
      <c r="AF706" s="117"/>
      <c r="AG706" s="117"/>
      <c r="AH706" s="117"/>
    </row>
    <row r="707">
      <c r="A707" s="117"/>
      <c r="B707" s="117"/>
      <c r="C707" s="117"/>
      <c r="D707" s="117"/>
      <c r="E707" s="117"/>
      <c r="F707" s="117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  <c r="AA707" s="117"/>
      <c r="AB707" s="117"/>
      <c r="AC707" s="117"/>
      <c r="AD707" s="117"/>
      <c r="AE707" s="117"/>
      <c r="AF707" s="117"/>
      <c r="AG707" s="117"/>
      <c r="AH707" s="117"/>
    </row>
    <row r="708">
      <c r="A708" s="117"/>
      <c r="B708" s="117"/>
      <c r="C708" s="117"/>
      <c r="D708" s="117"/>
      <c r="E708" s="117"/>
      <c r="F708" s="117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  <c r="AA708" s="117"/>
      <c r="AB708" s="117"/>
      <c r="AC708" s="117"/>
      <c r="AD708" s="117"/>
      <c r="AE708" s="117"/>
      <c r="AF708" s="117"/>
      <c r="AG708" s="117"/>
      <c r="AH708" s="117"/>
    </row>
    <row r="709">
      <c r="A709" s="117"/>
      <c r="B709" s="117"/>
      <c r="C709" s="117"/>
      <c r="D709" s="117"/>
      <c r="E709" s="117"/>
      <c r="F709" s="117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  <c r="AA709" s="117"/>
      <c r="AB709" s="117"/>
      <c r="AC709" s="117"/>
      <c r="AD709" s="117"/>
      <c r="AE709" s="117"/>
      <c r="AF709" s="117"/>
      <c r="AG709" s="117"/>
      <c r="AH709" s="117"/>
    </row>
    <row r="710">
      <c r="A710" s="117"/>
      <c r="B710" s="117"/>
      <c r="C710" s="117"/>
      <c r="D710" s="117"/>
      <c r="E710" s="117"/>
      <c r="F710" s="117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  <c r="AA710" s="117"/>
      <c r="AB710" s="117"/>
      <c r="AC710" s="117"/>
      <c r="AD710" s="117"/>
      <c r="AE710" s="117"/>
      <c r="AF710" s="117"/>
      <c r="AG710" s="117"/>
      <c r="AH710" s="117"/>
    </row>
    <row r="711">
      <c r="A711" s="117"/>
      <c r="B711" s="117"/>
      <c r="C711" s="117"/>
      <c r="D711" s="117"/>
      <c r="E711" s="117"/>
      <c r="F711" s="117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  <c r="AA711" s="117"/>
      <c r="AB711" s="117"/>
      <c r="AC711" s="117"/>
      <c r="AD711" s="117"/>
      <c r="AE711" s="117"/>
      <c r="AF711" s="117"/>
      <c r="AG711" s="117"/>
      <c r="AH711" s="117"/>
    </row>
    <row r="712">
      <c r="A712" s="117"/>
      <c r="B712" s="117"/>
      <c r="C712" s="117"/>
      <c r="D712" s="117"/>
      <c r="E712" s="117"/>
      <c r="F712" s="117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  <c r="AA712" s="117"/>
      <c r="AB712" s="117"/>
      <c r="AC712" s="117"/>
      <c r="AD712" s="117"/>
      <c r="AE712" s="117"/>
      <c r="AF712" s="117"/>
      <c r="AG712" s="117"/>
      <c r="AH712" s="117"/>
    </row>
    <row r="713">
      <c r="A713" s="117"/>
      <c r="B713" s="117"/>
      <c r="C713" s="117"/>
      <c r="D713" s="117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  <c r="AA713" s="117"/>
      <c r="AB713" s="117"/>
      <c r="AC713" s="117"/>
      <c r="AD713" s="117"/>
      <c r="AE713" s="117"/>
      <c r="AF713" s="117"/>
      <c r="AG713" s="117"/>
      <c r="AH713" s="117"/>
    </row>
    <row r="714">
      <c r="A714" s="117"/>
      <c r="B714" s="117"/>
      <c r="C714" s="117"/>
      <c r="D714" s="117"/>
      <c r="E714" s="117"/>
      <c r="F714" s="117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  <c r="AA714" s="117"/>
      <c r="AB714" s="117"/>
      <c r="AC714" s="117"/>
      <c r="AD714" s="117"/>
      <c r="AE714" s="117"/>
      <c r="AF714" s="117"/>
      <c r="AG714" s="117"/>
      <c r="AH714" s="117"/>
    </row>
    <row r="715">
      <c r="A715" s="117"/>
      <c r="B715" s="117"/>
      <c r="C715" s="117"/>
      <c r="D715" s="117"/>
      <c r="E715" s="117"/>
      <c r="F715" s="117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  <c r="AA715" s="117"/>
      <c r="AB715" s="117"/>
      <c r="AC715" s="117"/>
      <c r="AD715" s="117"/>
      <c r="AE715" s="117"/>
      <c r="AF715" s="117"/>
      <c r="AG715" s="117"/>
      <c r="AH715" s="117"/>
    </row>
    <row r="716">
      <c r="A716" s="117"/>
      <c r="B716" s="117"/>
      <c r="C716" s="117"/>
      <c r="D716" s="117"/>
      <c r="E716" s="117"/>
      <c r="F716" s="117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  <c r="AA716" s="117"/>
      <c r="AB716" s="117"/>
      <c r="AC716" s="117"/>
      <c r="AD716" s="117"/>
      <c r="AE716" s="117"/>
      <c r="AF716" s="117"/>
      <c r="AG716" s="117"/>
      <c r="AH716" s="117"/>
    </row>
    <row r="717">
      <c r="A717" s="117"/>
      <c r="B717" s="117"/>
      <c r="C717" s="117"/>
      <c r="D717" s="117"/>
      <c r="E717" s="117"/>
      <c r="F717" s="117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  <c r="AA717" s="117"/>
      <c r="AB717" s="117"/>
      <c r="AC717" s="117"/>
      <c r="AD717" s="117"/>
      <c r="AE717" s="117"/>
      <c r="AF717" s="117"/>
      <c r="AG717" s="117"/>
      <c r="AH717" s="117"/>
    </row>
    <row r="718">
      <c r="A718" s="117"/>
      <c r="B718" s="117"/>
      <c r="C718" s="117"/>
      <c r="D718" s="117"/>
      <c r="E718" s="117"/>
      <c r="F718" s="117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  <c r="AA718" s="117"/>
      <c r="AB718" s="117"/>
      <c r="AC718" s="117"/>
      <c r="AD718" s="117"/>
      <c r="AE718" s="117"/>
      <c r="AF718" s="117"/>
      <c r="AG718" s="117"/>
      <c r="AH718" s="117"/>
    </row>
    <row r="719">
      <c r="A719" s="117"/>
      <c r="B719" s="117"/>
      <c r="C719" s="117"/>
      <c r="D719" s="117"/>
      <c r="E719" s="117"/>
      <c r="F719" s="117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  <c r="AA719" s="117"/>
      <c r="AB719" s="117"/>
      <c r="AC719" s="117"/>
      <c r="AD719" s="117"/>
      <c r="AE719" s="117"/>
      <c r="AF719" s="117"/>
      <c r="AG719" s="117"/>
      <c r="AH719" s="117"/>
    </row>
    <row r="720">
      <c r="A720" s="117"/>
      <c r="B720" s="117"/>
      <c r="C720" s="117"/>
      <c r="D720" s="117"/>
      <c r="E720" s="117"/>
      <c r="F720" s="117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  <c r="AA720" s="117"/>
      <c r="AB720" s="117"/>
      <c r="AC720" s="117"/>
      <c r="AD720" s="117"/>
      <c r="AE720" s="117"/>
      <c r="AF720" s="117"/>
      <c r="AG720" s="117"/>
      <c r="AH720" s="117"/>
    </row>
    <row r="721">
      <c r="A721" s="117"/>
      <c r="B721" s="117"/>
      <c r="C721" s="117"/>
      <c r="D721" s="117"/>
      <c r="E721" s="117"/>
      <c r="F721" s="117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  <c r="AA721" s="117"/>
      <c r="AB721" s="117"/>
      <c r="AC721" s="117"/>
      <c r="AD721" s="117"/>
      <c r="AE721" s="117"/>
      <c r="AF721" s="117"/>
      <c r="AG721" s="117"/>
      <c r="AH721" s="117"/>
    </row>
    <row r="722">
      <c r="A722" s="117"/>
      <c r="B722" s="117"/>
      <c r="C722" s="117"/>
      <c r="D722" s="117"/>
      <c r="E722" s="117"/>
      <c r="F722" s="117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  <c r="AA722" s="117"/>
      <c r="AB722" s="117"/>
      <c r="AC722" s="117"/>
      <c r="AD722" s="117"/>
      <c r="AE722" s="117"/>
      <c r="AF722" s="117"/>
      <c r="AG722" s="117"/>
      <c r="AH722" s="117"/>
    </row>
    <row r="723">
      <c r="A723" s="117"/>
      <c r="B723" s="117"/>
      <c r="C723" s="117"/>
      <c r="D723" s="117"/>
      <c r="E723" s="117"/>
      <c r="F723" s="117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  <c r="AA723" s="117"/>
      <c r="AB723" s="117"/>
      <c r="AC723" s="117"/>
      <c r="AD723" s="117"/>
      <c r="AE723" s="117"/>
      <c r="AF723" s="117"/>
      <c r="AG723" s="117"/>
      <c r="AH723" s="117"/>
    </row>
    <row r="724">
      <c r="A724" s="117"/>
      <c r="B724" s="117"/>
      <c r="C724" s="117"/>
      <c r="D724" s="117"/>
      <c r="E724" s="117"/>
      <c r="F724" s="117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  <c r="AA724" s="117"/>
      <c r="AB724" s="117"/>
      <c r="AC724" s="117"/>
      <c r="AD724" s="117"/>
      <c r="AE724" s="117"/>
      <c r="AF724" s="117"/>
      <c r="AG724" s="117"/>
      <c r="AH724" s="117"/>
    </row>
    <row r="725">
      <c r="A725" s="117"/>
      <c r="B725" s="117"/>
      <c r="C725" s="117"/>
      <c r="D725" s="117"/>
      <c r="E725" s="117"/>
      <c r="F725" s="117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  <c r="AA725" s="117"/>
      <c r="AB725" s="117"/>
      <c r="AC725" s="117"/>
      <c r="AD725" s="117"/>
      <c r="AE725" s="117"/>
      <c r="AF725" s="117"/>
      <c r="AG725" s="117"/>
      <c r="AH725" s="117"/>
    </row>
    <row r="726">
      <c r="A726" s="117"/>
      <c r="B726" s="117"/>
      <c r="C726" s="117"/>
      <c r="D726" s="117"/>
      <c r="E726" s="117"/>
      <c r="F726" s="117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  <c r="AA726" s="117"/>
      <c r="AB726" s="117"/>
      <c r="AC726" s="117"/>
      <c r="AD726" s="117"/>
      <c r="AE726" s="117"/>
      <c r="AF726" s="117"/>
      <c r="AG726" s="117"/>
      <c r="AH726" s="117"/>
    </row>
    <row r="727">
      <c r="A727" s="117"/>
      <c r="B727" s="117"/>
      <c r="C727" s="117"/>
      <c r="D727" s="117"/>
      <c r="E727" s="117"/>
      <c r="F727" s="117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  <c r="AA727" s="117"/>
      <c r="AB727" s="117"/>
      <c r="AC727" s="117"/>
      <c r="AD727" s="117"/>
      <c r="AE727" s="117"/>
      <c r="AF727" s="117"/>
      <c r="AG727" s="117"/>
      <c r="AH727" s="117"/>
    </row>
    <row r="728">
      <c r="A728" s="117"/>
      <c r="B728" s="117"/>
      <c r="C728" s="117"/>
      <c r="D728" s="117"/>
      <c r="E728" s="117"/>
      <c r="F728" s="117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  <c r="AA728" s="117"/>
      <c r="AB728" s="117"/>
      <c r="AC728" s="117"/>
      <c r="AD728" s="117"/>
      <c r="AE728" s="117"/>
      <c r="AF728" s="117"/>
      <c r="AG728" s="117"/>
      <c r="AH728" s="117"/>
    </row>
    <row r="729">
      <c r="A729" s="117"/>
      <c r="B729" s="117"/>
      <c r="C729" s="117"/>
      <c r="D729" s="117"/>
      <c r="E729" s="117"/>
      <c r="F729" s="117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  <c r="AA729" s="117"/>
      <c r="AB729" s="117"/>
      <c r="AC729" s="117"/>
      <c r="AD729" s="117"/>
      <c r="AE729" s="117"/>
      <c r="AF729" s="117"/>
      <c r="AG729" s="117"/>
      <c r="AH729" s="117"/>
    </row>
    <row r="730">
      <c r="A730" s="117"/>
      <c r="B730" s="117"/>
      <c r="C730" s="117"/>
      <c r="D730" s="117"/>
      <c r="E730" s="117"/>
      <c r="F730" s="117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  <c r="AA730" s="117"/>
      <c r="AB730" s="117"/>
      <c r="AC730" s="117"/>
      <c r="AD730" s="117"/>
      <c r="AE730" s="117"/>
      <c r="AF730" s="117"/>
      <c r="AG730" s="117"/>
      <c r="AH730" s="117"/>
    </row>
    <row r="731">
      <c r="A731" s="117"/>
      <c r="B731" s="117"/>
      <c r="C731" s="117"/>
      <c r="D731" s="117"/>
      <c r="E731" s="117"/>
      <c r="F731" s="117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  <c r="AA731" s="117"/>
      <c r="AB731" s="117"/>
      <c r="AC731" s="117"/>
      <c r="AD731" s="117"/>
      <c r="AE731" s="117"/>
      <c r="AF731" s="117"/>
      <c r="AG731" s="117"/>
      <c r="AH731" s="117"/>
    </row>
    <row r="732">
      <c r="A732" s="117"/>
      <c r="B732" s="117"/>
      <c r="C732" s="117"/>
      <c r="D732" s="117"/>
      <c r="E732" s="117"/>
      <c r="F732" s="117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  <c r="AA732" s="117"/>
      <c r="AB732" s="117"/>
      <c r="AC732" s="117"/>
      <c r="AD732" s="117"/>
      <c r="AE732" s="117"/>
      <c r="AF732" s="117"/>
      <c r="AG732" s="117"/>
      <c r="AH732" s="117"/>
    </row>
    <row r="733">
      <c r="A733" s="117"/>
      <c r="B733" s="117"/>
      <c r="C733" s="117"/>
      <c r="D733" s="117"/>
      <c r="E733" s="117"/>
      <c r="F733" s="117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  <c r="AA733" s="117"/>
      <c r="AB733" s="117"/>
      <c r="AC733" s="117"/>
      <c r="AD733" s="117"/>
      <c r="AE733" s="117"/>
      <c r="AF733" s="117"/>
      <c r="AG733" s="117"/>
      <c r="AH733" s="117"/>
    </row>
    <row r="734">
      <c r="A734" s="117"/>
      <c r="B734" s="117"/>
      <c r="C734" s="117"/>
      <c r="D734" s="117"/>
      <c r="E734" s="117"/>
      <c r="F734" s="117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  <c r="AA734" s="117"/>
      <c r="AB734" s="117"/>
      <c r="AC734" s="117"/>
      <c r="AD734" s="117"/>
      <c r="AE734" s="117"/>
      <c r="AF734" s="117"/>
      <c r="AG734" s="117"/>
      <c r="AH734" s="117"/>
    </row>
    <row r="735">
      <c r="A735" s="117"/>
      <c r="B735" s="117"/>
      <c r="C735" s="117"/>
      <c r="D735" s="117"/>
      <c r="E735" s="117"/>
      <c r="F735" s="117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  <c r="AA735" s="117"/>
      <c r="AB735" s="117"/>
      <c r="AC735" s="117"/>
      <c r="AD735" s="117"/>
      <c r="AE735" s="117"/>
      <c r="AF735" s="117"/>
      <c r="AG735" s="117"/>
      <c r="AH735" s="117"/>
    </row>
    <row r="736">
      <c r="A736" s="117"/>
      <c r="B736" s="117"/>
      <c r="C736" s="117"/>
      <c r="D736" s="117"/>
      <c r="E736" s="117"/>
      <c r="F736" s="117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  <c r="AA736" s="117"/>
      <c r="AB736" s="117"/>
      <c r="AC736" s="117"/>
      <c r="AD736" s="117"/>
      <c r="AE736" s="117"/>
      <c r="AF736" s="117"/>
      <c r="AG736" s="117"/>
      <c r="AH736" s="117"/>
    </row>
    <row r="737">
      <c r="A737" s="117"/>
      <c r="B737" s="117"/>
      <c r="C737" s="117"/>
      <c r="D737" s="117"/>
      <c r="E737" s="117"/>
      <c r="F737" s="117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  <c r="AA737" s="117"/>
      <c r="AB737" s="117"/>
      <c r="AC737" s="117"/>
      <c r="AD737" s="117"/>
      <c r="AE737" s="117"/>
      <c r="AF737" s="117"/>
      <c r="AG737" s="117"/>
      <c r="AH737" s="117"/>
    </row>
    <row r="738">
      <c r="A738" s="117"/>
      <c r="B738" s="117"/>
      <c r="C738" s="117"/>
      <c r="D738" s="117"/>
      <c r="E738" s="117"/>
      <c r="F738" s="117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  <c r="AA738" s="117"/>
      <c r="AB738" s="117"/>
      <c r="AC738" s="117"/>
      <c r="AD738" s="117"/>
      <c r="AE738" s="117"/>
      <c r="AF738" s="117"/>
      <c r="AG738" s="117"/>
      <c r="AH738" s="117"/>
    </row>
    <row r="739">
      <c r="A739" s="117"/>
      <c r="B739" s="117"/>
      <c r="C739" s="117"/>
      <c r="D739" s="117"/>
      <c r="E739" s="117"/>
      <c r="F739" s="117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  <c r="AA739" s="117"/>
      <c r="AB739" s="117"/>
      <c r="AC739" s="117"/>
      <c r="AD739" s="117"/>
      <c r="AE739" s="117"/>
      <c r="AF739" s="117"/>
      <c r="AG739" s="117"/>
      <c r="AH739" s="117"/>
    </row>
    <row r="740">
      <c r="A740" s="117"/>
      <c r="B740" s="117"/>
      <c r="C740" s="117"/>
      <c r="D740" s="117"/>
      <c r="E740" s="117"/>
      <c r="F740" s="117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  <c r="AA740" s="117"/>
      <c r="AB740" s="117"/>
      <c r="AC740" s="117"/>
      <c r="AD740" s="117"/>
      <c r="AE740" s="117"/>
      <c r="AF740" s="117"/>
      <c r="AG740" s="117"/>
      <c r="AH740" s="117"/>
    </row>
    <row r="741">
      <c r="A741" s="117"/>
      <c r="B741" s="117"/>
      <c r="C741" s="117"/>
      <c r="D741" s="117"/>
      <c r="E741" s="117"/>
      <c r="F741" s="117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  <c r="AA741" s="117"/>
      <c r="AB741" s="117"/>
      <c r="AC741" s="117"/>
      <c r="AD741" s="117"/>
      <c r="AE741" s="117"/>
      <c r="AF741" s="117"/>
      <c r="AG741" s="117"/>
      <c r="AH741" s="117"/>
    </row>
    <row r="742">
      <c r="A742" s="117"/>
      <c r="B742" s="117"/>
      <c r="C742" s="117"/>
      <c r="D742" s="117"/>
      <c r="E742" s="117"/>
      <c r="F742" s="117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  <c r="AA742" s="117"/>
      <c r="AB742" s="117"/>
      <c r="AC742" s="117"/>
      <c r="AD742" s="117"/>
      <c r="AE742" s="117"/>
      <c r="AF742" s="117"/>
      <c r="AG742" s="117"/>
      <c r="AH742" s="117"/>
    </row>
    <row r="743">
      <c r="A743" s="117"/>
      <c r="B743" s="117"/>
      <c r="C743" s="117"/>
      <c r="D743" s="117"/>
      <c r="E743" s="117"/>
      <c r="F743" s="117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  <c r="AA743" s="117"/>
      <c r="AB743" s="117"/>
      <c r="AC743" s="117"/>
      <c r="AD743" s="117"/>
      <c r="AE743" s="117"/>
      <c r="AF743" s="117"/>
      <c r="AG743" s="117"/>
      <c r="AH743" s="117"/>
    </row>
    <row r="744">
      <c r="A744" s="117"/>
      <c r="B744" s="117"/>
      <c r="C744" s="117"/>
      <c r="D744" s="117"/>
      <c r="E744" s="117"/>
      <c r="F744" s="117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117"/>
      <c r="AB744" s="117"/>
      <c r="AC744" s="117"/>
      <c r="AD744" s="117"/>
      <c r="AE744" s="117"/>
      <c r="AF744" s="117"/>
      <c r="AG744" s="117"/>
      <c r="AH744" s="117"/>
    </row>
    <row r="745">
      <c r="A745" s="117"/>
      <c r="B745" s="117"/>
      <c r="C745" s="117"/>
      <c r="D745" s="117"/>
      <c r="E745" s="117"/>
      <c r="F745" s="117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  <c r="AA745" s="117"/>
      <c r="AB745" s="117"/>
      <c r="AC745" s="117"/>
      <c r="AD745" s="117"/>
      <c r="AE745" s="117"/>
      <c r="AF745" s="117"/>
      <c r="AG745" s="117"/>
      <c r="AH745" s="117"/>
    </row>
    <row r="746">
      <c r="A746" s="117"/>
      <c r="B746" s="117"/>
      <c r="C746" s="117"/>
      <c r="D746" s="117"/>
      <c r="E746" s="117"/>
      <c r="F746" s="117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  <c r="AA746" s="117"/>
      <c r="AB746" s="117"/>
      <c r="AC746" s="117"/>
      <c r="AD746" s="117"/>
      <c r="AE746" s="117"/>
      <c r="AF746" s="117"/>
      <c r="AG746" s="117"/>
      <c r="AH746" s="117"/>
    </row>
    <row r="747">
      <c r="A747" s="117"/>
      <c r="B747" s="117"/>
      <c r="C747" s="117"/>
      <c r="D747" s="117"/>
      <c r="E747" s="117"/>
      <c r="F747" s="117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  <c r="AA747" s="117"/>
      <c r="AB747" s="117"/>
      <c r="AC747" s="117"/>
      <c r="AD747" s="117"/>
      <c r="AE747" s="117"/>
      <c r="AF747" s="117"/>
      <c r="AG747" s="117"/>
      <c r="AH747" s="117"/>
    </row>
    <row r="748">
      <c r="A748" s="117"/>
      <c r="B748" s="117"/>
      <c r="C748" s="117"/>
      <c r="D748" s="117"/>
      <c r="E748" s="117"/>
      <c r="F748" s="117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  <c r="AA748" s="117"/>
      <c r="AB748" s="117"/>
      <c r="AC748" s="117"/>
      <c r="AD748" s="117"/>
      <c r="AE748" s="117"/>
      <c r="AF748" s="117"/>
      <c r="AG748" s="117"/>
      <c r="AH748" s="117"/>
    </row>
    <row r="749">
      <c r="A749" s="117"/>
      <c r="B749" s="117"/>
      <c r="C749" s="117"/>
      <c r="D749" s="117"/>
      <c r="E749" s="117"/>
      <c r="F749" s="117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  <c r="AA749" s="117"/>
      <c r="AB749" s="117"/>
      <c r="AC749" s="117"/>
      <c r="AD749" s="117"/>
      <c r="AE749" s="117"/>
      <c r="AF749" s="117"/>
      <c r="AG749" s="117"/>
      <c r="AH749" s="117"/>
    </row>
    <row r="750">
      <c r="A750" s="117"/>
      <c r="B750" s="117"/>
      <c r="C750" s="117"/>
      <c r="D750" s="117"/>
      <c r="E750" s="117"/>
      <c r="F750" s="117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  <c r="AA750" s="117"/>
      <c r="AB750" s="117"/>
      <c r="AC750" s="117"/>
      <c r="AD750" s="117"/>
      <c r="AE750" s="117"/>
      <c r="AF750" s="117"/>
      <c r="AG750" s="117"/>
      <c r="AH750" s="117"/>
    </row>
    <row r="751">
      <c r="A751" s="117"/>
      <c r="B751" s="117"/>
      <c r="C751" s="117"/>
      <c r="D751" s="117"/>
      <c r="E751" s="117"/>
      <c r="F751" s="117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  <c r="AA751" s="117"/>
      <c r="AB751" s="117"/>
      <c r="AC751" s="117"/>
      <c r="AD751" s="117"/>
      <c r="AE751" s="117"/>
      <c r="AF751" s="117"/>
      <c r="AG751" s="117"/>
      <c r="AH751" s="117"/>
    </row>
    <row r="752">
      <c r="A752" s="117"/>
      <c r="B752" s="117"/>
      <c r="C752" s="117"/>
      <c r="D752" s="117"/>
      <c r="E752" s="117"/>
      <c r="F752" s="117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  <c r="AA752" s="117"/>
      <c r="AB752" s="117"/>
      <c r="AC752" s="117"/>
      <c r="AD752" s="117"/>
      <c r="AE752" s="117"/>
      <c r="AF752" s="117"/>
      <c r="AG752" s="117"/>
      <c r="AH752" s="117"/>
    </row>
    <row r="753">
      <c r="A753" s="117"/>
      <c r="B753" s="117"/>
      <c r="C753" s="117"/>
      <c r="D753" s="117"/>
      <c r="E753" s="117"/>
      <c r="F753" s="117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  <c r="AA753" s="117"/>
      <c r="AB753" s="117"/>
      <c r="AC753" s="117"/>
      <c r="AD753" s="117"/>
      <c r="AE753" s="117"/>
      <c r="AF753" s="117"/>
      <c r="AG753" s="117"/>
      <c r="AH753" s="117"/>
    </row>
    <row r="754">
      <c r="A754" s="117"/>
      <c r="B754" s="117"/>
      <c r="C754" s="117"/>
      <c r="D754" s="117"/>
      <c r="E754" s="117"/>
      <c r="F754" s="117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  <c r="AA754" s="117"/>
      <c r="AB754" s="117"/>
      <c r="AC754" s="117"/>
      <c r="AD754" s="117"/>
      <c r="AE754" s="117"/>
      <c r="AF754" s="117"/>
      <c r="AG754" s="117"/>
      <c r="AH754" s="117"/>
    </row>
    <row r="755">
      <c r="A755" s="117"/>
      <c r="B755" s="117"/>
      <c r="C755" s="117"/>
      <c r="D755" s="117"/>
      <c r="E755" s="117"/>
      <c r="F755" s="117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  <c r="AA755" s="117"/>
      <c r="AB755" s="117"/>
      <c r="AC755" s="117"/>
      <c r="AD755" s="117"/>
      <c r="AE755" s="117"/>
      <c r="AF755" s="117"/>
      <c r="AG755" s="117"/>
      <c r="AH755" s="117"/>
    </row>
    <row r="756">
      <c r="A756" s="117"/>
      <c r="B756" s="117"/>
      <c r="C756" s="117"/>
      <c r="D756" s="117"/>
      <c r="E756" s="117"/>
      <c r="F756" s="117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  <c r="AA756" s="117"/>
      <c r="AB756" s="117"/>
      <c r="AC756" s="117"/>
      <c r="AD756" s="117"/>
      <c r="AE756" s="117"/>
      <c r="AF756" s="117"/>
      <c r="AG756" s="117"/>
      <c r="AH756" s="117"/>
    </row>
    <row r="757">
      <c r="A757" s="117"/>
      <c r="B757" s="117"/>
      <c r="C757" s="117"/>
      <c r="D757" s="117"/>
      <c r="E757" s="117"/>
      <c r="F757" s="117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  <c r="AA757" s="117"/>
      <c r="AB757" s="117"/>
      <c r="AC757" s="117"/>
      <c r="AD757" s="117"/>
      <c r="AE757" s="117"/>
      <c r="AF757" s="117"/>
      <c r="AG757" s="117"/>
      <c r="AH757" s="117"/>
    </row>
    <row r="758">
      <c r="A758" s="117"/>
      <c r="B758" s="117"/>
      <c r="C758" s="117"/>
      <c r="D758" s="117"/>
      <c r="E758" s="117"/>
      <c r="F758" s="117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  <c r="AA758" s="117"/>
      <c r="AB758" s="117"/>
      <c r="AC758" s="117"/>
      <c r="AD758" s="117"/>
      <c r="AE758" s="117"/>
      <c r="AF758" s="117"/>
      <c r="AG758" s="117"/>
      <c r="AH758" s="117"/>
    </row>
    <row r="759">
      <c r="A759" s="117"/>
      <c r="B759" s="117"/>
      <c r="C759" s="117"/>
      <c r="D759" s="117"/>
      <c r="E759" s="117"/>
      <c r="F759" s="117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  <c r="AA759" s="117"/>
      <c r="AB759" s="117"/>
      <c r="AC759" s="117"/>
      <c r="AD759" s="117"/>
      <c r="AE759" s="117"/>
      <c r="AF759" s="117"/>
      <c r="AG759" s="117"/>
      <c r="AH759" s="117"/>
    </row>
    <row r="760">
      <c r="A760" s="117"/>
      <c r="B760" s="117"/>
      <c r="C760" s="117"/>
      <c r="D760" s="117"/>
      <c r="E760" s="117"/>
      <c r="F760" s="117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  <c r="AA760" s="117"/>
      <c r="AB760" s="117"/>
      <c r="AC760" s="117"/>
      <c r="AD760" s="117"/>
      <c r="AE760" s="117"/>
      <c r="AF760" s="117"/>
      <c r="AG760" s="117"/>
      <c r="AH760" s="117"/>
    </row>
    <row r="761">
      <c r="A761" s="117"/>
      <c r="B761" s="117"/>
      <c r="C761" s="117"/>
      <c r="D761" s="117"/>
      <c r="E761" s="117"/>
      <c r="F761" s="117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  <c r="AA761" s="117"/>
      <c r="AB761" s="117"/>
      <c r="AC761" s="117"/>
      <c r="AD761" s="117"/>
      <c r="AE761" s="117"/>
      <c r="AF761" s="117"/>
      <c r="AG761" s="117"/>
      <c r="AH761" s="117"/>
    </row>
    <row r="762">
      <c r="A762" s="117"/>
      <c r="B762" s="117"/>
      <c r="C762" s="117"/>
      <c r="D762" s="117"/>
      <c r="E762" s="117"/>
      <c r="F762" s="117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  <c r="AA762" s="117"/>
      <c r="AB762" s="117"/>
      <c r="AC762" s="117"/>
      <c r="AD762" s="117"/>
      <c r="AE762" s="117"/>
      <c r="AF762" s="117"/>
      <c r="AG762" s="117"/>
      <c r="AH762" s="117"/>
    </row>
    <row r="763">
      <c r="A763" s="117"/>
      <c r="B763" s="117"/>
      <c r="C763" s="117"/>
      <c r="D763" s="117"/>
      <c r="E763" s="117"/>
      <c r="F763" s="117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  <c r="AA763" s="117"/>
      <c r="AB763" s="117"/>
      <c r="AC763" s="117"/>
      <c r="AD763" s="117"/>
      <c r="AE763" s="117"/>
      <c r="AF763" s="117"/>
      <c r="AG763" s="117"/>
      <c r="AH763" s="117"/>
    </row>
    <row r="764">
      <c r="A764" s="117"/>
      <c r="B764" s="117"/>
      <c r="C764" s="117"/>
      <c r="D764" s="117"/>
      <c r="E764" s="117"/>
      <c r="F764" s="117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  <c r="AA764" s="117"/>
      <c r="AB764" s="117"/>
      <c r="AC764" s="117"/>
      <c r="AD764" s="117"/>
      <c r="AE764" s="117"/>
      <c r="AF764" s="117"/>
      <c r="AG764" s="117"/>
      <c r="AH764" s="117"/>
    </row>
    <row r="765">
      <c r="A765" s="117"/>
      <c r="B765" s="117"/>
      <c r="C765" s="117"/>
      <c r="D765" s="117"/>
      <c r="E765" s="117"/>
      <c r="F765" s="117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  <c r="AA765" s="117"/>
      <c r="AB765" s="117"/>
      <c r="AC765" s="117"/>
      <c r="AD765" s="117"/>
      <c r="AE765" s="117"/>
      <c r="AF765" s="117"/>
      <c r="AG765" s="117"/>
      <c r="AH765" s="117"/>
    </row>
    <row r="766">
      <c r="A766" s="117"/>
      <c r="B766" s="117"/>
      <c r="C766" s="117"/>
      <c r="D766" s="117"/>
      <c r="E766" s="117"/>
      <c r="F766" s="117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  <c r="AA766" s="117"/>
      <c r="AB766" s="117"/>
      <c r="AC766" s="117"/>
      <c r="AD766" s="117"/>
      <c r="AE766" s="117"/>
      <c r="AF766" s="117"/>
      <c r="AG766" s="117"/>
      <c r="AH766" s="117"/>
    </row>
    <row r="767">
      <c r="A767" s="117"/>
      <c r="B767" s="117"/>
      <c r="C767" s="117"/>
      <c r="D767" s="117"/>
      <c r="E767" s="117"/>
      <c r="F767" s="117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  <c r="AA767" s="117"/>
      <c r="AB767" s="117"/>
      <c r="AC767" s="117"/>
      <c r="AD767" s="117"/>
      <c r="AE767" s="117"/>
      <c r="AF767" s="117"/>
      <c r="AG767" s="117"/>
      <c r="AH767" s="117"/>
    </row>
    <row r="768">
      <c r="A768" s="117"/>
      <c r="B768" s="117"/>
      <c r="C768" s="117"/>
      <c r="D768" s="117"/>
      <c r="E768" s="117"/>
      <c r="F768" s="117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  <c r="AA768" s="117"/>
      <c r="AB768" s="117"/>
      <c r="AC768" s="117"/>
      <c r="AD768" s="117"/>
      <c r="AE768" s="117"/>
      <c r="AF768" s="117"/>
      <c r="AG768" s="117"/>
      <c r="AH768" s="117"/>
    </row>
    <row r="769">
      <c r="A769" s="117"/>
      <c r="B769" s="117"/>
      <c r="C769" s="117"/>
      <c r="D769" s="117"/>
      <c r="E769" s="117"/>
      <c r="F769" s="117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  <c r="AA769" s="117"/>
      <c r="AB769" s="117"/>
      <c r="AC769" s="117"/>
      <c r="AD769" s="117"/>
      <c r="AE769" s="117"/>
      <c r="AF769" s="117"/>
      <c r="AG769" s="117"/>
      <c r="AH769" s="117"/>
    </row>
    <row r="770">
      <c r="A770" s="117"/>
      <c r="B770" s="117"/>
      <c r="C770" s="117"/>
      <c r="D770" s="117"/>
      <c r="E770" s="117"/>
      <c r="F770" s="117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  <c r="AA770" s="117"/>
      <c r="AB770" s="117"/>
      <c r="AC770" s="117"/>
      <c r="AD770" s="117"/>
      <c r="AE770" s="117"/>
      <c r="AF770" s="117"/>
      <c r="AG770" s="117"/>
      <c r="AH770" s="117"/>
    </row>
    <row r="771">
      <c r="A771" s="117"/>
      <c r="B771" s="117"/>
      <c r="C771" s="117"/>
      <c r="D771" s="117"/>
      <c r="E771" s="117"/>
      <c r="F771" s="117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  <c r="AA771" s="117"/>
      <c r="AB771" s="117"/>
      <c r="AC771" s="117"/>
      <c r="AD771" s="117"/>
      <c r="AE771" s="117"/>
      <c r="AF771" s="117"/>
      <c r="AG771" s="117"/>
      <c r="AH771" s="117"/>
    </row>
    <row r="772">
      <c r="A772" s="117"/>
      <c r="B772" s="117"/>
      <c r="C772" s="117"/>
      <c r="D772" s="117"/>
      <c r="E772" s="117"/>
      <c r="F772" s="117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  <c r="AA772" s="117"/>
      <c r="AB772" s="117"/>
      <c r="AC772" s="117"/>
      <c r="AD772" s="117"/>
      <c r="AE772" s="117"/>
      <c r="AF772" s="117"/>
      <c r="AG772" s="117"/>
      <c r="AH772" s="117"/>
    </row>
    <row r="773">
      <c r="A773" s="117"/>
      <c r="B773" s="117"/>
      <c r="C773" s="117"/>
      <c r="D773" s="117"/>
      <c r="E773" s="117"/>
      <c r="F773" s="117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  <c r="AA773" s="117"/>
      <c r="AB773" s="117"/>
      <c r="AC773" s="117"/>
      <c r="AD773" s="117"/>
      <c r="AE773" s="117"/>
      <c r="AF773" s="117"/>
      <c r="AG773" s="117"/>
      <c r="AH773" s="117"/>
    </row>
    <row r="774">
      <c r="A774" s="117"/>
      <c r="B774" s="117"/>
      <c r="C774" s="117"/>
      <c r="D774" s="117"/>
      <c r="E774" s="117"/>
      <c r="F774" s="117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  <c r="AA774" s="117"/>
      <c r="AB774" s="117"/>
      <c r="AC774" s="117"/>
      <c r="AD774" s="117"/>
      <c r="AE774" s="117"/>
      <c r="AF774" s="117"/>
      <c r="AG774" s="117"/>
      <c r="AH774" s="117"/>
    </row>
    <row r="775">
      <c r="A775" s="117"/>
      <c r="B775" s="117"/>
      <c r="C775" s="117"/>
      <c r="D775" s="117"/>
      <c r="E775" s="117"/>
      <c r="F775" s="117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  <c r="AA775" s="117"/>
      <c r="AB775" s="117"/>
      <c r="AC775" s="117"/>
      <c r="AD775" s="117"/>
      <c r="AE775" s="117"/>
      <c r="AF775" s="117"/>
      <c r="AG775" s="117"/>
      <c r="AH775" s="117"/>
    </row>
    <row r="776">
      <c r="A776" s="117"/>
      <c r="B776" s="117"/>
      <c r="C776" s="117"/>
      <c r="D776" s="117"/>
      <c r="E776" s="117"/>
      <c r="F776" s="117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  <c r="AA776" s="117"/>
      <c r="AB776" s="117"/>
      <c r="AC776" s="117"/>
      <c r="AD776" s="117"/>
      <c r="AE776" s="117"/>
      <c r="AF776" s="117"/>
      <c r="AG776" s="117"/>
      <c r="AH776" s="117"/>
    </row>
    <row r="777">
      <c r="A777" s="117"/>
      <c r="B777" s="117"/>
      <c r="C777" s="117"/>
      <c r="D777" s="117"/>
      <c r="E777" s="117"/>
      <c r="F777" s="117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  <c r="AA777" s="117"/>
      <c r="AB777" s="117"/>
      <c r="AC777" s="117"/>
      <c r="AD777" s="117"/>
      <c r="AE777" s="117"/>
      <c r="AF777" s="117"/>
      <c r="AG777" s="117"/>
      <c r="AH777" s="117"/>
    </row>
    <row r="778">
      <c r="A778" s="117"/>
      <c r="B778" s="117"/>
      <c r="C778" s="117"/>
      <c r="D778" s="117"/>
      <c r="E778" s="117"/>
      <c r="F778" s="117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  <c r="AA778" s="117"/>
      <c r="AB778" s="117"/>
      <c r="AC778" s="117"/>
      <c r="AD778" s="117"/>
      <c r="AE778" s="117"/>
      <c r="AF778" s="117"/>
      <c r="AG778" s="117"/>
      <c r="AH778" s="117"/>
    </row>
    <row r="779">
      <c r="A779" s="117"/>
      <c r="B779" s="117"/>
      <c r="C779" s="117"/>
      <c r="D779" s="117"/>
      <c r="E779" s="117"/>
      <c r="F779" s="117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  <c r="AA779" s="117"/>
      <c r="AB779" s="117"/>
      <c r="AC779" s="117"/>
      <c r="AD779" s="117"/>
      <c r="AE779" s="117"/>
      <c r="AF779" s="117"/>
      <c r="AG779" s="117"/>
      <c r="AH779" s="117"/>
    </row>
    <row r="780">
      <c r="A780" s="117"/>
      <c r="B780" s="117"/>
      <c r="C780" s="117"/>
      <c r="D780" s="117"/>
      <c r="E780" s="117"/>
      <c r="F780" s="117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  <c r="AA780" s="117"/>
      <c r="AB780" s="117"/>
      <c r="AC780" s="117"/>
      <c r="AD780" s="117"/>
      <c r="AE780" s="117"/>
      <c r="AF780" s="117"/>
      <c r="AG780" s="117"/>
      <c r="AH780" s="117"/>
    </row>
    <row r="781">
      <c r="A781" s="117"/>
      <c r="B781" s="117"/>
      <c r="C781" s="117"/>
      <c r="D781" s="117"/>
      <c r="E781" s="117"/>
      <c r="F781" s="117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  <c r="AA781" s="117"/>
      <c r="AB781" s="117"/>
      <c r="AC781" s="117"/>
      <c r="AD781" s="117"/>
      <c r="AE781" s="117"/>
      <c r="AF781" s="117"/>
      <c r="AG781" s="117"/>
      <c r="AH781" s="117"/>
    </row>
    <row r="782">
      <c r="A782" s="117"/>
      <c r="B782" s="117"/>
      <c r="C782" s="117"/>
      <c r="D782" s="117"/>
      <c r="E782" s="117"/>
      <c r="F782" s="117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117"/>
      <c r="AB782" s="117"/>
      <c r="AC782" s="117"/>
      <c r="AD782" s="117"/>
      <c r="AE782" s="117"/>
      <c r="AF782" s="117"/>
      <c r="AG782" s="117"/>
      <c r="AH782" s="117"/>
    </row>
    <row r="783">
      <c r="A783" s="117"/>
      <c r="B783" s="117"/>
      <c r="C783" s="117"/>
      <c r="D783" s="117"/>
      <c r="E783" s="117"/>
      <c r="F783" s="117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  <c r="AA783" s="117"/>
      <c r="AB783" s="117"/>
      <c r="AC783" s="117"/>
      <c r="AD783" s="117"/>
      <c r="AE783" s="117"/>
      <c r="AF783" s="117"/>
      <c r="AG783" s="117"/>
      <c r="AH783" s="117"/>
    </row>
    <row r="784">
      <c r="A784" s="117"/>
      <c r="B784" s="117"/>
      <c r="C784" s="117"/>
      <c r="D784" s="117"/>
      <c r="E784" s="117"/>
      <c r="F784" s="117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  <c r="AA784" s="117"/>
      <c r="AB784" s="117"/>
      <c r="AC784" s="117"/>
      <c r="AD784" s="117"/>
      <c r="AE784" s="117"/>
      <c r="AF784" s="117"/>
      <c r="AG784" s="117"/>
      <c r="AH784" s="117"/>
    </row>
    <row r="785">
      <c r="A785" s="117"/>
      <c r="B785" s="117"/>
      <c r="C785" s="117"/>
      <c r="D785" s="117"/>
      <c r="E785" s="117"/>
      <c r="F785" s="117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  <c r="AA785" s="117"/>
      <c r="AB785" s="117"/>
      <c r="AC785" s="117"/>
      <c r="AD785" s="117"/>
      <c r="AE785" s="117"/>
      <c r="AF785" s="117"/>
      <c r="AG785" s="117"/>
      <c r="AH785" s="117"/>
    </row>
    <row r="786">
      <c r="A786" s="117"/>
      <c r="B786" s="117"/>
      <c r="C786" s="117"/>
      <c r="D786" s="117"/>
      <c r="E786" s="117"/>
      <c r="F786" s="117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  <c r="AA786" s="117"/>
      <c r="AB786" s="117"/>
      <c r="AC786" s="117"/>
      <c r="AD786" s="117"/>
      <c r="AE786" s="117"/>
      <c r="AF786" s="117"/>
      <c r="AG786" s="117"/>
      <c r="AH786" s="117"/>
    </row>
    <row r="787">
      <c r="A787" s="117"/>
      <c r="B787" s="117"/>
      <c r="C787" s="117"/>
      <c r="D787" s="117"/>
      <c r="E787" s="117"/>
      <c r="F787" s="117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  <c r="AA787" s="117"/>
      <c r="AB787" s="117"/>
      <c r="AC787" s="117"/>
      <c r="AD787" s="117"/>
      <c r="AE787" s="117"/>
      <c r="AF787" s="117"/>
      <c r="AG787" s="117"/>
      <c r="AH787" s="117"/>
    </row>
    <row r="788">
      <c r="A788" s="117"/>
      <c r="B788" s="117"/>
      <c r="C788" s="117"/>
      <c r="D788" s="117"/>
      <c r="E788" s="117"/>
      <c r="F788" s="117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  <c r="AA788" s="117"/>
      <c r="AB788" s="117"/>
      <c r="AC788" s="117"/>
      <c r="AD788" s="117"/>
      <c r="AE788" s="117"/>
      <c r="AF788" s="117"/>
      <c r="AG788" s="117"/>
      <c r="AH788" s="117"/>
    </row>
    <row r="789">
      <c r="A789" s="117"/>
      <c r="B789" s="117"/>
      <c r="C789" s="117"/>
      <c r="D789" s="117"/>
      <c r="E789" s="117"/>
      <c r="F789" s="117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  <c r="AA789" s="117"/>
      <c r="AB789" s="117"/>
      <c r="AC789" s="117"/>
      <c r="AD789" s="117"/>
      <c r="AE789" s="117"/>
      <c r="AF789" s="117"/>
      <c r="AG789" s="117"/>
      <c r="AH789" s="117"/>
    </row>
    <row r="790">
      <c r="A790" s="117"/>
      <c r="B790" s="117"/>
      <c r="C790" s="117"/>
      <c r="D790" s="117"/>
      <c r="E790" s="117"/>
      <c r="F790" s="117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  <c r="AA790" s="117"/>
      <c r="AB790" s="117"/>
      <c r="AC790" s="117"/>
      <c r="AD790" s="117"/>
      <c r="AE790" s="117"/>
      <c r="AF790" s="117"/>
      <c r="AG790" s="117"/>
      <c r="AH790" s="117"/>
    </row>
    <row r="791">
      <c r="A791" s="117"/>
      <c r="B791" s="117"/>
      <c r="C791" s="117"/>
      <c r="D791" s="117"/>
      <c r="E791" s="117"/>
      <c r="F791" s="117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  <c r="AA791" s="117"/>
      <c r="AB791" s="117"/>
      <c r="AC791" s="117"/>
      <c r="AD791" s="117"/>
      <c r="AE791" s="117"/>
      <c r="AF791" s="117"/>
      <c r="AG791" s="117"/>
      <c r="AH791" s="117"/>
    </row>
    <row r="792">
      <c r="A792" s="117"/>
      <c r="B792" s="117"/>
      <c r="C792" s="117"/>
      <c r="D792" s="117"/>
      <c r="E792" s="117"/>
      <c r="F792" s="117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  <c r="AA792" s="117"/>
      <c r="AB792" s="117"/>
      <c r="AC792" s="117"/>
      <c r="AD792" s="117"/>
      <c r="AE792" s="117"/>
      <c r="AF792" s="117"/>
      <c r="AG792" s="117"/>
      <c r="AH792" s="117"/>
    </row>
    <row r="793">
      <c r="A793" s="117"/>
      <c r="B793" s="117"/>
      <c r="C793" s="117"/>
      <c r="D793" s="117"/>
      <c r="E793" s="117"/>
      <c r="F793" s="117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  <c r="AA793" s="117"/>
      <c r="AB793" s="117"/>
      <c r="AC793" s="117"/>
      <c r="AD793" s="117"/>
      <c r="AE793" s="117"/>
      <c r="AF793" s="117"/>
      <c r="AG793" s="117"/>
      <c r="AH793" s="117"/>
    </row>
    <row r="794">
      <c r="A794" s="117"/>
      <c r="B794" s="117"/>
      <c r="C794" s="117"/>
      <c r="D794" s="117"/>
      <c r="E794" s="117"/>
      <c r="F794" s="117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  <c r="AA794" s="117"/>
      <c r="AB794" s="117"/>
      <c r="AC794" s="117"/>
      <c r="AD794" s="117"/>
      <c r="AE794" s="117"/>
      <c r="AF794" s="117"/>
      <c r="AG794" s="117"/>
      <c r="AH794" s="117"/>
    </row>
    <row r="795">
      <c r="A795" s="117"/>
      <c r="B795" s="117"/>
      <c r="C795" s="117"/>
      <c r="D795" s="117"/>
      <c r="E795" s="117"/>
      <c r="F795" s="117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  <c r="AA795" s="117"/>
      <c r="AB795" s="117"/>
      <c r="AC795" s="117"/>
      <c r="AD795" s="117"/>
      <c r="AE795" s="117"/>
      <c r="AF795" s="117"/>
      <c r="AG795" s="117"/>
      <c r="AH795" s="117"/>
    </row>
    <row r="796">
      <c r="A796" s="117"/>
      <c r="B796" s="117"/>
      <c r="C796" s="117"/>
      <c r="D796" s="117"/>
      <c r="E796" s="117"/>
      <c r="F796" s="117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  <c r="AA796" s="117"/>
      <c r="AB796" s="117"/>
      <c r="AC796" s="117"/>
      <c r="AD796" s="117"/>
      <c r="AE796" s="117"/>
      <c r="AF796" s="117"/>
      <c r="AG796" s="117"/>
      <c r="AH796" s="117"/>
    </row>
    <row r="797">
      <c r="A797" s="117"/>
      <c r="B797" s="117"/>
      <c r="C797" s="117"/>
      <c r="D797" s="117"/>
      <c r="E797" s="117"/>
      <c r="F797" s="117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  <c r="AA797" s="117"/>
      <c r="AB797" s="117"/>
      <c r="AC797" s="117"/>
      <c r="AD797" s="117"/>
      <c r="AE797" s="117"/>
      <c r="AF797" s="117"/>
      <c r="AG797" s="117"/>
      <c r="AH797" s="117"/>
    </row>
    <row r="798">
      <c r="A798" s="117"/>
      <c r="B798" s="117"/>
      <c r="C798" s="117"/>
      <c r="D798" s="117"/>
      <c r="E798" s="117"/>
      <c r="F798" s="117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  <c r="AA798" s="117"/>
      <c r="AB798" s="117"/>
      <c r="AC798" s="117"/>
      <c r="AD798" s="117"/>
      <c r="AE798" s="117"/>
      <c r="AF798" s="117"/>
      <c r="AG798" s="117"/>
      <c r="AH798" s="117"/>
    </row>
    <row r="799">
      <c r="A799" s="117"/>
      <c r="B799" s="117"/>
      <c r="C799" s="117"/>
      <c r="D799" s="117"/>
      <c r="E799" s="117"/>
      <c r="F799" s="117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  <c r="AA799" s="117"/>
      <c r="AB799" s="117"/>
      <c r="AC799" s="117"/>
      <c r="AD799" s="117"/>
      <c r="AE799" s="117"/>
      <c r="AF799" s="117"/>
      <c r="AG799" s="117"/>
      <c r="AH799" s="117"/>
    </row>
    <row r="800">
      <c r="A800" s="117"/>
      <c r="B800" s="117"/>
      <c r="C800" s="117"/>
      <c r="D800" s="117"/>
      <c r="E800" s="117"/>
      <c r="F800" s="117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  <c r="AA800" s="117"/>
      <c r="AB800" s="117"/>
      <c r="AC800" s="117"/>
      <c r="AD800" s="117"/>
      <c r="AE800" s="117"/>
      <c r="AF800" s="117"/>
      <c r="AG800" s="117"/>
      <c r="AH800" s="117"/>
    </row>
    <row r="801">
      <c r="A801" s="117"/>
      <c r="B801" s="117"/>
      <c r="C801" s="117"/>
      <c r="D801" s="117"/>
      <c r="E801" s="117"/>
      <c r="F801" s="117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  <c r="AA801" s="117"/>
      <c r="AB801" s="117"/>
      <c r="AC801" s="117"/>
      <c r="AD801" s="117"/>
      <c r="AE801" s="117"/>
      <c r="AF801" s="117"/>
      <c r="AG801" s="117"/>
      <c r="AH801" s="117"/>
    </row>
    <row r="802">
      <c r="A802" s="117"/>
      <c r="B802" s="117"/>
      <c r="C802" s="117"/>
      <c r="D802" s="117"/>
      <c r="E802" s="117"/>
      <c r="F802" s="117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  <c r="AA802" s="117"/>
      <c r="AB802" s="117"/>
      <c r="AC802" s="117"/>
      <c r="AD802" s="117"/>
      <c r="AE802" s="117"/>
      <c r="AF802" s="117"/>
      <c r="AG802" s="117"/>
      <c r="AH802" s="117"/>
    </row>
    <row r="803">
      <c r="A803" s="117"/>
      <c r="B803" s="117"/>
      <c r="C803" s="117"/>
      <c r="D803" s="117"/>
      <c r="E803" s="117"/>
      <c r="F803" s="117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  <c r="AA803" s="117"/>
      <c r="AB803" s="117"/>
      <c r="AC803" s="117"/>
      <c r="AD803" s="117"/>
      <c r="AE803" s="117"/>
      <c r="AF803" s="117"/>
      <c r="AG803" s="117"/>
      <c r="AH803" s="117"/>
    </row>
    <row r="804">
      <c r="A804" s="117"/>
      <c r="B804" s="117"/>
      <c r="C804" s="117"/>
      <c r="D804" s="117"/>
      <c r="E804" s="117"/>
      <c r="F804" s="117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  <c r="AA804" s="117"/>
      <c r="AB804" s="117"/>
      <c r="AC804" s="117"/>
      <c r="AD804" s="117"/>
      <c r="AE804" s="117"/>
      <c r="AF804" s="117"/>
      <c r="AG804" s="117"/>
      <c r="AH804" s="117"/>
    </row>
    <row r="805">
      <c r="A805" s="117"/>
      <c r="B805" s="117"/>
      <c r="C805" s="117"/>
      <c r="D805" s="117"/>
      <c r="E805" s="117"/>
      <c r="F805" s="117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  <c r="AA805" s="117"/>
      <c r="AB805" s="117"/>
      <c r="AC805" s="117"/>
      <c r="AD805" s="117"/>
      <c r="AE805" s="117"/>
      <c r="AF805" s="117"/>
      <c r="AG805" s="117"/>
      <c r="AH805" s="117"/>
    </row>
    <row r="806">
      <c r="A806" s="117"/>
      <c r="B806" s="117"/>
      <c r="C806" s="117"/>
      <c r="D806" s="117"/>
      <c r="E806" s="117"/>
      <c r="F806" s="117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  <c r="AA806" s="117"/>
      <c r="AB806" s="117"/>
      <c r="AC806" s="117"/>
      <c r="AD806" s="117"/>
      <c r="AE806" s="117"/>
      <c r="AF806" s="117"/>
      <c r="AG806" s="117"/>
      <c r="AH806" s="117"/>
    </row>
    <row r="807">
      <c r="A807" s="117"/>
      <c r="B807" s="117"/>
      <c r="C807" s="117"/>
      <c r="D807" s="117"/>
      <c r="E807" s="117"/>
      <c r="F807" s="117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  <c r="AA807" s="117"/>
      <c r="AB807" s="117"/>
      <c r="AC807" s="117"/>
      <c r="AD807" s="117"/>
      <c r="AE807" s="117"/>
      <c r="AF807" s="117"/>
      <c r="AG807" s="117"/>
      <c r="AH807" s="117"/>
    </row>
    <row r="808">
      <c r="A808" s="117"/>
      <c r="B808" s="117"/>
      <c r="C808" s="117"/>
      <c r="D808" s="117"/>
      <c r="E808" s="117"/>
      <c r="F808" s="117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  <c r="AA808" s="117"/>
      <c r="AB808" s="117"/>
      <c r="AC808" s="117"/>
      <c r="AD808" s="117"/>
      <c r="AE808" s="117"/>
      <c r="AF808" s="117"/>
      <c r="AG808" s="117"/>
      <c r="AH808" s="117"/>
    </row>
    <row r="809">
      <c r="A809" s="117"/>
      <c r="B809" s="117"/>
      <c r="C809" s="117"/>
      <c r="D809" s="117"/>
      <c r="E809" s="117"/>
      <c r="F809" s="117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  <c r="AA809" s="117"/>
      <c r="AB809" s="117"/>
      <c r="AC809" s="117"/>
      <c r="AD809" s="117"/>
      <c r="AE809" s="117"/>
      <c r="AF809" s="117"/>
      <c r="AG809" s="117"/>
      <c r="AH809" s="117"/>
    </row>
    <row r="810">
      <c r="A810" s="117"/>
      <c r="B810" s="117"/>
      <c r="C810" s="117"/>
      <c r="D810" s="117"/>
      <c r="E810" s="117"/>
      <c r="F810" s="117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  <c r="AA810" s="117"/>
      <c r="AB810" s="117"/>
      <c r="AC810" s="117"/>
      <c r="AD810" s="117"/>
      <c r="AE810" s="117"/>
      <c r="AF810" s="117"/>
      <c r="AG810" s="117"/>
      <c r="AH810" s="117"/>
    </row>
    <row r="811">
      <c r="A811" s="117"/>
      <c r="B811" s="117"/>
      <c r="C811" s="117"/>
      <c r="D811" s="117"/>
      <c r="E811" s="117"/>
      <c r="F811" s="117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  <c r="AA811" s="117"/>
      <c r="AB811" s="117"/>
      <c r="AC811" s="117"/>
      <c r="AD811" s="117"/>
      <c r="AE811" s="117"/>
      <c r="AF811" s="117"/>
      <c r="AG811" s="117"/>
      <c r="AH811" s="117"/>
    </row>
    <row r="812">
      <c r="A812" s="117"/>
      <c r="B812" s="117"/>
      <c r="C812" s="117"/>
      <c r="D812" s="117"/>
      <c r="E812" s="117"/>
      <c r="F812" s="117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  <c r="AA812" s="117"/>
      <c r="AB812" s="117"/>
      <c r="AC812" s="117"/>
      <c r="AD812" s="117"/>
      <c r="AE812" s="117"/>
      <c r="AF812" s="117"/>
      <c r="AG812" s="117"/>
      <c r="AH812" s="117"/>
    </row>
    <row r="813">
      <c r="A813" s="117"/>
      <c r="B813" s="117"/>
      <c r="C813" s="117"/>
      <c r="D813" s="117"/>
      <c r="E813" s="117"/>
      <c r="F813" s="117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  <c r="AA813" s="117"/>
      <c r="AB813" s="117"/>
      <c r="AC813" s="117"/>
      <c r="AD813" s="117"/>
      <c r="AE813" s="117"/>
      <c r="AF813" s="117"/>
      <c r="AG813" s="117"/>
      <c r="AH813" s="117"/>
    </row>
    <row r="814">
      <c r="A814" s="117"/>
      <c r="B814" s="117"/>
      <c r="C814" s="117"/>
      <c r="D814" s="117"/>
      <c r="E814" s="117"/>
      <c r="F814" s="117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  <c r="AA814" s="117"/>
      <c r="AB814" s="117"/>
      <c r="AC814" s="117"/>
      <c r="AD814" s="117"/>
      <c r="AE814" s="117"/>
      <c r="AF814" s="117"/>
      <c r="AG814" s="117"/>
      <c r="AH814" s="117"/>
    </row>
    <row r="815">
      <c r="A815" s="117"/>
      <c r="B815" s="117"/>
      <c r="C815" s="117"/>
      <c r="D815" s="117"/>
      <c r="E815" s="117"/>
      <c r="F815" s="117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  <c r="AA815" s="117"/>
      <c r="AB815" s="117"/>
      <c r="AC815" s="117"/>
      <c r="AD815" s="117"/>
      <c r="AE815" s="117"/>
      <c r="AF815" s="117"/>
      <c r="AG815" s="117"/>
      <c r="AH815" s="117"/>
    </row>
    <row r="816">
      <c r="A816" s="117"/>
      <c r="B816" s="117"/>
      <c r="C816" s="117"/>
      <c r="D816" s="117"/>
      <c r="E816" s="117"/>
      <c r="F816" s="117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  <c r="AA816" s="117"/>
      <c r="AB816" s="117"/>
      <c r="AC816" s="117"/>
      <c r="AD816" s="117"/>
      <c r="AE816" s="117"/>
      <c r="AF816" s="117"/>
      <c r="AG816" s="117"/>
      <c r="AH816" s="117"/>
    </row>
    <row r="817">
      <c r="A817" s="117"/>
      <c r="B817" s="117"/>
      <c r="C817" s="117"/>
      <c r="D817" s="117"/>
      <c r="E817" s="117"/>
      <c r="F817" s="117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  <c r="AA817" s="117"/>
      <c r="AB817" s="117"/>
      <c r="AC817" s="117"/>
      <c r="AD817" s="117"/>
      <c r="AE817" s="117"/>
      <c r="AF817" s="117"/>
      <c r="AG817" s="117"/>
      <c r="AH817" s="117"/>
    </row>
    <row r="818">
      <c r="A818" s="117"/>
      <c r="B818" s="117"/>
      <c r="C818" s="117"/>
      <c r="D818" s="117"/>
      <c r="E818" s="117"/>
      <c r="F818" s="117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  <c r="AA818" s="117"/>
      <c r="AB818" s="117"/>
      <c r="AC818" s="117"/>
      <c r="AD818" s="117"/>
      <c r="AE818" s="117"/>
      <c r="AF818" s="117"/>
      <c r="AG818" s="117"/>
      <c r="AH818" s="117"/>
    </row>
    <row r="819">
      <c r="A819" s="117"/>
      <c r="B819" s="117"/>
      <c r="C819" s="117"/>
      <c r="D819" s="117"/>
      <c r="E819" s="117"/>
      <c r="F819" s="117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  <c r="AA819" s="117"/>
      <c r="AB819" s="117"/>
      <c r="AC819" s="117"/>
      <c r="AD819" s="117"/>
      <c r="AE819" s="117"/>
      <c r="AF819" s="117"/>
      <c r="AG819" s="117"/>
      <c r="AH819" s="117"/>
    </row>
    <row r="820">
      <c r="A820" s="117"/>
      <c r="B820" s="117"/>
      <c r="C820" s="117"/>
      <c r="D820" s="117"/>
      <c r="E820" s="117"/>
      <c r="F820" s="117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117"/>
      <c r="AB820" s="117"/>
      <c r="AC820" s="117"/>
      <c r="AD820" s="117"/>
      <c r="AE820" s="117"/>
      <c r="AF820" s="117"/>
      <c r="AG820" s="117"/>
      <c r="AH820" s="117"/>
    </row>
    <row r="821">
      <c r="A821" s="117"/>
      <c r="B821" s="117"/>
      <c r="C821" s="117"/>
      <c r="D821" s="117"/>
      <c r="E821" s="117"/>
      <c r="F821" s="117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  <c r="AA821" s="117"/>
      <c r="AB821" s="117"/>
      <c r="AC821" s="117"/>
      <c r="AD821" s="117"/>
      <c r="AE821" s="117"/>
      <c r="AF821" s="117"/>
      <c r="AG821" s="117"/>
      <c r="AH821" s="117"/>
    </row>
    <row r="822">
      <c r="A822" s="117"/>
      <c r="B822" s="117"/>
      <c r="C822" s="117"/>
      <c r="D822" s="117"/>
      <c r="E822" s="117"/>
      <c r="F822" s="117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  <c r="AA822" s="117"/>
      <c r="AB822" s="117"/>
      <c r="AC822" s="117"/>
      <c r="AD822" s="117"/>
      <c r="AE822" s="117"/>
      <c r="AF822" s="117"/>
      <c r="AG822" s="117"/>
      <c r="AH822" s="117"/>
    </row>
    <row r="823">
      <c r="A823" s="117"/>
      <c r="B823" s="117"/>
      <c r="C823" s="117"/>
      <c r="D823" s="117"/>
      <c r="E823" s="117"/>
      <c r="F823" s="117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  <c r="AA823" s="117"/>
      <c r="AB823" s="117"/>
      <c r="AC823" s="117"/>
      <c r="AD823" s="117"/>
      <c r="AE823" s="117"/>
      <c r="AF823" s="117"/>
      <c r="AG823" s="117"/>
      <c r="AH823" s="117"/>
    </row>
    <row r="824">
      <c r="A824" s="117"/>
      <c r="B824" s="117"/>
      <c r="C824" s="117"/>
      <c r="D824" s="117"/>
      <c r="E824" s="117"/>
      <c r="F824" s="117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  <c r="AA824" s="117"/>
      <c r="AB824" s="117"/>
      <c r="AC824" s="117"/>
      <c r="AD824" s="117"/>
      <c r="AE824" s="117"/>
      <c r="AF824" s="117"/>
      <c r="AG824" s="117"/>
      <c r="AH824" s="117"/>
    </row>
    <row r="825">
      <c r="A825" s="117"/>
      <c r="B825" s="117"/>
      <c r="C825" s="117"/>
      <c r="D825" s="117"/>
      <c r="E825" s="117"/>
      <c r="F825" s="117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  <c r="AA825" s="117"/>
      <c r="AB825" s="117"/>
      <c r="AC825" s="117"/>
      <c r="AD825" s="117"/>
      <c r="AE825" s="117"/>
      <c r="AF825" s="117"/>
      <c r="AG825" s="117"/>
      <c r="AH825" s="117"/>
    </row>
    <row r="826">
      <c r="A826" s="117"/>
      <c r="B826" s="117"/>
      <c r="C826" s="117"/>
      <c r="D826" s="117"/>
      <c r="E826" s="117"/>
      <c r="F826" s="117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  <c r="AA826" s="117"/>
      <c r="AB826" s="117"/>
      <c r="AC826" s="117"/>
      <c r="AD826" s="117"/>
      <c r="AE826" s="117"/>
      <c r="AF826" s="117"/>
      <c r="AG826" s="117"/>
      <c r="AH826" s="117"/>
    </row>
    <row r="827">
      <c r="A827" s="117"/>
      <c r="B827" s="117"/>
      <c r="C827" s="117"/>
      <c r="D827" s="117"/>
      <c r="E827" s="117"/>
      <c r="F827" s="117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  <c r="AA827" s="117"/>
      <c r="AB827" s="117"/>
      <c r="AC827" s="117"/>
      <c r="AD827" s="117"/>
      <c r="AE827" s="117"/>
      <c r="AF827" s="117"/>
      <c r="AG827" s="117"/>
      <c r="AH827" s="117"/>
    </row>
    <row r="828">
      <c r="A828" s="117"/>
      <c r="B828" s="117"/>
      <c r="C828" s="117"/>
      <c r="D828" s="117"/>
      <c r="E828" s="117"/>
      <c r="F828" s="117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  <c r="AA828" s="117"/>
      <c r="AB828" s="117"/>
      <c r="AC828" s="117"/>
      <c r="AD828" s="117"/>
      <c r="AE828" s="117"/>
      <c r="AF828" s="117"/>
      <c r="AG828" s="117"/>
      <c r="AH828" s="117"/>
    </row>
    <row r="829">
      <c r="A829" s="117"/>
      <c r="B829" s="117"/>
      <c r="C829" s="117"/>
      <c r="D829" s="117"/>
      <c r="E829" s="117"/>
      <c r="F829" s="117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  <c r="AA829" s="117"/>
      <c r="AB829" s="117"/>
      <c r="AC829" s="117"/>
      <c r="AD829" s="117"/>
      <c r="AE829" s="117"/>
      <c r="AF829" s="117"/>
      <c r="AG829" s="117"/>
      <c r="AH829" s="117"/>
    </row>
    <row r="830">
      <c r="A830" s="117"/>
      <c r="B830" s="117"/>
      <c r="C830" s="117"/>
      <c r="D830" s="117"/>
      <c r="E830" s="117"/>
      <c r="F830" s="117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  <c r="AA830" s="117"/>
      <c r="AB830" s="117"/>
      <c r="AC830" s="117"/>
      <c r="AD830" s="117"/>
      <c r="AE830" s="117"/>
      <c r="AF830" s="117"/>
      <c r="AG830" s="117"/>
      <c r="AH830" s="117"/>
    </row>
    <row r="831">
      <c r="A831" s="117"/>
      <c r="B831" s="117"/>
      <c r="C831" s="117"/>
      <c r="D831" s="117"/>
      <c r="E831" s="117"/>
      <c r="F831" s="117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  <c r="AA831" s="117"/>
      <c r="AB831" s="117"/>
      <c r="AC831" s="117"/>
      <c r="AD831" s="117"/>
      <c r="AE831" s="117"/>
      <c r="AF831" s="117"/>
      <c r="AG831" s="117"/>
      <c r="AH831" s="117"/>
    </row>
    <row r="832">
      <c r="A832" s="117"/>
      <c r="B832" s="117"/>
      <c r="C832" s="117"/>
      <c r="D832" s="117"/>
      <c r="E832" s="117"/>
      <c r="F832" s="117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  <c r="AA832" s="117"/>
      <c r="AB832" s="117"/>
      <c r="AC832" s="117"/>
      <c r="AD832" s="117"/>
      <c r="AE832" s="117"/>
      <c r="AF832" s="117"/>
      <c r="AG832" s="117"/>
      <c r="AH832" s="117"/>
    </row>
    <row r="833">
      <c r="A833" s="117"/>
      <c r="B833" s="117"/>
      <c r="C833" s="117"/>
      <c r="D833" s="117"/>
      <c r="E833" s="117"/>
      <c r="F833" s="117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  <c r="AA833" s="117"/>
      <c r="AB833" s="117"/>
      <c r="AC833" s="117"/>
      <c r="AD833" s="117"/>
      <c r="AE833" s="117"/>
      <c r="AF833" s="117"/>
      <c r="AG833" s="117"/>
      <c r="AH833" s="117"/>
    </row>
    <row r="834">
      <c r="A834" s="117"/>
      <c r="B834" s="117"/>
      <c r="C834" s="117"/>
      <c r="D834" s="117"/>
      <c r="E834" s="117"/>
      <c r="F834" s="117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  <c r="AA834" s="117"/>
      <c r="AB834" s="117"/>
      <c r="AC834" s="117"/>
      <c r="AD834" s="117"/>
      <c r="AE834" s="117"/>
      <c r="AF834" s="117"/>
      <c r="AG834" s="117"/>
      <c r="AH834" s="117"/>
    </row>
    <row r="835">
      <c r="A835" s="117"/>
      <c r="B835" s="117"/>
      <c r="C835" s="117"/>
      <c r="D835" s="117"/>
      <c r="E835" s="117"/>
      <c r="F835" s="117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  <c r="AA835" s="117"/>
      <c r="AB835" s="117"/>
      <c r="AC835" s="117"/>
      <c r="AD835" s="117"/>
      <c r="AE835" s="117"/>
      <c r="AF835" s="117"/>
      <c r="AG835" s="117"/>
      <c r="AH835" s="117"/>
    </row>
    <row r="836">
      <c r="A836" s="117"/>
      <c r="B836" s="117"/>
      <c r="C836" s="117"/>
      <c r="D836" s="117"/>
      <c r="E836" s="117"/>
      <c r="F836" s="117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  <c r="AA836" s="117"/>
      <c r="AB836" s="117"/>
      <c r="AC836" s="117"/>
      <c r="AD836" s="117"/>
      <c r="AE836" s="117"/>
      <c r="AF836" s="117"/>
      <c r="AG836" s="117"/>
      <c r="AH836" s="117"/>
    </row>
    <row r="837">
      <c r="A837" s="117"/>
      <c r="B837" s="117"/>
      <c r="C837" s="117"/>
      <c r="D837" s="117"/>
      <c r="E837" s="117"/>
      <c r="F837" s="117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  <c r="AA837" s="117"/>
      <c r="AB837" s="117"/>
      <c r="AC837" s="117"/>
      <c r="AD837" s="117"/>
      <c r="AE837" s="117"/>
      <c r="AF837" s="117"/>
      <c r="AG837" s="117"/>
      <c r="AH837" s="117"/>
    </row>
    <row r="838">
      <c r="A838" s="117"/>
      <c r="B838" s="117"/>
      <c r="C838" s="117"/>
      <c r="D838" s="117"/>
      <c r="E838" s="117"/>
      <c r="F838" s="117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  <c r="AA838" s="117"/>
      <c r="AB838" s="117"/>
      <c r="AC838" s="117"/>
      <c r="AD838" s="117"/>
      <c r="AE838" s="117"/>
      <c r="AF838" s="117"/>
      <c r="AG838" s="117"/>
      <c r="AH838" s="117"/>
    </row>
    <row r="839">
      <c r="A839" s="117"/>
      <c r="B839" s="117"/>
      <c r="C839" s="117"/>
      <c r="D839" s="117"/>
      <c r="E839" s="117"/>
      <c r="F839" s="117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  <c r="AA839" s="117"/>
      <c r="AB839" s="117"/>
      <c r="AC839" s="117"/>
      <c r="AD839" s="117"/>
      <c r="AE839" s="117"/>
      <c r="AF839" s="117"/>
      <c r="AG839" s="117"/>
      <c r="AH839" s="117"/>
    </row>
    <row r="840">
      <c r="A840" s="117"/>
      <c r="B840" s="117"/>
      <c r="C840" s="117"/>
      <c r="D840" s="117"/>
      <c r="E840" s="117"/>
      <c r="F840" s="117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  <c r="AA840" s="117"/>
      <c r="AB840" s="117"/>
      <c r="AC840" s="117"/>
      <c r="AD840" s="117"/>
      <c r="AE840" s="117"/>
      <c r="AF840" s="117"/>
      <c r="AG840" s="117"/>
      <c r="AH840" s="117"/>
    </row>
    <row r="841">
      <c r="A841" s="117"/>
      <c r="B841" s="117"/>
      <c r="C841" s="117"/>
      <c r="D841" s="117"/>
      <c r="E841" s="117"/>
      <c r="F841" s="117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  <c r="AA841" s="117"/>
      <c r="AB841" s="117"/>
      <c r="AC841" s="117"/>
      <c r="AD841" s="117"/>
      <c r="AE841" s="117"/>
      <c r="AF841" s="117"/>
      <c r="AG841" s="117"/>
      <c r="AH841" s="117"/>
    </row>
    <row r="842">
      <c r="A842" s="117"/>
      <c r="B842" s="117"/>
      <c r="C842" s="117"/>
      <c r="D842" s="117"/>
      <c r="E842" s="117"/>
      <c r="F842" s="117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  <c r="AA842" s="117"/>
      <c r="AB842" s="117"/>
      <c r="AC842" s="117"/>
      <c r="AD842" s="117"/>
      <c r="AE842" s="117"/>
      <c r="AF842" s="117"/>
      <c r="AG842" s="117"/>
      <c r="AH842" s="117"/>
    </row>
    <row r="843">
      <c r="A843" s="117"/>
      <c r="B843" s="117"/>
      <c r="C843" s="117"/>
      <c r="D843" s="117"/>
      <c r="E843" s="117"/>
      <c r="F843" s="117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  <c r="AA843" s="117"/>
      <c r="AB843" s="117"/>
      <c r="AC843" s="117"/>
      <c r="AD843" s="117"/>
      <c r="AE843" s="117"/>
      <c r="AF843" s="117"/>
      <c r="AG843" s="117"/>
      <c r="AH843" s="117"/>
    </row>
    <row r="844">
      <c r="A844" s="117"/>
      <c r="B844" s="117"/>
      <c r="C844" s="117"/>
      <c r="D844" s="117"/>
      <c r="E844" s="117"/>
      <c r="F844" s="117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  <c r="AA844" s="117"/>
      <c r="AB844" s="117"/>
      <c r="AC844" s="117"/>
      <c r="AD844" s="117"/>
      <c r="AE844" s="117"/>
      <c r="AF844" s="117"/>
      <c r="AG844" s="117"/>
      <c r="AH844" s="117"/>
    </row>
    <row r="845">
      <c r="A845" s="117"/>
      <c r="B845" s="117"/>
      <c r="C845" s="117"/>
      <c r="D845" s="117"/>
      <c r="E845" s="117"/>
      <c r="F845" s="117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  <c r="AA845" s="117"/>
      <c r="AB845" s="117"/>
      <c r="AC845" s="117"/>
      <c r="AD845" s="117"/>
      <c r="AE845" s="117"/>
      <c r="AF845" s="117"/>
      <c r="AG845" s="117"/>
      <c r="AH845" s="117"/>
    </row>
    <row r="846">
      <c r="A846" s="117"/>
      <c r="B846" s="117"/>
      <c r="C846" s="117"/>
      <c r="D846" s="117"/>
      <c r="E846" s="117"/>
      <c r="F846" s="117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  <c r="AA846" s="117"/>
      <c r="AB846" s="117"/>
      <c r="AC846" s="117"/>
      <c r="AD846" s="117"/>
      <c r="AE846" s="117"/>
      <c r="AF846" s="117"/>
      <c r="AG846" s="117"/>
      <c r="AH846" s="117"/>
    </row>
    <row r="847">
      <c r="A847" s="117"/>
      <c r="B847" s="117"/>
      <c r="C847" s="117"/>
      <c r="D847" s="117"/>
      <c r="E847" s="117"/>
      <c r="F847" s="117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  <c r="AA847" s="117"/>
      <c r="AB847" s="117"/>
      <c r="AC847" s="117"/>
      <c r="AD847" s="117"/>
      <c r="AE847" s="117"/>
      <c r="AF847" s="117"/>
      <c r="AG847" s="117"/>
      <c r="AH847" s="117"/>
    </row>
    <row r="848">
      <c r="A848" s="117"/>
      <c r="B848" s="117"/>
      <c r="C848" s="117"/>
      <c r="D848" s="117"/>
      <c r="E848" s="117"/>
      <c r="F848" s="117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  <c r="AA848" s="117"/>
      <c r="AB848" s="117"/>
      <c r="AC848" s="117"/>
      <c r="AD848" s="117"/>
      <c r="AE848" s="117"/>
      <c r="AF848" s="117"/>
      <c r="AG848" s="117"/>
      <c r="AH848" s="117"/>
    </row>
    <row r="849">
      <c r="A849" s="117"/>
      <c r="B849" s="117"/>
      <c r="C849" s="117"/>
      <c r="D849" s="117"/>
      <c r="E849" s="117"/>
      <c r="F849" s="117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  <c r="AA849" s="117"/>
      <c r="AB849" s="117"/>
      <c r="AC849" s="117"/>
      <c r="AD849" s="117"/>
      <c r="AE849" s="117"/>
      <c r="AF849" s="117"/>
      <c r="AG849" s="117"/>
      <c r="AH849" s="117"/>
    </row>
    <row r="850">
      <c r="A850" s="117"/>
      <c r="B850" s="117"/>
      <c r="C850" s="117"/>
      <c r="D850" s="117"/>
      <c r="E850" s="117"/>
      <c r="F850" s="117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  <c r="AA850" s="117"/>
      <c r="AB850" s="117"/>
      <c r="AC850" s="117"/>
      <c r="AD850" s="117"/>
      <c r="AE850" s="117"/>
      <c r="AF850" s="117"/>
      <c r="AG850" s="117"/>
      <c r="AH850" s="117"/>
    </row>
    <row r="851">
      <c r="A851" s="117"/>
      <c r="B851" s="117"/>
      <c r="C851" s="117"/>
      <c r="D851" s="117"/>
      <c r="E851" s="117"/>
      <c r="F851" s="117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  <c r="AA851" s="117"/>
      <c r="AB851" s="117"/>
      <c r="AC851" s="117"/>
      <c r="AD851" s="117"/>
      <c r="AE851" s="117"/>
      <c r="AF851" s="117"/>
      <c r="AG851" s="117"/>
      <c r="AH851" s="117"/>
    </row>
    <row r="852">
      <c r="A852" s="117"/>
      <c r="B852" s="117"/>
      <c r="C852" s="117"/>
      <c r="D852" s="117"/>
      <c r="E852" s="117"/>
      <c r="F852" s="117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  <c r="AA852" s="117"/>
      <c r="AB852" s="117"/>
      <c r="AC852" s="117"/>
      <c r="AD852" s="117"/>
      <c r="AE852" s="117"/>
      <c r="AF852" s="117"/>
      <c r="AG852" s="117"/>
      <c r="AH852" s="117"/>
    </row>
    <row r="853">
      <c r="A853" s="117"/>
      <c r="B853" s="117"/>
      <c r="C853" s="117"/>
      <c r="D853" s="117"/>
      <c r="E853" s="117"/>
      <c r="F853" s="117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  <c r="AA853" s="117"/>
      <c r="AB853" s="117"/>
      <c r="AC853" s="117"/>
      <c r="AD853" s="117"/>
      <c r="AE853" s="117"/>
      <c r="AF853" s="117"/>
      <c r="AG853" s="117"/>
      <c r="AH853" s="117"/>
    </row>
    <row r="854">
      <c r="A854" s="117"/>
      <c r="B854" s="117"/>
      <c r="C854" s="117"/>
      <c r="D854" s="117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  <c r="AA854" s="117"/>
      <c r="AB854" s="117"/>
      <c r="AC854" s="117"/>
      <c r="AD854" s="117"/>
      <c r="AE854" s="117"/>
      <c r="AF854" s="117"/>
      <c r="AG854" s="117"/>
      <c r="AH854" s="117"/>
    </row>
    <row r="855">
      <c r="A855" s="117"/>
      <c r="B855" s="117"/>
      <c r="C855" s="117"/>
      <c r="D855" s="117"/>
      <c r="E855" s="117"/>
      <c r="F855" s="117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  <c r="AA855" s="117"/>
      <c r="AB855" s="117"/>
      <c r="AC855" s="117"/>
      <c r="AD855" s="117"/>
      <c r="AE855" s="117"/>
      <c r="AF855" s="117"/>
      <c r="AG855" s="117"/>
      <c r="AH855" s="117"/>
    </row>
    <row r="856">
      <c r="A856" s="117"/>
      <c r="B856" s="117"/>
      <c r="C856" s="117"/>
      <c r="D856" s="117"/>
      <c r="E856" s="117"/>
      <c r="F856" s="117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  <c r="AA856" s="117"/>
      <c r="AB856" s="117"/>
      <c r="AC856" s="117"/>
      <c r="AD856" s="117"/>
      <c r="AE856" s="117"/>
      <c r="AF856" s="117"/>
      <c r="AG856" s="117"/>
      <c r="AH856" s="117"/>
    </row>
    <row r="857">
      <c r="A857" s="117"/>
      <c r="B857" s="117"/>
      <c r="C857" s="117"/>
      <c r="D857" s="117"/>
      <c r="E857" s="117"/>
      <c r="F857" s="117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  <c r="AA857" s="117"/>
      <c r="AB857" s="117"/>
      <c r="AC857" s="117"/>
      <c r="AD857" s="117"/>
      <c r="AE857" s="117"/>
      <c r="AF857" s="117"/>
      <c r="AG857" s="117"/>
      <c r="AH857" s="117"/>
    </row>
    <row r="858">
      <c r="A858" s="117"/>
      <c r="B858" s="117"/>
      <c r="C858" s="117"/>
      <c r="D858" s="117"/>
      <c r="E858" s="117"/>
      <c r="F858" s="117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117"/>
      <c r="AB858" s="117"/>
      <c r="AC858" s="117"/>
      <c r="AD858" s="117"/>
      <c r="AE858" s="117"/>
      <c r="AF858" s="117"/>
      <c r="AG858" s="117"/>
      <c r="AH858" s="117"/>
    </row>
    <row r="859">
      <c r="A859" s="117"/>
      <c r="B859" s="117"/>
      <c r="C859" s="117"/>
      <c r="D859" s="117"/>
      <c r="E859" s="117"/>
      <c r="F859" s="117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  <c r="AA859" s="117"/>
      <c r="AB859" s="117"/>
      <c r="AC859" s="117"/>
      <c r="AD859" s="117"/>
      <c r="AE859" s="117"/>
      <c r="AF859" s="117"/>
      <c r="AG859" s="117"/>
      <c r="AH859" s="117"/>
    </row>
    <row r="860">
      <c r="A860" s="117"/>
      <c r="B860" s="117"/>
      <c r="C860" s="117"/>
      <c r="D860" s="117"/>
      <c r="E860" s="117"/>
      <c r="F860" s="117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  <c r="AA860" s="117"/>
      <c r="AB860" s="117"/>
      <c r="AC860" s="117"/>
      <c r="AD860" s="117"/>
      <c r="AE860" s="117"/>
      <c r="AF860" s="117"/>
      <c r="AG860" s="117"/>
      <c r="AH860" s="117"/>
    </row>
    <row r="861">
      <c r="A861" s="117"/>
      <c r="B861" s="117"/>
      <c r="C861" s="117"/>
      <c r="D861" s="117"/>
      <c r="E861" s="117"/>
      <c r="F861" s="117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  <c r="AA861" s="117"/>
      <c r="AB861" s="117"/>
      <c r="AC861" s="117"/>
      <c r="AD861" s="117"/>
      <c r="AE861" s="117"/>
      <c r="AF861" s="117"/>
      <c r="AG861" s="117"/>
      <c r="AH861" s="117"/>
    </row>
    <row r="862">
      <c r="A862" s="117"/>
      <c r="B862" s="117"/>
      <c r="C862" s="117"/>
      <c r="D862" s="117"/>
      <c r="E862" s="117"/>
      <c r="F862" s="117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  <c r="AA862" s="117"/>
      <c r="AB862" s="117"/>
      <c r="AC862" s="117"/>
      <c r="AD862" s="117"/>
      <c r="AE862" s="117"/>
      <c r="AF862" s="117"/>
      <c r="AG862" s="117"/>
      <c r="AH862" s="117"/>
    </row>
    <row r="863">
      <c r="A863" s="117"/>
      <c r="B863" s="117"/>
      <c r="C863" s="117"/>
      <c r="D863" s="117"/>
      <c r="E863" s="117"/>
      <c r="F863" s="117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  <c r="AA863" s="117"/>
      <c r="AB863" s="117"/>
      <c r="AC863" s="117"/>
      <c r="AD863" s="117"/>
      <c r="AE863" s="117"/>
      <c r="AF863" s="117"/>
      <c r="AG863" s="117"/>
      <c r="AH863" s="117"/>
    </row>
    <row r="864">
      <c r="A864" s="117"/>
      <c r="B864" s="117"/>
      <c r="C864" s="117"/>
      <c r="D864" s="117"/>
      <c r="E864" s="117"/>
      <c r="F864" s="117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  <c r="AA864" s="117"/>
      <c r="AB864" s="117"/>
      <c r="AC864" s="117"/>
      <c r="AD864" s="117"/>
      <c r="AE864" s="117"/>
      <c r="AF864" s="117"/>
      <c r="AG864" s="117"/>
      <c r="AH864" s="117"/>
    </row>
    <row r="865">
      <c r="A865" s="117"/>
      <c r="B865" s="117"/>
      <c r="C865" s="117"/>
      <c r="D865" s="117"/>
      <c r="E865" s="117"/>
      <c r="F865" s="117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  <c r="AA865" s="117"/>
      <c r="AB865" s="117"/>
      <c r="AC865" s="117"/>
      <c r="AD865" s="117"/>
      <c r="AE865" s="117"/>
      <c r="AF865" s="117"/>
      <c r="AG865" s="117"/>
      <c r="AH865" s="117"/>
    </row>
    <row r="866">
      <c r="A866" s="117"/>
      <c r="B866" s="117"/>
      <c r="C866" s="117"/>
      <c r="D866" s="117"/>
      <c r="E866" s="117"/>
      <c r="F866" s="117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  <c r="AA866" s="117"/>
      <c r="AB866" s="117"/>
      <c r="AC866" s="117"/>
      <c r="AD866" s="117"/>
      <c r="AE866" s="117"/>
      <c r="AF866" s="117"/>
      <c r="AG866" s="117"/>
      <c r="AH866" s="117"/>
    </row>
    <row r="867">
      <c r="A867" s="117"/>
      <c r="B867" s="117"/>
      <c r="C867" s="117"/>
      <c r="D867" s="117"/>
      <c r="E867" s="117"/>
      <c r="F867" s="117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  <c r="AA867" s="117"/>
      <c r="AB867" s="117"/>
      <c r="AC867" s="117"/>
      <c r="AD867" s="117"/>
      <c r="AE867" s="117"/>
      <c r="AF867" s="117"/>
      <c r="AG867" s="117"/>
      <c r="AH867" s="117"/>
    </row>
    <row r="868">
      <c r="A868" s="117"/>
      <c r="B868" s="117"/>
      <c r="C868" s="117"/>
      <c r="D868" s="117"/>
      <c r="E868" s="117"/>
      <c r="F868" s="117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  <c r="AA868" s="117"/>
      <c r="AB868" s="117"/>
      <c r="AC868" s="117"/>
      <c r="AD868" s="117"/>
      <c r="AE868" s="117"/>
      <c r="AF868" s="117"/>
      <c r="AG868" s="117"/>
      <c r="AH868" s="117"/>
    </row>
    <row r="869">
      <c r="A869" s="117"/>
      <c r="B869" s="117"/>
      <c r="C869" s="117"/>
      <c r="D869" s="117"/>
      <c r="E869" s="117"/>
      <c r="F869" s="117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  <c r="AA869" s="117"/>
      <c r="AB869" s="117"/>
      <c r="AC869" s="117"/>
      <c r="AD869" s="117"/>
      <c r="AE869" s="117"/>
      <c r="AF869" s="117"/>
      <c r="AG869" s="117"/>
      <c r="AH869" s="117"/>
    </row>
    <row r="870">
      <c r="A870" s="117"/>
      <c r="B870" s="117"/>
      <c r="C870" s="117"/>
      <c r="D870" s="117"/>
      <c r="E870" s="117"/>
      <c r="F870" s="117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  <c r="AA870" s="117"/>
      <c r="AB870" s="117"/>
      <c r="AC870" s="117"/>
      <c r="AD870" s="117"/>
      <c r="AE870" s="117"/>
      <c r="AF870" s="117"/>
      <c r="AG870" s="117"/>
      <c r="AH870" s="117"/>
    </row>
    <row r="871">
      <c r="A871" s="117"/>
      <c r="B871" s="117"/>
      <c r="C871" s="117"/>
      <c r="D871" s="117"/>
      <c r="E871" s="117"/>
      <c r="F871" s="117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  <c r="AA871" s="117"/>
      <c r="AB871" s="117"/>
      <c r="AC871" s="117"/>
      <c r="AD871" s="117"/>
      <c r="AE871" s="117"/>
      <c r="AF871" s="117"/>
      <c r="AG871" s="117"/>
      <c r="AH871" s="117"/>
    </row>
    <row r="872">
      <c r="A872" s="117"/>
      <c r="B872" s="117"/>
      <c r="C872" s="117"/>
      <c r="D872" s="117"/>
      <c r="E872" s="117"/>
      <c r="F872" s="117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  <c r="AA872" s="117"/>
      <c r="AB872" s="117"/>
      <c r="AC872" s="117"/>
      <c r="AD872" s="117"/>
      <c r="AE872" s="117"/>
      <c r="AF872" s="117"/>
      <c r="AG872" s="117"/>
      <c r="AH872" s="117"/>
    </row>
    <row r="873">
      <c r="A873" s="117"/>
      <c r="B873" s="117"/>
      <c r="C873" s="117"/>
      <c r="D873" s="117"/>
      <c r="E873" s="117"/>
      <c r="F873" s="117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  <c r="AA873" s="117"/>
      <c r="AB873" s="117"/>
      <c r="AC873" s="117"/>
      <c r="AD873" s="117"/>
      <c r="AE873" s="117"/>
      <c r="AF873" s="117"/>
      <c r="AG873" s="117"/>
      <c r="AH873" s="117"/>
    </row>
    <row r="874">
      <c r="A874" s="117"/>
      <c r="B874" s="117"/>
      <c r="C874" s="117"/>
      <c r="D874" s="117"/>
      <c r="E874" s="117"/>
      <c r="F874" s="117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  <c r="AA874" s="117"/>
      <c r="AB874" s="117"/>
      <c r="AC874" s="117"/>
      <c r="AD874" s="117"/>
      <c r="AE874" s="117"/>
      <c r="AF874" s="117"/>
      <c r="AG874" s="117"/>
      <c r="AH874" s="117"/>
    </row>
    <row r="875">
      <c r="A875" s="117"/>
      <c r="B875" s="117"/>
      <c r="C875" s="117"/>
      <c r="D875" s="117"/>
      <c r="E875" s="117"/>
      <c r="F875" s="117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  <c r="AA875" s="117"/>
      <c r="AB875" s="117"/>
      <c r="AC875" s="117"/>
      <c r="AD875" s="117"/>
      <c r="AE875" s="117"/>
      <c r="AF875" s="117"/>
      <c r="AG875" s="117"/>
      <c r="AH875" s="117"/>
    </row>
    <row r="876">
      <c r="A876" s="117"/>
      <c r="B876" s="117"/>
      <c r="C876" s="117"/>
      <c r="D876" s="117"/>
      <c r="E876" s="117"/>
      <c r="F876" s="117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  <c r="AA876" s="117"/>
      <c r="AB876" s="117"/>
      <c r="AC876" s="117"/>
      <c r="AD876" s="117"/>
      <c r="AE876" s="117"/>
      <c r="AF876" s="117"/>
      <c r="AG876" s="117"/>
      <c r="AH876" s="117"/>
    </row>
    <row r="877">
      <c r="A877" s="117"/>
      <c r="B877" s="117"/>
      <c r="C877" s="117"/>
      <c r="D877" s="117"/>
      <c r="E877" s="117"/>
      <c r="F877" s="117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  <c r="AA877" s="117"/>
      <c r="AB877" s="117"/>
      <c r="AC877" s="117"/>
      <c r="AD877" s="117"/>
      <c r="AE877" s="117"/>
      <c r="AF877" s="117"/>
      <c r="AG877" s="117"/>
      <c r="AH877" s="117"/>
    </row>
    <row r="878">
      <c r="A878" s="117"/>
      <c r="B878" s="117"/>
      <c r="C878" s="117"/>
      <c r="D878" s="117"/>
      <c r="E878" s="117"/>
      <c r="F878" s="117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  <c r="AA878" s="117"/>
      <c r="AB878" s="117"/>
      <c r="AC878" s="117"/>
      <c r="AD878" s="117"/>
      <c r="AE878" s="117"/>
      <c r="AF878" s="117"/>
      <c r="AG878" s="117"/>
      <c r="AH878" s="117"/>
    </row>
    <row r="879">
      <c r="A879" s="117"/>
      <c r="B879" s="117"/>
      <c r="C879" s="117"/>
      <c r="D879" s="117"/>
      <c r="E879" s="117"/>
      <c r="F879" s="117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  <c r="AA879" s="117"/>
      <c r="AB879" s="117"/>
      <c r="AC879" s="117"/>
      <c r="AD879" s="117"/>
      <c r="AE879" s="117"/>
      <c r="AF879" s="117"/>
      <c r="AG879" s="117"/>
      <c r="AH879" s="117"/>
    </row>
    <row r="880">
      <c r="A880" s="117"/>
      <c r="B880" s="117"/>
      <c r="C880" s="117"/>
      <c r="D880" s="117"/>
      <c r="E880" s="117"/>
      <c r="F880" s="117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  <c r="AA880" s="117"/>
      <c r="AB880" s="117"/>
      <c r="AC880" s="117"/>
      <c r="AD880" s="117"/>
      <c r="AE880" s="117"/>
      <c r="AF880" s="117"/>
      <c r="AG880" s="117"/>
      <c r="AH880" s="117"/>
    </row>
    <row r="881">
      <c r="A881" s="117"/>
      <c r="B881" s="117"/>
      <c r="C881" s="117"/>
      <c r="D881" s="117"/>
      <c r="E881" s="117"/>
      <c r="F881" s="117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  <c r="AA881" s="117"/>
      <c r="AB881" s="117"/>
      <c r="AC881" s="117"/>
      <c r="AD881" s="117"/>
      <c r="AE881" s="117"/>
      <c r="AF881" s="117"/>
      <c r="AG881" s="117"/>
      <c r="AH881" s="117"/>
    </row>
    <row r="882">
      <c r="A882" s="117"/>
      <c r="B882" s="117"/>
      <c r="C882" s="117"/>
      <c r="D882" s="117"/>
      <c r="E882" s="117"/>
      <c r="F882" s="117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  <c r="AA882" s="117"/>
      <c r="AB882" s="117"/>
      <c r="AC882" s="117"/>
      <c r="AD882" s="117"/>
      <c r="AE882" s="117"/>
      <c r="AF882" s="117"/>
      <c r="AG882" s="117"/>
      <c r="AH882" s="117"/>
    </row>
    <row r="883">
      <c r="A883" s="117"/>
      <c r="B883" s="117"/>
      <c r="C883" s="117"/>
      <c r="D883" s="117"/>
      <c r="E883" s="117"/>
      <c r="F883" s="117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  <c r="AA883" s="117"/>
      <c r="AB883" s="117"/>
      <c r="AC883" s="117"/>
      <c r="AD883" s="117"/>
      <c r="AE883" s="117"/>
      <c r="AF883" s="117"/>
      <c r="AG883" s="117"/>
      <c r="AH883" s="117"/>
    </row>
    <row r="884">
      <c r="A884" s="117"/>
      <c r="B884" s="117"/>
      <c r="C884" s="117"/>
      <c r="D884" s="117"/>
      <c r="E884" s="117"/>
      <c r="F884" s="117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  <c r="AA884" s="117"/>
      <c r="AB884" s="117"/>
      <c r="AC884" s="117"/>
      <c r="AD884" s="117"/>
      <c r="AE884" s="117"/>
      <c r="AF884" s="117"/>
      <c r="AG884" s="117"/>
      <c r="AH884" s="117"/>
    </row>
    <row r="885">
      <c r="A885" s="117"/>
      <c r="B885" s="117"/>
      <c r="C885" s="117"/>
      <c r="D885" s="117"/>
      <c r="E885" s="117"/>
      <c r="F885" s="117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  <c r="AA885" s="117"/>
      <c r="AB885" s="117"/>
      <c r="AC885" s="117"/>
      <c r="AD885" s="117"/>
      <c r="AE885" s="117"/>
      <c r="AF885" s="117"/>
      <c r="AG885" s="117"/>
      <c r="AH885" s="117"/>
    </row>
    <row r="886">
      <c r="A886" s="117"/>
      <c r="B886" s="117"/>
      <c r="C886" s="117"/>
      <c r="D886" s="117"/>
      <c r="E886" s="117"/>
      <c r="F886" s="117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  <c r="AA886" s="117"/>
      <c r="AB886" s="117"/>
      <c r="AC886" s="117"/>
      <c r="AD886" s="117"/>
      <c r="AE886" s="117"/>
      <c r="AF886" s="117"/>
      <c r="AG886" s="117"/>
      <c r="AH886" s="117"/>
    </row>
    <row r="887">
      <c r="A887" s="117"/>
      <c r="B887" s="117"/>
      <c r="C887" s="117"/>
      <c r="D887" s="117"/>
      <c r="E887" s="117"/>
      <c r="F887" s="117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  <c r="AA887" s="117"/>
      <c r="AB887" s="117"/>
      <c r="AC887" s="117"/>
      <c r="AD887" s="117"/>
      <c r="AE887" s="117"/>
      <c r="AF887" s="117"/>
      <c r="AG887" s="117"/>
      <c r="AH887" s="117"/>
    </row>
    <row r="888">
      <c r="A888" s="117"/>
      <c r="B888" s="117"/>
      <c r="C888" s="117"/>
      <c r="D888" s="117"/>
      <c r="E888" s="117"/>
      <c r="F888" s="117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  <c r="AA888" s="117"/>
      <c r="AB888" s="117"/>
      <c r="AC888" s="117"/>
      <c r="AD888" s="117"/>
      <c r="AE888" s="117"/>
      <c r="AF888" s="117"/>
      <c r="AG888" s="117"/>
      <c r="AH888" s="117"/>
    </row>
    <row r="889">
      <c r="A889" s="117"/>
      <c r="B889" s="117"/>
      <c r="C889" s="117"/>
      <c r="D889" s="117"/>
      <c r="E889" s="117"/>
      <c r="F889" s="117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  <c r="AA889" s="117"/>
      <c r="AB889" s="117"/>
      <c r="AC889" s="117"/>
      <c r="AD889" s="117"/>
      <c r="AE889" s="117"/>
      <c r="AF889" s="117"/>
      <c r="AG889" s="117"/>
      <c r="AH889" s="117"/>
    </row>
    <row r="890">
      <c r="A890" s="117"/>
      <c r="B890" s="117"/>
      <c r="C890" s="117"/>
      <c r="D890" s="117"/>
      <c r="E890" s="117"/>
      <c r="F890" s="117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  <c r="AA890" s="117"/>
      <c r="AB890" s="117"/>
      <c r="AC890" s="117"/>
      <c r="AD890" s="117"/>
      <c r="AE890" s="117"/>
      <c r="AF890" s="117"/>
      <c r="AG890" s="117"/>
      <c r="AH890" s="117"/>
    </row>
    <row r="891">
      <c r="A891" s="117"/>
      <c r="B891" s="117"/>
      <c r="C891" s="117"/>
      <c r="D891" s="117"/>
      <c r="E891" s="117"/>
      <c r="F891" s="117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  <c r="AA891" s="117"/>
      <c r="AB891" s="117"/>
      <c r="AC891" s="117"/>
      <c r="AD891" s="117"/>
      <c r="AE891" s="117"/>
      <c r="AF891" s="117"/>
      <c r="AG891" s="117"/>
      <c r="AH891" s="117"/>
    </row>
    <row r="892">
      <c r="A892" s="117"/>
      <c r="B892" s="117"/>
      <c r="C892" s="117"/>
      <c r="D892" s="117"/>
      <c r="E892" s="117"/>
      <c r="F892" s="117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  <c r="AA892" s="117"/>
      <c r="AB892" s="117"/>
      <c r="AC892" s="117"/>
      <c r="AD892" s="117"/>
      <c r="AE892" s="117"/>
      <c r="AF892" s="117"/>
      <c r="AG892" s="117"/>
      <c r="AH892" s="117"/>
    </row>
    <row r="893">
      <c r="A893" s="117"/>
      <c r="B893" s="117"/>
      <c r="C893" s="117"/>
      <c r="D893" s="117"/>
      <c r="E893" s="117"/>
      <c r="F893" s="117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  <c r="AA893" s="117"/>
      <c r="AB893" s="117"/>
      <c r="AC893" s="117"/>
      <c r="AD893" s="117"/>
      <c r="AE893" s="117"/>
      <c r="AF893" s="117"/>
      <c r="AG893" s="117"/>
      <c r="AH893" s="117"/>
    </row>
    <row r="894">
      <c r="A894" s="117"/>
      <c r="B894" s="117"/>
      <c r="C894" s="117"/>
      <c r="D894" s="117"/>
      <c r="E894" s="117"/>
      <c r="F894" s="117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  <c r="AA894" s="117"/>
      <c r="AB894" s="117"/>
      <c r="AC894" s="117"/>
      <c r="AD894" s="117"/>
      <c r="AE894" s="117"/>
      <c r="AF894" s="117"/>
      <c r="AG894" s="117"/>
      <c r="AH894" s="117"/>
    </row>
    <row r="895">
      <c r="A895" s="117"/>
      <c r="B895" s="117"/>
      <c r="C895" s="117"/>
      <c r="D895" s="117"/>
      <c r="E895" s="117"/>
      <c r="F895" s="117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  <c r="AA895" s="117"/>
      <c r="AB895" s="117"/>
      <c r="AC895" s="117"/>
      <c r="AD895" s="117"/>
      <c r="AE895" s="117"/>
      <c r="AF895" s="117"/>
      <c r="AG895" s="117"/>
      <c r="AH895" s="117"/>
    </row>
    <row r="896">
      <c r="A896" s="117"/>
      <c r="B896" s="117"/>
      <c r="C896" s="117"/>
      <c r="D896" s="117"/>
      <c r="E896" s="117"/>
      <c r="F896" s="117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117"/>
      <c r="AB896" s="117"/>
      <c r="AC896" s="117"/>
      <c r="AD896" s="117"/>
      <c r="AE896" s="117"/>
      <c r="AF896" s="117"/>
      <c r="AG896" s="117"/>
      <c r="AH896" s="117"/>
    </row>
    <row r="897">
      <c r="A897" s="117"/>
      <c r="B897" s="117"/>
      <c r="C897" s="117"/>
      <c r="D897" s="117"/>
      <c r="E897" s="117"/>
      <c r="F897" s="117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  <c r="AA897" s="117"/>
      <c r="AB897" s="117"/>
      <c r="AC897" s="117"/>
      <c r="AD897" s="117"/>
      <c r="AE897" s="117"/>
      <c r="AF897" s="117"/>
      <c r="AG897" s="117"/>
      <c r="AH897" s="117"/>
    </row>
    <row r="898">
      <c r="A898" s="117"/>
      <c r="B898" s="117"/>
      <c r="C898" s="117"/>
      <c r="D898" s="117"/>
      <c r="E898" s="117"/>
      <c r="F898" s="117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  <c r="AA898" s="117"/>
      <c r="AB898" s="117"/>
      <c r="AC898" s="117"/>
      <c r="AD898" s="117"/>
      <c r="AE898" s="117"/>
      <c r="AF898" s="117"/>
      <c r="AG898" s="117"/>
      <c r="AH898" s="117"/>
    </row>
    <row r="899">
      <c r="A899" s="117"/>
      <c r="B899" s="117"/>
      <c r="C899" s="117"/>
      <c r="D899" s="117"/>
      <c r="E899" s="117"/>
      <c r="F899" s="117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  <c r="AA899" s="117"/>
      <c r="AB899" s="117"/>
      <c r="AC899" s="117"/>
      <c r="AD899" s="117"/>
      <c r="AE899" s="117"/>
      <c r="AF899" s="117"/>
      <c r="AG899" s="117"/>
      <c r="AH899" s="117"/>
    </row>
    <row r="900">
      <c r="A900" s="117"/>
      <c r="B900" s="117"/>
      <c r="C900" s="117"/>
      <c r="D900" s="117"/>
      <c r="E900" s="117"/>
      <c r="F900" s="117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  <c r="AA900" s="117"/>
      <c r="AB900" s="117"/>
      <c r="AC900" s="117"/>
      <c r="AD900" s="117"/>
      <c r="AE900" s="117"/>
      <c r="AF900" s="117"/>
      <c r="AG900" s="117"/>
      <c r="AH900" s="117"/>
    </row>
    <row r="901">
      <c r="A901" s="117"/>
      <c r="B901" s="117"/>
      <c r="C901" s="117"/>
      <c r="D901" s="117"/>
      <c r="E901" s="117"/>
      <c r="F901" s="117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  <c r="AA901" s="117"/>
      <c r="AB901" s="117"/>
      <c r="AC901" s="117"/>
      <c r="AD901" s="117"/>
      <c r="AE901" s="117"/>
      <c r="AF901" s="117"/>
      <c r="AG901" s="117"/>
      <c r="AH901" s="117"/>
    </row>
    <row r="902">
      <c r="A902" s="117"/>
      <c r="B902" s="117"/>
      <c r="C902" s="117"/>
      <c r="D902" s="117"/>
      <c r="E902" s="117"/>
      <c r="F902" s="117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  <c r="AA902" s="117"/>
      <c r="AB902" s="117"/>
      <c r="AC902" s="117"/>
      <c r="AD902" s="117"/>
      <c r="AE902" s="117"/>
      <c r="AF902" s="117"/>
      <c r="AG902" s="117"/>
      <c r="AH902" s="117"/>
    </row>
    <row r="903">
      <c r="A903" s="117"/>
      <c r="B903" s="117"/>
      <c r="C903" s="117"/>
      <c r="D903" s="117"/>
      <c r="E903" s="117"/>
      <c r="F903" s="117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  <c r="AA903" s="117"/>
      <c r="AB903" s="117"/>
      <c r="AC903" s="117"/>
      <c r="AD903" s="117"/>
      <c r="AE903" s="117"/>
      <c r="AF903" s="117"/>
      <c r="AG903" s="117"/>
      <c r="AH903" s="117"/>
    </row>
    <row r="904">
      <c r="A904" s="117"/>
      <c r="B904" s="117"/>
      <c r="C904" s="117"/>
      <c r="D904" s="117"/>
      <c r="E904" s="117"/>
      <c r="F904" s="117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  <c r="AA904" s="117"/>
      <c r="AB904" s="117"/>
      <c r="AC904" s="117"/>
      <c r="AD904" s="117"/>
      <c r="AE904" s="117"/>
      <c r="AF904" s="117"/>
      <c r="AG904" s="117"/>
      <c r="AH904" s="117"/>
    </row>
    <row r="905">
      <c r="A905" s="117"/>
      <c r="B905" s="117"/>
      <c r="C905" s="117"/>
      <c r="D905" s="117"/>
      <c r="E905" s="117"/>
      <c r="F905" s="117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  <c r="AA905" s="117"/>
      <c r="AB905" s="117"/>
      <c r="AC905" s="117"/>
      <c r="AD905" s="117"/>
      <c r="AE905" s="117"/>
      <c r="AF905" s="117"/>
      <c r="AG905" s="117"/>
      <c r="AH905" s="117"/>
    </row>
    <row r="906">
      <c r="A906" s="117"/>
      <c r="B906" s="117"/>
      <c r="C906" s="117"/>
      <c r="D906" s="117"/>
      <c r="E906" s="117"/>
      <c r="F906" s="117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  <c r="AA906" s="117"/>
      <c r="AB906" s="117"/>
      <c r="AC906" s="117"/>
      <c r="AD906" s="117"/>
      <c r="AE906" s="117"/>
      <c r="AF906" s="117"/>
      <c r="AG906" s="117"/>
      <c r="AH906" s="117"/>
    </row>
    <row r="907">
      <c r="A907" s="117"/>
      <c r="B907" s="117"/>
      <c r="C907" s="117"/>
      <c r="D907" s="117"/>
      <c r="E907" s="117"/>
      <c r="F907" s="117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  <c r="AA907" s="117"/>
      <c r="AB907" s="117"/>
      <c r="AC907" s="117"/>
      <c r="AD907" s="117"/>
      <c r="AE907" s="117"/>
      <c r="AF907" s="117"/>
      <c r="AG907" s="117"/>
      <c r="AH907" s="117"/>
    </row>
    <row r="908">
      <c r="A908" s="117"/>
      <c r="B908" s="117"/>
      <c r="C908" s="117"/>
      <c r="D908" s="117"/>
      <c r="E908" s="117"/>
      <c r="F908" s="117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  <c r="AA908" s="117"/>
      <c r="AB908" s="117"/>
      <c r="AC908" s="117"/>
      <c r="AD908" s="117"/>
      <c r="AE908" s="117"/>
      <c r="AF908" s="117"/>
      <c r="AG908" s="117"/>
      <c r="AH908" s="117"/>
    </row>
    <row r="909">
      <c r="A909" s="117"/>
      <c r="B909" s="117"/>
      <c r="C909" s="117"/>
      <c r="D909" s="117"/>
      <c r="E909" s="117"/>
      <c r="F909" s="117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  <c r="AA909" s="117"/>
      <c r="AB909" s="117"/>
      <c r="AC909" s="117"/>
      <c r="AD909" s="117"/>
      <c r="AE909" s="117"/>
      <c r="AF909" s="117"/>
      <c r="AG909" s="117"/>
      <c r="AH909" s="117"/>
    </row>
    <row r="910">
      <c r="A910" s="117"/>
      <c r="B910" s="117"/>
      <c r="C910" s="117"/>
      <c r="D910" s="117"/>
      <c r="E910" s="117"/>
      <c r="F910" s="117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  <c r="AA910" s="117"/>
      <c r="AB910" s="117"/>
      <c r="AC910" s="117"/>
      <c r="AD910" s="117"/>
      <c r="AE910" s="117"/>
      <c r="AF910" s="117"/>
      <c r="AG910" s="117"/>
      <c r="AH910" s="117"/>
    </row>
    <row r="911">
      <c r="A911" s="117"/>
      <c r="B911" s="117"/>
      <c r="C911" s="117"/>
      <c r="D911" s="117"/>
      <c r="E911" s="117"/>
      <c r="F911" s="117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  <c r="AA911" s="117"/>
      <c r="AB911" s="117"/>
      <c r="AC911" s="117"/>
      <c r="AD911" s="117"/>
      <c r="AE911" s="117"/>
      <c r="AF911" s="117"/>
      <c r="AG911" s="117"/>
      <c r="AH911" s="117"/>
    </row>
    <row r="912">
      <c r="A912" s="117"/>
      <c r="B912" s="117"/>
      <c r="C912" s="117"/>
      <c r="D912" s="117"/>
      <c r="E912" s="117"/>
      <c r="F912" s="117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  <c r="AA912" s="117"/>
      <c r="AB912" s="117"/>
      <c r="AC912" s="117"/>
      <c r="AD912" s="117"/>
      <c r="AE912" s="117"/>
      <c r="AF912" s="117"/>
      <c r="AG912" s="117"/>
      <c r="AH912" s="117"/>
    </row>
    <row r="913">
      <c r="A913" s="117"/>
      <c r="B913" s="117"/>
      <c r="C913" s="117"/>
      <c r="D913" s="117"/>
      <c r="E913" s="117"/>
      <c r="F913" s="117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  <c r="AA913" s="117"/>
      <c r="AB913" s="117"/>
      <c r="AC913" s="117"/>
      <c r="AD913" s="117"/>
      <c r="AE913" s="117"/>
      <c r="AF913" s="117"/>
      <c r="AG913" s="117"/>
      <c r="AH913" s="117"/>
    </row>
    <row r="914">
      <c r="A914" s="117"/>
      <c r="B914" s="117"/>
      <c r="C914" s="117"/>
      <c r="D914" s="117"/>
      <c r="E914" s="117"/>
      <c r="F914" s="117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  <c r="AA914" s="117"/>
      <c r="AB914" s="117"/>
      <c r="AC914" s="117"/>
      <c r="AD914" s="117"/>
      <c r="AE914" s="117"/>
      <c r="AF914" s="117"/>
      <c r="AG914" s="117"/>
      <c r="AH914" s="117"/>
    </row>
    <row r="915">
      <c r="A915" s="117"/>
      <c r="B915" s="117"/>
      <c r="C915" s="117"/>
      <c r="D915" s="117"/>
      <c r="E915" s="117"/>
      <c r="F915" s="117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  <c r="AA915" s="117"/>
      <c r="AB915" s="117"/>
      <c r="AC915" s="117"/>
      <c r="AD915" s="117"/>
      <c r="AE915" s="117"/>
      <c r="AF915" s="117"/>
      <c r="AG915" s="117"/>
      <c r="AH915" s="117"/>
    </row>
    <row r="916">
      <c r="A916" s="117"/>
      <c r="B916" s="117"/>
      <c r="C916" s="117"/>
      <c r="D916" s="117"/>
      <c r="E916" s="117"/>
      <c r="F916" s="117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  <c r="AA916" s="117"/>
      <c r="AB916" s="117"/>
      <c r="AC916" s="117"/>
      <c r="AD916" s="117"/>
      <c r="AE916" s="117"/>
      <c r="AF916" s="117"/>
      <c r="AG916" s="117"/>
      <c r="AH916" s="117"/>
    </row>
    <row r="917">
      <c r="A917" s="117"/>
      <c r="B917" s="117"/>
      <c r="C917" s="117"/>
      <c r="D917" s="117"/>
      <c r="E917" s="117"/>
      <c r="F917" s="117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  <c r="AA917" s="117"/>
      <c r="AB917" s="117"/>
      <c r="AC917" s="117"/>
      <c r="AD917" s="117"/>
      <c r="AE917" s="117"/>
      <c r="AF917" s="117"/>
      <c r="AG917" s="117"/>
      <c r="AH917" s="117"/>
    </row>
    <row r="918">
      <c r="A918" s="117"/>
      <c r="B918" s="117"/>
      <c r="C918" s="117"/>
      <c r="D918" s="117"/>
      <c r="E918" s="117"/>
      <c r="F918" s="117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  <c r="AA918" s="117"/>
      <c r="AB918" s="117"/>
      <c r="AC918" s="117"/>
      <c r="AD918" s="117"/>
      <c r="AE918" s="117"/>
      <c r="AF918" s="117"/>
      <c r="AG918" s="117"/>
      <c r="AH918" s="117"/>
    </row>
    <row r="919">
      <c r="A919" s="117"/>
      <c r="B919" s="117"/>
      <c r="C919" s="117"/>
      <c r="D919" s="117"/>
      <c r="E919" s="117"/>
      <c r="F919" s="117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  <c r="AA919" s="117"/>
      <c r="AB919" s="117"/>
      <c r="AC919" s="117"/>
      <c r="AD919" s="117"/>
      <c r="AE919" s="117"/>
      <c r="AF919" s="117"/>
      <c r="AG919" s="117"/>
      <c r="AH919" s="117"/>
    </row>
    <row r="920">
      <c r="A920" s="117"/>
      <c r="B920" s="117"/>
      <c r="C920" s="117"/>
      <c r="D920" s="117"/>
      <c r="E920" s="117"/>
      <c r="F920" s="117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  <c r="AA920" s="117"/>
      <c r="AB920" s="117"/>
      <c r="AC920" s="117"/>
      <c r="AD920" s="117"/>
      <c r="AE920" s="117"/>
      <c r="AF920" s="117"/>
      <c r="AG920" s="117"/>
      <c r="AH920" s="117"/>
    </row>
    <row r="921">
      <c r="A921" s="117"/>
      <c r="B921" s="117"/>
      <c r="C921" s="117"/>
      <c r="D921" s="117"/>
      <c r="E921" s="117"/>
      <c r="F921" s="117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  <c r="AA921" s="117"/>
      <c r="AB921" s="117"/>
      <c r="AC921" s="117"/>
      <c r="AD921" s="117"/>
      <c r="AE921" s="117"/>
      <c r="AF921" s="117"/>
      <c r="AG921" s="117"/>
      <c r="AH921" s="117"/>
    </row>
    <row r="922">
      <c r="A922" s="117"/>
      <c r="B922" s="117"/>
      <c r="C922" s="117"/>
      <c r="D922" s="117"/>
      <c r="E922" s="117"/>
      <c r="F922" s="117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  <c r="AA922" s="117"/>
      <c r="AB922" s="117"/>
      <c r="AC922" s="117"/>
      <c r="AD922" s="117"/>
      <c r="AE922" s="117"/>
      <c r="AF922" s="117"/>
      <c r="AG922" s="117"/>
      <c r="AH922" s="117"/>
    </row>
    <row r="923">
      <c r="A923" s="117"/>
      <c r="B923" s="117"/>
      <c r="C923" s="117"/>
      <c r="D923" s="117"/>
      <c r="E923" s="117"/>
      <c r="F923" s="117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  <c r="AA923" s="117"/>
      <c r="AB923" s="117"/>
      <c r="AC923" s="117"/>
      <c r="AD923" s="117"/>
      <c r="AE923" s="117"/>
      <c r="AF923" s="117"/>
      <c r="AG923" s="117"/>
      <c r="AH923" s="117"/>
    </row>
    <row r="924">
      <c r="A924" s="117"/>
      <c r="B924" s="117"/>
      <c r="C924" s="117"/>
      <c r="D924" s="117"/>
      <c r="E924" s="117"/>
      <c r="F924" s="117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  <c r="AA924" s="117"/>
      <c r="AB924" s="117"/>
      <c r="AC924" s="117"/>
      <c r="AD924" s="117"/>
      <c r="AE924" s="117"/>
      <c r="AF924" s="117"/>
      <c r="AG924" s="117"/>
      <c r="AH924" s="117"/>
    </row>
    <row r="925">
      <c r="A925" s="117"/>
      <c r="B925" s="117"/>
      <c r="C925" s="117"/>
      <c r="D925" s="117"/>
      <c r="E925" s="117"/>
      <c r="F925" s="117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  <c r="AA925" s="117"/>
      <c r="AB925" s="117"/>
      <c r="AC925" s="117"/>
      <c r="AD925" s="117"/>
      <c r="AE925" s="117"/>
      <c r="AF925" s="117"/>
      <c r="AG925" s="117"/>
      <c r="AH925" s="117"/>
    </row>
    <row r="926">
      <c r="A926" s="117"/>
      <c r="B926" s="117"/>
      <c r="C926" s="117"/>
      <c r="D926" s="117"/>
      <c r="E926" s="117"/>
      <c r="F926" s="117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  <c r="AA926" s="117"/>
      <c r="AB926" s="117"/>
      <c r="AC926" s="117"/>
      <c r="AD926" s="117"/>
      <c r="AE926" s="117"/>
      <c r="AF926" s="117"/>
      <c r="AG926" s="117"/>
      <c r="AH926" s="117"/>
    </row>
    <row r="927">
      <c r="A927" s="117"/>
      <c r="B927" s="117"/>
      <c r="C927" s="117"/>
      <c r="D927" s="117"/>
      <c r="E927" s="117"/>
      <c r="F927" s="117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  <c r="AA927" s="117"/>
      <c r="AB927" s="117"/>
      <c r="AC927" s="117"/>
      <c r="AD927" s="117"/>
      <c r="AE927" s="117"/>
      <c r="AF927" s="117"/>
      <c r="AG927" s="117"/>
      <c r="AH927" s="117"/>
    </row>
    <row r="928">
      <c r="A928" s="117"/>
      <c r="B928" s="117"/>
      <c r="C928" s="117"/>
      <c r="D928" s="117"/>
      <c r="E928" s="117"/>
      <c r="F928" s="117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  <c r="AA928" s="117"/>
      <c r="AB928" s="117"/>
      <c r="AC928" s="117"/>
      <c r="AD928" s="117"/>
      <c r="AE928" s="117"/>
      <c r="AF928" s="117"/>
      <c r="AG928" s="117"/>
      <c r="AH928" s="117"/>
    </row>
    <row r="929">
      <c r="A929" s="117"/>
      <c r="B929" s="117"/>
      <c r="C929" s="117"/>
      <c r="D929" s="117"/>
      <c r="E929" s="117"/>
      <c r="F929" s="117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  <c r="AA929" s="117"/>
      <c r="AB929" s="117"/>
      <c r="AC929" s="117"/>
      <c r="AD929" s="117"/>
      <c r="AE929" s="117"/>
      <c r="AF929" s="117"/>
      <c r="AG929" s="117"/>
      <c r="AH929" s="117"/>
    </row>
    <row r="930">
      <c r="A930" s="117"/>
      <c r="B930" s="117"/>
      <c r="C930" s="117"/>
      <c r="D930" s="117"/>
      <c r="E930" s="117"/>
      <c r="F930" s="117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  <c r="AA930" s="117"/>
      <c r="AB930" s="117"/>
      <c r="AC930" s="117"/>
      <c r="AD930" s="117"/>
      <c r="AE930" s="117"/>
      <c r="AF930" s="117"/>
      <c r="AG930" s="117"/>
      <c r="AH930" s="117"/>
    </row>
    <row r="931">
      <c r="A931" s="117"/>
      <c r="B931" s="117"/>
      <c r="C931" s="117"/>
      <c r="D931" s="117"/>
      <c r="E931" s="117"/>
      <c r="F931" s="117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  <c r="AA931" s="117"/>
      <c r="AB931" s="117"/>
      <c r="AC931" s="117"/>
      <c r="AD931" s="117"/>
      <c r="AE931" s="117"/>
      <c r="AF931" s="117"/>
      <c r="AG931" s="117"/>
      <c r="AH931" s="117"/>
    </row>
    <row r="932">
      <c r="A932" s="117"/>
      <c r="B932" s="117"/>
      <c r="C932" s="117"/>
      <c r="D932" s="117"/>
      <c r="E932" s="117"/>
      <c r="F932" s="117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  <c r="AA932" s="117"/>
      <c r="AB932" s="117"/>
      <c r="AC932" s="117"/>
      <c r="AD932" s="117"/>
      <c r="AE932" s="117"/>
      <c r="AF932" s="117"/>
      <c r="AG932" s="117"/>
      <c r="AH932" s="117"/>
    </row>
    <row r="933">
      <c r="A933" s="117"/>
      <c r="B933" s="117"/>
      <c r="C933" s="117"/>
      <c r="D933" s="117"/>
      <c r="E933" s="117"/>
      <c r="F933" s="117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  <c r="AA933" s="117"/>
      <c r="AB933" s="117"/>
      <c r="AC933" s="117"/>
      <c r="AD933" s="117"/>
      <c r="AE933" s="117"/>
      <c r="AF933" s="117"/>
      <c r="AG933" s="117"/>
      <c r="AH933" s="117"/>
    </row>
    <row r="934">
      <c r="A934" s="117"/>
      <c r="B934" s="117"/>
      <c r="C934" s="117"/>
      <c r="D934" s="117"/>
      <c r="E934" s="117"/>
      <c r="F934" s="117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117"/>
      <c r="AB934" s="117"/>
      <c r="AC934" s="117"/>
      <c r="AD934" s="117"/>
      <c r="AE934" s="117"/>
      <c r="AF934" s="117"/>
      <c r="AG934" s="117"/>
      <c r="AH934" s="117"/>
    </row>
    <row r="935">
      <c r="A935" s="117"/>
      <c r="B935" s="117"/>
      <c r="C935" s="117"/>
      <c r="D935" s="117"/>
      <c r="E935" s="117"/>
      <c r="F935" s="117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  <c r="AA935" s="117"/>
      <c r="AB935" s="117"/>
      <c r="AC935" s="117"/>
      <c r="AD935" s="117"/>
      <c r="AE935" s="117"/>
      <c r="AF935" s="117"/>
      <c r="AG935" s="117"/>
      <c r="AH935" s="117"/>
    </row>
    <row r="936">
      <c r="A936" s="117"/>
      <c r="B936" s="117"/>
      <c r="C936" s="117"/>
      <c r="D936" s="117"/>
      <c r="E936" s="117"/>
      <c r="F936" s="117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  <c r="AA936" s="117"/>
      <c r="AB936" s="117"/>
      <c r="AC936" s="117"/>
      <c r="AD936" s="117"/>
      <c r="AE936" s="117"/>
      <c r="AF936" s="117"/>
      <c r="AG936" s="117"/>
      <c r="AH936" s="117"/>
    </row>
    <row r="937">
      <c r="A937" s="117"/>
      <c r="B937" s="117"/>
      <c r="C937" s="117"/>
      <c r="D937" s="117"/>
      <c r="E937" s="117"/>
      <c r="F937" s="117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  <c r="AA937" s="117"/>
      <c r="AB937" s="117"/>
      <c r="AC937" s="117"/>
      <c r="AD937" s="117"/>
      <c r="AE937" s="117"/>
      <c r="AF937" s="117"/>
      <c r="AG937" s="117"/>
      <c r="AH937" s="117"/>
    </row>
    <row r="938">
      <c r="A938" s="117"/>
      <c r="B938" s="117"/>
      <c r="C938" s="117"/>
      <c r="D938" s="117"/>
      <c r="E938" s="117"/>
      <c r="F938" s="117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  <c r="AA938" s="117"/>
      <c r="AB938" s="117"/>
      <c r="AC938" s="117"/>
      <c r="AD938" s="117"/>
      <c r="AE938" s="117"/>
      <c r="AF938" s="117"/>
      <c r="AG938" s="117"/>
      <c r="AH938" s="117"/>
    </row>
    <row r="939">
      <c r="A939" s="117"/>
      <c r="B939" s="117"/>
      <c r="C939" s="117"/>
      <c r="D939" s="117"/>
      <c r="E939" s="117"/>
      <c r="F939" s="117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  <c r="AA939" s="117"/>
      <c r="AB939" s="117"/>
      <c r="AC939" s="117"/>
      <c r="AD939" s="117"/>
      <c r="AE939" s="117"/>
      <c r="AF939" s="117"/>
      <c r="AG939" s="117"/>
      <c r="AH939" s="117"/>
    </row>
    <row r="940">
      <c r="A940" s="117"/>
      <c r="B940" s="117"/>
      <c r="C940" s="117"/>
      <c r="D940" s="117"/>
      <c r="E940" s="117"/>
      <c r="F940" s="117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  <c r="AA940" s="117"/>
      <c r="AB940" s="117"/>
      <c r="AC940" s="117"/>
      <c r="AD940" s="117"/>
      <c r="AE940" s="117"/>
      <c r="AF940" s="117"/>
      <c r="AG940" s="117"/>
      <c r="AH940" s="117"/>
    </row>
    <row r="941">
      <c r="A941" s="117"/>
      <c r="B941" s="117"/>
      <c r="C941" s="117"/>
      <c r="D941" s="117"/>
      <c r="E941" s="117"/>
      <c r="F941" s="117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  <c r="AA941" s="117"/>
      <c r="AB941" s="117"/>
      <c r="AC941" s="117"/>
      <c r="AD941" s="117"/>
      <c r="AE941" s="117"/>
      <c r="AF941" s="117"/>
      <c r="AG941" s="117"/>
      <c r="AH941" s="117"/>
    </row>
    <row r="942">
      <c r="A942" s="117"/>
      <c r="B942" s="117"/>
      <c r="C942" s="117"/>
      <c r="D942" s="117"/>
      <c r="E942" s="117"/>
      <c r="F942" s="117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  <c r="AA942" s="117"/>
      <c r="AB942" s="117"/>
      <c r="AC942" s="117"/>
      <c r="AD942" s="117"/>
      <c r="AE942" s="117"/>
      <c r="AF942" s="117"/>
      <c r="AG942" s="117"/>
      <c r="AH942" s="117"/>
    </row>
    <row r="943">
      <c r="A943" s="117"/>
      <c r="B943" s="117"/>
      <c r="C943" s="117"/>
      <c r="D943" s="117"/>
      <c r="E943" s="117"/>
      <c r="F943" s="117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  <c r="AA943" s="117"/>
      <c r="AB943" s="117"/>
      <c r="AC943" s="117"/>
      <c r="AD943" s="117"/>
      <c r="AE943" s="117"/>
      <c r="AF943" s="117"/>
      <c r="AG943" s="117"/>
      <c r="AH943" s="117"/>
    </row>
    <row r="944">
      <c r="A944" s="117"/>
      <c r="B944" s="117"/>
      <c r="C944" s="117"/>
      <c r="D944" s="117"/>
      <c r="E944" s="117"/>
      <c r="F944" s="117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  <c r="AA944" s="117"/>
      <c r="AB944" s="117"/>
      <c r="AC944" s="117"/>
      <c r="AD944" s="117"/>
      <c r="AE944" s="117"/>
      <c r="AF944" s="117"/>
      <c r="AG944" s="117"/>
      <c r="AH944" s="117"/>
    </row>
    <row r="945">
      <c r="A945" s="117"/>
      <c r="B945" s="117"/>
      <c r="C945" s="117"/>
      <c r="D945" s="117"/>
      <c r="E945" s="117"/>
      <c r="F945" s="117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  <c r="AA945" s="117"/>
      <c r="AB945" s="117"/>
      <c r="AC945" s="117"/>
      <c r="AD945" s="117"/>
      <c r="AE945" s="117"/>
      <c r="AF945" s="117"/>
      <c r="AG945" s="117"/>
      <c r="AH945" s="117"/>
    </row>
    <row r="946">
      <c r="A946" s="117"/>
      <c r="B946" s="117"/>
      <c r="C946" s="117"/>
      <c r="D946" s="117"/>
      <c r="E946" s="117"/>
      <c r="F946" s="117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  <c r="AA946" s="117"/>
      <c r="AB946" s="117"/>
      <c r="AC946" s="117"/>
      <c r="AD946" s="117"/>
      <c r="AE946" s="117"/>
      <c r="AF946" s="117"/>
      <c r="AG946" s="117"/>
      <c r="AH946" s="117"/>
    </row>
    <row r="947">
      <c r="A947" s="117"/>
      <c r="B947" s="117"/>
      <c r="C947" s="117"/>
      <c r="D947" s="117"/>
      <c r="E947" s="117"/>
      <c r="F947" s="117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  <c r="AA947" s="117"/>
      <c r="AB947" s="117"/>
      <c r="AC947" s="117"/>
      <c r="AD947" s="117"/>
      <c r="AE947" s="117"/>
      <c r="AF947" s="117"/>
      <c r="AG947" s="117"/>
      <c r="AH947" s="117"/>
    </row>
    <row r="948">
      <c r="A948" s="117"/>
      <c r="B948" s="117"/>
      <c r="C948" s="117"/>
      <c r="D948" s="117"/>
      <c r="E948" s="117"/>
      <c r="F948" s="117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  <c r="AA948" s="117"/>
      <c r="AB948" s="117"/>
      <c r="AC948" s="117"/>
      <c r="AD948" s="117"/>
      <c r="AE948" s="117"/>
      <c r="AF948" s="117"/>
      <c r="AG948" s="117"/>
      <c r="AH948" s="117"/>
    </row>
    <row r="949">
      <c r="A949" s="117"/>
      <c r="B949" s="117"/>
      <c r="C949" s="117"/>
      <c r="D949" s="117"/>
      <c r="E949" s="117"/>
      <c r="F949" s="117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  <c r="AA949" s="117"/>
      <c r="AB949" s="117"/>
      <c r="AC949" s="117"/>
      <c r="AD949" s="117"/>
      <c r="AE949" s="117"/>
      <c r="AF949" s="117"/>
      <c r="AG949" s="117"/>
      <c r="AH949" s="117"/>
    </row>
    <row r="950">
      <c r="A950" s="117"/>
      <c r="B950" s="117"/>
      <c r="C950" s="117"/>
      <c r="D950" s="117"/>
      <c r="E950" s="117"/>
      <c r="F950" s="117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  <c r="AA950" s="117"/>
      <c r="AB950" s="117"/>
      <c r="AC950" s="117"/>
      <c r="AD950" s="117"/>
      <c r="AE950" s="117"/>
      <c r="AF950" s="117"/>
      <c r="AG950" s="117"/>
      <c r="AH950" s="117"/>
    </row>
    <row r="951">
      <c r="A951" s="117"/>
      <c r="B951" s="117"/>
      <c r="C951" s="117"/>
      <c r="D951" s="117"/>
      <c r="E951" s="117"/>
      <c r="F951" s="117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  <c r="AA951" s="117"/>
      <c r="AB951" s="117"/>
      <c r="AC951" s="117"/>
      <c r="AD951" s="117"/>
      <c r="AE951" s="117"/>
      <c r="AF951" s="117"/>
      <c r="AG951" s="117"/>
      <c r="AH951" s="117"/>
    </row>
    <row r="952">
      <c r="A952" s="117"/>
      <c r="B952" s="117"/>
      <c r="C952" s="117"/>
      <c r="D952" s="117"/>
      <c r="E952" s="117"/>
      <c r="F952" s="117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  <c r="AA952" s="117"/>
      <c r="AB952" s="117"/>
      <c r="AC952" s="117"/>
      <c r="AD952" s="117"/>
      <c r="AE952" s="117"/>
      <c r="AF952" s="117"/>
      <c r="AG952" s="117"/>
      <c r="AH952" s="117"/>
    </row>
    <row r="953">
      <c r="A953" s="117"/>
      <c r="B953" s="117"/>
      <c r="C953" s="117"/>
      <c r="D953" s="117"/>
      <c r="E953" s="117"/>
      <c r="F953" s="117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  <c r="AA953" s="117"/>
      <c r="AB953" s="117"/>
      <c r="AC953" s="117"/>
      <c r="AD953" s="117"/>
      <c r="AE953" s="117"/>
      <c r="AF953" s="117"/>
      <c r="AG953" s="117"/>
      <c r="AH953" s="117"/>
    </row>
    <row r="954">
      <c r="A954" s="117"/>
      <c r="B954" s="117"/>
      <c r="C954" s="117"/>
      <c r="D954" s="117"/>
      <c r="E954" s="117"/>
      <c r="F954" s="117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  <c r="AA954" s="117"/>
      <c r="AB954" s="117"/>
      <c r="AC954" s="117"/>
      <c r="AD954" s="117"/>
      <c r="AE954" s="117"/>
      <c r="AF954" s="117"/>
      <c r="AG954" s="117"/>
      <c r="AH954" s="117"/>
    </row>
    <row r="955">
      <c r="A955" s="117"/>
      <c r="B955" s="117"/>
      <c r="C955" s="117"/>
      <c r="D955" s="117"/>
      <c r="E955" s="117"/>
      <c r="F955" s="117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  <c r="AA955" s="117"/>
      <c r="AB955" s="117"/>
      <c r="AC955" s="117"/>
      <c r="AD955" s="117"/>
      <c r="AE955" s="117"/>
      <c r="AF955" s="117"/>
      <c r="AG955" s="117"/>
      <c r="AH955" s="117"/>
    </row>
    <row r="956">
      <c r="A956" s="117"/>
      <c r="B956" s="117"/>
      <c r="C956" s="117"/>
      <c r="D956" s="117"/>
      <c r="E956" s="117"/>
      <c r="F956" s="117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  <c r="AA956" s="117"/>
      <c r="AB956" s="117"/>
      <c r="AC956" s="117"/>
      <c r="AD956" s="117"/>
      <c r="AE956" s="117"/>
      <c r="AF956" s="117"/>
      <c r="AG956" s="117"/>
      <c r="AH956" s="117"/>
    </row>
    <row r="957">
      <c r="A957" s="117"/>
      <c r="B957" s="117"/>
      <c r="C957" s="117"/>
      <c r="D957" s="117"/>
      <c r="E957" s="117"/>
      <c r="F957" s="117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  <c r="AA957" s="117"/>
      <c r="AB957" s="117"/>
      <c r="AC957" s="117"/>
      <c r="AD957" s="117"/>
      <c r="AE957" s="117"/>
      <c r="AF957" s="117"/>
      <c r="AG957" s="117"/>
      <c r="AH957" s="117"/>
    </row>
    <row r="958">
      <c r="A958" s="117"/>
      <c r="B958" s="117"/>
      <c r="C958" s="117"/>
      <c r="D958" s="117"/>
      <c r="E958" s="117"/>
      <c r="F958" s="117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  <c r="AA958" s="117"/>
      <c r="AB958" s="117"/>
      <c r="AC958" s="117"/>
      <c r="AD958" s="117"/>
      <c r="AE958" s="117"/>
      <c r="AF958" s="117"/>
      <c r="AG958" s="117"/>
      <c r="AH958" s="117"/>
    </row>
    <row r="959">
      <c r="A959" s="117"/>
      <c r="B959" s="117"/>
      <c r="C959" s="117"/>
      <c r="D959" s="117"/>
      <c r="E959" s="117"/>
      <c r="F959" s="117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  <c r="AA959" s="117"/>
      <c r="AB959" s="117"/>
      <c r="AC959" s="117"/>
      <c r="AD959" s="117"/>
      <c r="AE959" s="117"/>
      <c r="AF959" s="117"/>
      <c r="AG959" s="117"/>
      <c r="AH959" s="117"/>
    </row>
    <row r="960">
      <c r="A960" s="117"/>
      <c r="B960" s="117"/>
      <c r="C960" s="117"/>
      <c r="D960" s="117"/>
      <c r="E960" s="117"/>
      <c r="F960" s="117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  <c r="AA960" s="117"/>
      <c r="AB960" s="117"/>
      <c r="AC960" s="117"/>
      <c r="AD960" s="117"/>
      <c r="AE960" s="117"/>
      <c r="AF960" s="117"/>
      <c r="AG960" s="117"/>
      <c r="AH960" s="117"/>
    </row>
    <row r="961">
      <c r="A961" s="117"/>
      <c r="B961" s="117"/>
      <c r="C961" s="117"/>
      <c r="D961" s="117"/>
      <c r="E961" s="117"/>
      <c r="F961" s="117"/>
      <c r="G961" s="117"/>
      <c r="H961" s="117"/>
      <c r="I961" s="117"/>
      <c r="J961" s="117"/>
      <c r="K961" s="117"/>
      <c r="L961" s="117"/>
      <c r="M961" s="117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  <c r="AA961" s="117"/>
      <c r="AB961" s="117"/>
      <c r="AC961" s="117"/>
      <c r="AD961" s="117"/>
      <c r="AE961" s="117"/>
      <c r="AF961" s="117"/>
      <c r="AG961" s="117"/>
      <c r="AH961" s="117"/>
    </row>
    <row r="962">
      <c r="A962" s="117"/>
      <c r="B962" s="117"/>
      <c r="C962" s="117"/>
      <c r="D962" s="117"/>
      <c r="E962" s="117"/>
      <c r="F962" s="117"/>
      <c r="G962" s="117"/>
      <c r="H962" s="117"/>
      <c r="I962" s="117"/>
      <c r="J962" s="117"/>
      <c r="K962" s="117"/>
      <c r="L962" s="117"/>
      <c r="M962" s="117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  <c r="AA962" s="117"/>
      <c r="AB962" s="117"/>
      <c r="AC962" s="117"/>
      <c r="AD962" s="117"/>
      <c r="AE962" s="117"/>
      <c r="AF962" s="117"/>
      <c r="AG962" s="117"/>
      <c r="AH962" s="117"/>
    </row>
    <row r="963">
      <c r="A963" s="117"/>
      <c r="B963" s="117"/>
      <c r="C963" s="117"/>
      <c r="D963" s="117"/>
      <c r="E963" s="117"/>
      <c r="F963" s="117"/>
      <c r="G963" s="117"/>
      <c r="H963" s="117"/>
      <c r="I963" s="117"/>
      <c r="J963" s="117"/>
      <c r="K963" s="117"/>
      <c r="L963" s="117"/>
      <c r="M963" s="117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  <c r="AA963" s="117"/>
      <c r="AB963" s="117"/>
      <c r="AC963" s="117"/>
      <c r="AD963" s="117"/>
      <c r="AE963" s="117"/>
      <c r="AF963" s="117"/>
      <c r="AG963" s="117"/>
      <c r="AH963" s="117"/>
    </row>
    <row r="964">
      <c r="A964" s="117"/>
      <c r="B964" s="117"/>
      <c r="C964" s="117"/>
      <c r="D964" s="117"/>
      <c r="E964" s="117"/>
      <c r="F964" s="117"/>
      <c r="G964" s="117"/>
      <c r="H964" s="117"/>
      <c r="I964" s="117"/>
      <c r="J964" s="117"/>
      <c r="K964" s="117"/>
      <c r="L964" s="117"/>
      <c r="M964" s="117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  <c r="AA964" s="117"/>
      <c r="AB964" s="117"/>
      <c r="AC964" s="117"/>
      <c r="AD964" s="117"/>
      <c r="AE964" s="117"/>
      <c r="AF964" s="117"/>
      <c r="AG964" s="117"/>
      <c r="AH964" s="117"/>
    </row>
    <row r="965">
      <c r="A965" s="117"/>
      <c r="B965" s="117"/>
      <c r="C965" s="117"/>
      <c r="D965" s="117"/>
      <c r="E965" s="117"/>
      <c r="F965" s="117"/>
      <c r="G965" s="117"/>
      <c r="H965" s="117"/>
      <c r="I965" s="117"/>
      <c r="J965" s="117"/>
      <c r="K965" s="117"/>
      <c r="L965" s="117"/>
      <c r="M965" s="117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  <c r="AA965" s="117"/>
      <c r="AB965" s="117"/>
      <c r="AC965" s="117"/>
      <c r="AD965" s="117"/>
      <c r="AE965" s="117"/>
      <c r="AF965" s="117"/>
      <c r="AG965" s="117"/>
      <c r="AH965" s="117"/>
    </row>
    <row r="966">
      <c r="A966" s="117"/>
      <c r="B966" s="117"/>
      <c r="C966" s="117"/>
      <c r="D966" s="117"/>
      <c r="E966" s="117"/>
      <c r="F966" s="117"/>
      <c r="G966" s="117"/>
      <c r="H966" s="117"/>
      <c r="I966" s="11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  <c r="AA966" s="117"/>
      <c r="AB966" s="117"/>
      <c r="AC966" s="117"/>
      <c r="AD966" s="117"/>
      <c r="AE966" s="117"/>
      <c r="AF966" s="117"/>
      <c r="AG966" s="117"/>
      <c r="AH966" s="117"/>
    </row>
    <row r="967">
      <c r="A967" s="117"/>
      <c r="B967" s="117"/>
      <c r="C967" s="117"/>
      <c r="D967" s="117"/>
      <c r="E967" s="117"/>
      <c r="F967" s="117"/>
      <c r="G967" s="117"/>
      <c r="H967" s="117"/>
      <c r="I967" s="117"/>
      <c r="J967" s="117"/>
      <c r="K967" s="117"/>
      <c r="L967" s="117"/>
      <c r="M967" s="117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  <c r="AA967" s="117"/>
      <c r="AB967" s="117"/>
      <c r="AC967" s="117"/>
      <c r="AD967" s="117"/>
      <c r="AE967" s="117"/>
      <c r="AF967" s="117"/>
      <c r="AG967" s="117"/>
      <c r="AH967" s="117"/>
    </row>
    <row r="968">
      <c r="A968" s="117"/>
      <c r="B968" s="117"/>
      <c r="C968" s="117"/>
      <c r="D968" s="117"/>
      <c r="E968" s="117"/>
      <c r="F968" s="117"/>
      <c r="G968" s="117"/>
      <c r="H968" s="117"/>
      <c r="I968" s="117"/>
      <c r="J968" s="117"/>
      <c r="K968" s="117"/>
      <c r="L968" s="117"/>
      <c r="M968" s="117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  <c r="AA968" s="117"/>
      <c r="AB968" s="117"/>
      <c r="AC968" s="117"/>
      <c r="AD968" s="117"/>
      <c r="AE968" s="117"/>
      <c r="AF968" s="117"/>
      <c r="AG968" s="117"/>
      <c r="AH968" s="117"/>
    </row>
    <row r="969">
      <c r="A969" s="117"/>
      <c r="B969" s="117"/>
      <c r="C969" s="117"/>
      <c r="D969" s="117"/>
      <c r="E969" s="117"/>
      <c r="F969" s="117"/>
      <c r="G969" s="117"/>
      <c r="H969" s="117"/>
      <c r="I969" s="117"/>
      <c r="J969" s="117"/>
      <c r="K969" s="117"/>
      <c r="L969" s="117"/>
      <c r="M969" s="117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  <c r="AA969" s="117"/>
      <c r="AB969" s="117"/>
      <c r="AC969" s="117"/>
      <c r="AD969" s="117"/>
      <c r="AE969" s="117"/>
      <c r="AF969" s="117"/>
      <c r="AG969" s="117"/>
      <c r="AH969" s="117"/>
    </row>
    <row r="970">
      <c r="A970" s="117"/>
      <c r="B970" s="117"/>
      <c r="C970" s="117"/>
      <c r="D970" s="117"/>
      <c r="E970" s="117"/>
      <c r="F970" s="117"/>
      <c r="G970" s="117"/>
      <c r="H970" s="117"/>
      <c r="I970" s="117"/>
      <c r="J970" s="117"/>
      <c r="K970" s="117"/>
      <c r="L970" s="117"/>
      <c r="M970" s="117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  <c r="AA970" s="117"/>
      <c r="AB970" s="117"/>
      <c r="AC970" s="117"/>
      <c r="AD970" s="117"/>
      <c r="AE970" s="117"/>
      <c r="AF970" s="117"/>
      <c r="AG970" s="117"/>
      <c r="AH970" s="117"/>
    </row>
    <row r="971">
      <c r="A971" s="117"/>
      <c r="B971" s="117"/>
      <c r="C971" s="117"/>
      <c r="D971" s="117"/>
      <c r="E971" s="117"/>
      <c r="F971" s="117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  <c r="AA971" s="117"/>
      <c r="AB971" s="117"/>
      <c r="AC971" s="117"/>
      <c r="AD971" s="117"/>
      <c r="AE971" s="117"/>
      <c r="AF971" s="117"/>
      <c r="AG971" s="117"/>
      <c r="AH971" s="117"/>
    </row>
    <row r="972">
      <c r="A972" s="117"/>
      <c r="B972" s="117"/>
      <c r="C972" s="117"/>
      <c r="D972" s="117"/>
      <c r="E972" s="117"/>
      <c r="F972" s="117"/>
      <c r="G972" s="117"/>
      <c r="H972" s="117"/>
      <c r="I972" s="117"/>
      <c r="J972" s="117"/>
      <c r="K972" s="117"/>
      <c r="L972" s="117"/>
      <c r="M972" s="117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117"/>
      <c r="AB972" s="117"/>
      <c r="AC972" s="117"/>
      <c r="AD972" s="117"/>
      <c r="AE972" s="117"/>
      <c r="AF972" s="117"/>
      <c r="AG972" s="117"/>
      <c r="AH972" s="117"/>
    </row>
    <row r="973">
      <c r="A973" s="117"/>
      <c r="B973" s="117"/>
      <c r="C973" s="117"/>
      <c r="D973" s="117"/>
      <c r="E973" s="117"/>
      <c r="F973" s="117"/>
      <c r="G973" s="117"/>
      <c r="H973" s="117"/>
      <c r="I973" s="117"/>
      <c r="J973" s="117"/>
      <c r="K973" s="117"/>
      <c r="L973" s="117"/>
      <c r="M973" s="117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  <c r="AA973" s="117"/>
      <c r="AB973" s="117"/>
      <c r="AC973" s="117"/>
      <c r="AD973" s="117"/>
      <c r="AE973" s="117"/>
      <c r="AF973" s="117"/>
      <c r="AG973" s="117"/>
      <c r="AH973" s="117"/>
    </row>
    <row r="974">
      <c r="A974" s="117"/>
      <c r="B974" s="117"/>
      <c r="C974" s="117"/>
      <c r="D974" s="117"/>
      <c r="E974" s="117"/>
      <c r="F974" s="117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  <c r="AA974" s="117"/>
      <c r="AB974" s="117"/>
      <c r="AC974" s="117"/>
      <c r="AD974" s="117"/>
      <c r="AE974" s="117"/>
      <c r="AF974" s="117"/>
      <c r="AG974" s="117"/>
      <c r="AH974" s="117"/>
    </row>
    <row r="975">
      <c r="A975" s="117"/>
      <c r="B975" s="117"/>
      <c r="C975" s="117"/>
      <c r="D975" s="117"/>
      <c r="E975" s="117"/>
      <c r="F975" s="117"/>
      <c r="G975" s="117"/>
      <c r="H975" s="117"/>
      <c r="I975" s="117"/>
      <c r="J975" s="117"/>
      <c r="K975" s="117"/>
      <c r="L975" s="117"/>
      <c r="M975" s="117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  <c r="AA975" s="117"/>
      <c r="AB975" s="117"/>
      <c r="AC975" s="117"/>
      <c r="AD975" s="117"/>
      <c r="AE975" s="117"/>
      <c r="AF975" s="117"/>
      <c r="AG975" s="117"/>
      <c r="AH975" s="117"/>
    </row>
    <row r="976">
      <c r="A976" s="117"/>
      <c r="B976" s="117"/>
      <c r="C976" s="117"/>
      <c r="D976" s="117"/>
      <c r="E976" s="117"/>
      <c r="F976" s="117"/>
      <c r="G976" s="117"/>
      <c r="H976" s="117"/>
      <c r="I976" s="117"/>
      <c r="J976" s="117"/>
      <c r="K976" s="117"/>
      <c r="L976" s="117"/>
      <c r="M976" s="117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  <c r="AA976" s="117"/>
      <c r="AB976" s="117"/>
      <c r="AC976" s="117"/>
      <c r="AD976" s="117"/>
      <c r="AE976" s="117"/>
      <c r="AF976" s="117"/>
      <c r="AG976" s="117"/>
      <c r="AH976" s="117"/>
    </row>
    <row r="977">
      <c r="A977" s="117"/>
      <c r="B977" s="117"/>
      <c r="C977" s="117"/>
      <c r="D977" s="117"/>
      <c r="E977" s="117"/>
      <c r="F977" s="117"/>
      <c r="G977" s="117"/>
      <c r="H977" s="117"/>
      <c r="I977" s="117"/>
      <c r="J977" s="117"/>
      <c r="K977" s="117"/>
      <c r="L977" s="117"/>
      <c r="M977" s="117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  <c r="AA977" s="117"/>
      <c r="AB977" s="117"/>
      <c r="AC977" s="117"/>
      <c r="AD977" s="117"/>
      <c r="AE977" s="117"/>
      <c r="AF977" s="117"/>
      <c r="AG977" s="117"/>
      <c r="AH977" s="117"/>
    </row>
    <row r="978">
      <c r="A978" s="117"/>
      <c r="B978" s="117"/>
      <c r="C978" s="117"/>
      <c r="D978" s="117"/>
      <c r="E978" s="117"/>
      <c r="F978" s="117"/>
      <c r="G978" s="117"/>
      <c r="H978" s="117"/>
      <c r="I978" s="117"/>
      <c r="J978" s="117"/>
      <c r="K978" s="117"/>
      <c r="L978" s="117"/>
      <c r="M978" s="117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  <c r="AA978" s="117"/>
      <c r="AB978" s="117"/>
      <c r="AC978" s="117"/>
      <c r="AD978" s="117"/>
      <c r="AE978" s="117"/>
      <c r="AF978" s="117"/>
      <c r="AG978" s="117"/>
      <c r="AH978" s="117"/>
    </row>
    <row r="979">
      <c r="A979" s="117"/>
      <c r="B979" s="117"/>
      <c r="C979" s="117"/>
      <c r="D979" s="117"/>
      <c r="E979" s="117"/>
      <c r="F979" s="117"/>
      <c r="G979" s="117"/>
      <c r="H979" s="117"/>
      <c r="I979" s="117"/>
      <c r="J979" s="117"/>
      <c r="K979" s="117"/>
      <c r="L979" s="117"/>
      <c r="M979" s="117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  <c r="AA979" s="117"/>
      <c r="AB979" s="117"/>
      <c r="AC979" s="117"/>
      <c r="AD979" s="117"/>
      <c r="AE979" s="117"/>
      <c r="AF979" s="117"/>
      <c r="AG979" s="117"/>
      <c r="AH979" s="117"/>
    </row>
    <row r="980">
      <c r="A980" s="117"/>
      <c r="B980" s="117"/>
      <c r="C980" s="117"/>
      <c r="D980" s="117"/>
      <c r="E980" s="117"/>
      <c r="F980" s="117"/>
      <c r="G980" s="117"/>
      <c r="H980" s="117"/>
      <c r="I980" s="117"/>
      <c r="J980" s="117"/>
      <c r="K980" s="117"/>
      <c r="L980" s="117"/>
      <c r="M980" s="117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  <c r="AA980" s="117"/>
      <c r="AB980" s="117"/>
      <c r="AC980" s="117"/>
      <c r="AD980" s="117"/>
      <c r="AE980" s="117"/>
      <c r="AF980" s="117"/>
      <c r="AG980" s="117"/>
      <c r="AH980" s="117"/>
    </row>
    <row r="981">
      <c r="A981" s="117"/>
      <c r="B981" s="117"/>
      <c r="C981" s="117"/>
      <c r="D981" s="117"/>
      <c r="E981" s="117"/>
      <c r="F981" s="117"/>
      <c r="G981" s="117"/>
      <c r="H981" s="117"/>
      <c r="I981" s="117"/>
      <c r="J981" s="117"/>
      <c r="K981" s="117"/>
      <c r="L981" s="117"/>
      <c r="M981" s="117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  <c r="AA981" s="117"/>
      <c r="AB981" s="117"/>
      <c r="AC981" s="117"/>
      <c r="AD981" s="117"/>
      <c r="AE981" s="117"/>
      <c r="AF981" s="117"/>
      <c r="AG981" s="117"/>
      <c r="AH981" s="117"/>
    </row>
    <row r="982">
      <c r="A982" s="117"/>
      <c r="B982" s="117"/>
      <c r="C982" s="117"/>
      <c r="D982" s="117"/>
      <c r="E982" s="117"/>
      <c r="F982" s="117"/>
      <c r="G982" s="117"/>
      <c r="H982" s="117"/>
      <c r="I982" s="117"/>
      <c r="J982" s="117"/>
      <c r="K982" s="117"/>
      <c r="L982" s="117"/>
      <c r="M982" s="117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  <c r="AA982" s="117"/>
      <c r="AB982" s="117"/>
      <c r="AC982" s="117"/>
      <c r="AD982" s="117"/>
      <c r="AE982" s="117"/>
      <c r="AF982" s="117"/>
      <c r="AG982" s="117"/>
      <c r="AH982" s="117"/>
    </row>
    <row r="983">
      <c r="A983" s="117"/>
      <c r="B983" s="117"/>
      <c r="C983" s="117"/>
      <c r="D983" s="117"/>
      <c r="E983" s="117"/>
      <c r="F983" s="117"/>
      <c r="G983" s="117"/>
      <c r="H983" s="117"/>
      <c r="I983" s="117"/>
      <c r="J983" s="117"/>
      <c r="K983" s="117"/>
      <c r="L983" s="117"/>
      <c r="M983" s="117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  <c r="AA983" s="117"/>
      <c r="AB983" s="117"/>
      <c r="AC983" s="117"/>
      <c r="AD983" s="117"/>
      <c r="AE983" s="117"/>
      <c r="AF983" s="117"/>
      <c r="AG983" s="117"/>
      <c r="AH983" s="117"/>
    </row>
    <row r="984">
      <c r="A984" s="117"/>
      <c r="B984" s="117"/>
      <c r="C984" s="117"/>
      <c r="D984" s="117"/>
      <c r="E984" s="117"/>
      <c r="F984" s="117"/>
      <c r="G984" s="117"/>
      <c r="H984" s="117"/>
      <c r="I984" s="117"/>
      <c r="J984" s="117"/>
      <c r="K984" s="117"/>
      <c r="L984" s="117"/>
      <c r="M984" s="117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  <c r="AA984" s="117"/>
      <c r="AB984" s="117"/>
      <c r="AC984" s="117"/>
      <c r="AD984" s="117"/>
      <c r="AE984" s="117"/>
      <c r="AF984" s="117"/>
      <c r="AG984" s="117"/>
      <c r="AH984" s="117"/>
    </row>
    <row r="985">
      <c r="A985" s="117"/>
      <c r="B985" s="117"/>
      <c r="C985" s="117"/>
      <c r="D985" s="117"/>
      <c r="E985" s="117"/>
      <c r="F985" s="117"/>
      <c r="G985" s="117"/>
      <c r="H985" s="117"/>
      <c r="I985" s="117"/>
      <c r="J985" s="117"/>
      <c r="K985" s="117"/>
      <c r="L985" s="117"/>
      <c r="M985" s="117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  <c r="AA985" s="117"/>
      <c r="AB985" s="117"/>
      <c r="AC985" s="117"/>
      <c r="AD985" s="117"/>
      <c r="AE985" s="117"/>
      <c r="AF985" s="117"/>
      <c r="AG985" s="117"/>
      <c r="AH985" s="117"/>
    </row>
    <row r="986">
      <c r="A986" s="117"/>
      <c r="B986" s="117"/>
      <c r="C986" s="117"/>
      <c r="D986" s="117"/>
      <c r="E986" s="117"/>
      <c r="F986" s="117"/>
      <c r="G986" s="117"/>
      <c r="H986" s="117"/>
      <c r="I986" s="117"/>
      <c r="J986" s="117"/>
      <c r="K986" s="117"/>
      <c r="L986" s="117"/>
      <c r="M986" s="117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  <c r="AA986" s="117"/>
      <c r="AB986" s="117"/>
      <c r="AC986" s="117"/>
      <c r="AD986" s="117"/>
      <c r="AE986" s="117"/>
      <c r="AF986" s="117"/>
      <c r="AG986" s="117"/>
      <c r="AH986" s="117"/>
    </row>
    <row r="987">
      <c r="A987" s="117"/>
      <c r="B987" s="117"/>
      <c r="C987" s="117"/>
      <c r="D987" s="117"/>
      <c r="E987" s="117"/>
      <c r="F987" s="117"/>
      <c r="G987" s="117"/>
      <c r="H987" s="117"/>
      <c r="I987" s="117"/>
      <c r="J987" s="117"/>
      <c r="K987" s="117"/>
      <c r="L987" s="117"/>
      <c r="M987" s="117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  <c r="AA987" s="117"/>
      <c r="AB987" s="117"/>
      <c r="AC987" s="117"/>
      <c r="AD987" s="117"/>
      <c r="AE987" s="117"/>
      <c r="AF987" s="117"/>
      <c r="AG987" s="117"/>
      <c r="AH987" s="117"/>
    </row>
    <row r="988">
      <c r="A988" s="117"/>
      <c r="B988" s="117"/>
      <c r="C988" s="117"/>
      <c r="D988" s="117"/>
      <c r="E988" s="117"/>
      <c r="F988" s="117"/>
      <c r="G988" s="117"/>
      <c r="H988" s="117"/>
      <c r="I988" s="117"/>
      <c r="J988" s="117"/>
      <c r="K988" s="117"/>
      <c r="L988" s="117"/>
      <c r="M988" s="117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  <c r="AA988" s="117"/>
      <c r="AB988" s="117"/>
      <c r="AC988" s="117"/>
      <c r="AD988" s="117"/>
      <c r="AE988" s="117"/>
      <c r="AF988" s="117"/>
      <c r="AG988" s="117"/>
      <c r="AH988" s="117"/>
    </row>
    <row r="989">
      <c r="A989" s="117"/>
      <c r="B989" s="117"/>
      <c r="C989" s="117"/>
      <c r="D989" s="117"/>
      <c r="E989" s="117"/>
      <c r="F989" s="117"/>
      <c r="G989" s="117"/>
      <c r="H989" s="117"/>
      <c r="I989" s="117"/>
      <c r="J989" s="117"/>
      <c r="K989" s="117"/>
      <c r="L989" s="117"/>
      <c r="M989" s="117"/>
      <c r="N989" s="117"/>
      <c r="O989" s="117"/>
      <c r="P989" s="117"/>
      <c r="Q989" s="117"/>
      <c r="R989" s="117"/>
      <c r="S989" s="117"/>
      <c r="T989" s="117"/>
      <c r="U989" s="117"/>
      <c r="V989" s="117"/>
      <c r="W989" s="117"/>
      <c r="X989" s="117"/>
      <c r="Y989" s="117"/>
      <c r="Z989" s="117"/>
      <c r="AA989" s="117"/>
      <c r="AB989" s="117"/>
      <c r="AC989" s="117"/>
      <c r="AD989" s="117"/>
      <c r="AE989" s="117"/>
      <c r="AF989" s="117"/>
      <c r="AG989" s="117"/>
      <c r="AH989" s="117"/>
    </row>
    <row r="990">
      <c r="A990" s="117"/>
      <c r="B990" s="117"/>
      <c r="C990" s="117"/>
      <c r="D990" s="117"/>
      <c r="E990" s="117"/>
      <c r="F990" s="117"/>
      <c r="G990" s="117"/>
      <c r="H990" s="117"/>
      <c r="I990" s="117"/>
      <c r="J990" s="117"/>
      <c r="K990" s="117"/>
      <c r="L990" s="117"/>
      <c r="M990" s="117"/>
      <c r="N990" s="117"/>
      <c r="O990" s="117"/>
      <c r="P990" s="117"/>
      <c r="Q990" s="117"/>
      <c r="R990" s="117"/>
      <c r="S990" s="117"/>
      <c r="T990" s="117"/>
      <c r="U990" s="117"/>
      <c r="V990" s="117"/>
      <c r="W990" s="117"/>
      <c r="X990" s="117"/>
      <c r="Y990" s="117"/>
      <c r="Z990" s="117"/>
      <c r="AA990" s="117"/>
      <c r="AB990" s="117"/>
      <c r="AC990" s="117"/>
      <c r="AD990" s="117"/>
      <c r="AE990" s="117"/>
      <c r="AF990" s="117"/>
      <c r="AG990" s="117"/>
      <c r="AH990" s="117"/>
    </row>
    <row r="991">
      <c r="A991" s="117"/>
      <c r="B991" s="117"/>
      <c r="C991" s="117"/>
      <c r="D991" s="117"/>
      <c r="E991" s="117"/>
      <c r="F991" s="117"/>
      <c r="G991" s="117"/>
      <c r="H991" s="117"/>
      <c r="I991" s="117"/>
      <c r="J991" s="117"/>
      <c r="K991" s="117"/>
      <c r="L991" s="117"/>
      <c r="M991" s="117"/>
      <c r="N991" s="117"/>
      <c r="O991" s="117"/>
      <c r="P991" s="117"/>
      <c r="Q991" s="117"/>
      <c r="R991" s="117"/>
      <c r="S991" s="117"/>
      <c r="T991" s="117"/>
      <c r="U991" s="117"/>
      <c r="V991" s="117"/>
      <c r="W991" s="117"/>
      <c r="X991" s="117"/>
      <c r="Y991" s="117"/>
      <c r="Z991" s="117"/>
      <c r="AA991" s="117"/>
      <c r="AB991" s="117"/>
      <c r="AC991" s="117"/>
      <c r="AD991" s="117"/>
      <c r="AE991" s="117"/>
      <c r="AF991" s="117"/>
      <c r="AG991" s="117"/>
      <c r="AH991" s="117"/>
    </row>
    <row r="992">
      <c r="A992" s="117"/>
      <c r="B992" s="117"/>
      <c r="C992" s="117"/>
      <c r="D992" s="117"/>
      <c r="E992" s="117"/>
      <c r="F992" s="117"/>
      <c r="G992" s="117"/>
      <c r="H992" s="117"/>
      <c r="I992" s="117"/>
      <c r="J992" s="117"/>
      <c r="K992" s="117"/>
      <c r="L992" s="117"/>
      <c r="M992" s="117"/>
      <c r="N992" s="117"/>
      <c r="O992" s="117"/>
      <c r="P992" s="117"/>
      <c r="Q992" s="117"/>
      <c r="R992" s="117"/>
      <c r="S992" s="117"/>
      <c r="T992" s="117"/>
      <c r="U992" s="117"/>
      <c r="V992" s="117"/>
      <c r="W992" s="117"/>
      <c r="X992" s="117"/>
      <c r="Y992" s="117"/>
      <c r="Z992" s="117"/>
      <c r="AA992" s="117"/>
      <c r="AB992" s="117"/>
      <c r="AC992" s="117"/>
      <c r="AD992" s="117"/>
      <c r="AE992" s="117"/>
      <c r="AF992" s="117"/>
      <c r="AG992" s="117"/>
      <c r="AH992" s="117"/>
    </row>
    <row r="993">
      <c r="A993" s="117"/>
      <c r="B993" s="117"/>
      <c r="C993" s="117"/>
      <c r="D993" s="117"/>
      <c r="E993" s="117"/>
      <c r="F993" s="117"/>
      <c r="G993" s="117"/>
      <c r="H993" s="117"/>
      <c r="I993" s="117"/>
      <c r="J993" s="117"/>
      <c r="K993" s="117"/>
      <c r="L993" s="117"/>
      <c r="M993" s="117"/>
      <c r="N993" s="117"/>
      <c r="O993" s="117"/>
      <c r="P993" s="117"/>
      <c r="Q993" s="117"/>
      <c r="R993" s="117"/>
      <c r="S993" s="117"/>
      <c r="T993" s="117"/>
      <c r="U993" s="117"/>
      <c r="V993" s="117"/>
      <c r="W993" s="117"/>
      <c r="X993" s="117"/>
      <c r="Y993" s="117"/>
      <c r="Z993" s="117"/>
      <c r="AA993" s="117"/>
      <c r="AB993" s="117"/>
      <c r="AC993" s="117"/>
      <c r="AD993" s="117"/>
      <c r="AE993" s="117"/>
      <c r="AF993" s="117"/>
      <c r="AG993" s="117"/>
      <c r="AH993" s="117"/>
    </row>
    <row r="994">
      <c r="A994" s="117"/>
      <c r="B994" s="117"/>
      <c r="C994" s="117"/>
      <c r="D994" s="117"/>
      <c r="E994" s="117"/>
      <c r="F994" s="117"/>
      <c r="G994" s="117"/>
      <c r="H994" s="117"/>
      <c r="I994" s="117"/>
      <c r="J994" s="117"/>
      <c r="K994" s="117"/>
      <c r="L994" s="117"/>
      <c r="M994" s="117"/>
      <c r="N994" s="117"/>
      <c r="O994" s="117"/>
      <c r="P994" s="117"/>
      <c r="Q994" s="117"/>
      <c r="R994" s="117"/>
      <c r="S994" s="117"/>
      <c r="T994" s="117"/>
      <c r="U994" s="117"/>
      <c r="V994" s="117"/>
      <c r="W994" s="117"/>
      <c r="X994" s="117"/>
      <c r="Y994" s="117"/>
      <c r="Z994" s="117"/>
      <c r="AA994" s="117"/>
      <c r="AB994" s="117"/>
      <c r="AC994" s="117"/>
      <c r="AD994" s="117"/>
      <c r="AE994" s="117"/>
      <c r="AF994" s="117"/>
      <c r="AG994" s="117"/>
      <c r="AH994" s="117"/>
    </row>
    <row r="995">
      <c r="A995" s="117"/>
      <c r="B995" s="117"/>
      <c r="C995" s="117"/>
      <c r="D995" s="117"/>
      <c r="E995" s="117"/>
      <c r="F995" s="117"/>
      <c r="G995" s="117"/>
      <c r="H995" s="117"/>
      <c r="I995" s="117"/>
      <c r="J995" s="117"/>
      <c r="K995" s="117"/>
      <c r="L995" s="117"/>
      <c r="M995" s="117"/>
      <c r="N995" s="117"/>
      <c r="O995" s="117"/>
      <c r="P995" s="117"/>
      <c r="Q995" s="117"/>
      <c r="R995" s="117"/>
      <c r="S995" s="117"/>
      <c r="T995" s="117"/>
      <c r="U995" s="117"/>
      <c r="V995" s="117"/>
      <c r="W995" s="117"/>
      <c r="X995" s="117"/>
      <c r="Y995" s="117"/>
      <c r="Z995" s="117"/>
      <c r="AA995" s="117"/>
      <c r="AB995" s="117"/>
      <c r="AC995" s="117"/>
      <c r="AD995" s="117"/>
      <c r="AE995" s="117"/>
      <c r="AF995" s="117"/>
      <c r="AG995" s="117"/>
      <c r="AH995" s="117"/>
    </row>
    <row r="996">
      <c r="A996" s="117"/>
      <c r="B996" s="117"/>
      <c r="C996" s="117"/>
      <c r="D996" s="117"/>
      <c r="E996" s="117"/>
      <c r="F996" s="117"/>
      <c r="G996" s="117"/>
      <c r="H996" s="117"/>
      <c r="I996" s="117"/>
      <c r="J996" s="117"/>
      <c r="K996" s="117"/>
      <c r="L996" s="117"/>
      <c r="M996" s="117"/>
      <c r="N996" s="117"/>
      <c r="O996" s="117"/>
      <c r="P996" s="117"/>
      <c r="Q996" s="117"/>
      <c r="R996" s="117"/>
      <c r="S996" s="117"/>
      <c r="T996" s="117"/>
      <c r="U996" s="117"/>
      <c r="V996" s="117"/>
      <c r="W996" s="117"/>
      <c r="X996" s="117"/>
      <c r="Y996" s="117"/>
      <c r="Z996" s="117"/>
      <c r="AA996" s="117"/>
      <c r="AB996" s="117"/>
      <c r="AC996" s="117"/>
      <c r="AD996" s="117"/>
      <c r="AE996" s="117"/>
      <c r="AF996" s="117"/>
      <c r="AG996" s="117"/>
      <c r="AH996" s="117"/>
    </row>
    <row r="997">
      <c r="A997" s="117"/>
      <c r="B997" s="117"/>
      <c r="C997" s="117"/>
      <c r="D997" s="117"/>
      <c r="E997" s="117"/>
      <c r="F997" s="117"/>
      <c r="G997" s="117"/>
      <c r="H997" s="117"/>
      <c r="I997" s="117"/>
      <c r="J997" s="117"/>
      <c r="K997" s="117"/>
      <c r="L997" s="117"/>
      <c r="M997" s="117"/>
      <c r="N997" s="117"/>
      <c r="O997" s="117"/>
      <c r="P997" s="117"/>
      <c r="Q997" s="117"/>
      <c r="R997" s="117"/>
      <c r="S997" s="117"/>
      <c r="T997" s="117"/>
      <c r="U997" s="117"/>
      <c r="V997" s="117"/>
      <c r="W997" s="117"/>
      <c r="X997" s="117"/>
      <c r="Y997" s="117"/>
      <c r="Z997" s="117"/>
      <c r="AA997" s="117"/>
      <c r="AB997" s="117"/>
      <c r="AC997" s="117"/>
      <c r="AD997" s="117"/>
      <c r="AE997" s="117"/>
      <c r="AF997" s="117"/>
      <c r="AG997" s="117"/>
      <c r="AH997" s="117"/>
    </row>
    <row r="998">
      <c r="A998" s="117"/>
      <c r="B998" s="117"/>
      <c r="C998" s="117"/>
      <c r="D998" s="117"/>
      <c r="E998" s="117"/>
      <c r="F998" s="117"/>
      <c r="G998" s="117"/>
      <c r="H998" s="117"/>
      <c r="I998" s="117"/>
      <c r="J998" s="117"/>
      <c r="K998" s="117"/>
      <c r="L998" s="117"/>
      <c r="M998" s="117"/>
      <c r="N998" s="117"/>
      <c r="O998" s="117"/>
      <c r="P998" s="117"/>
      <c r="Q998" s="117"/>
      <c r="R998" s="117"/>
      <c r="S998" s="117"/>
      <c r="T998" s="117"/>
      <c r="U998" s="117"/>
      <c r="V998" s="117"/>
      <c r="W998" s="117"/>
      <c r="X998" s="117"/>
      <c r="Y998" s="117"/>
      <c r="Z998" s="117"/>
      <c r="AA998" s="117"/>
      <c r="AB998" s="117"/>
      <c r="AC998" s="117"/>
      <c r="AD998" s="117"/>
      <c r="AE998" s="117"/>
      <c r="AF998" s="117"/>
      <c r="AG998" s="117"/>
      <c r="AH998" s="117"/>
    </row>
  </sheetData>
  <mergeCells count="13">
    <mergeCell ref="H6:I6"/>
    <mergeCell ref="K6:L6"/>
    <mergeCell ref="B13:C13"/>
    <mergeCell ref="E13:F13"/>
    <mergeCell ref="H13:I13"/>
    <mergeCell ref="K13:L13"/>
    <mergeCell ref="B1:C1"/>
    <mergeCell ref="E1:F1"/>
    <mergeCell ref="H1:I1"/>
    <mergeCell ref="K1:L1"/>
    <mergeCell ref="N1:O1"/>
    <mergeCell ref="B6:C6"/>
    <mergeCell ref="E6:F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0.14"/>
    <col customWidth="1" min="2" max="2" width="69.0"/>
    <col customWidth="1" min="3" max="3" width="26.86"/>
    <col customWidth="1" min="4" max="4" width="6.57"/>
    <col customWidth="1" min="5" max="6" width="16.0"/>
  </cols>
  <sheetData>
    <row r="1">
      <c r="A1" s="2" t="s">
        <v>241</v>
      </c>
      <c r="B1" s="2" t="s">
        <v>106</v>
      </c>
      <c r="C1" s="2" t="s">
        <v>242</v>
      </c>
      <c r="D1" s="2" t="s">
        <v>243</v>
      </c>
      <c r="E1" s="129" t="s">
        <v>109</v>
      </c>
      <c r="F1" s="2" t="s">
        <v>244</v>
      </c>
    </row>
    <row r="2">
      <c r="A2" s="2" t="s">
        <v>245</v>
      </c>
      <c r="B2" s="2" t="s">
        <v>246</v>
      </c>
      <c r="C2" s="2" t="s">
        <v>247</v>
      </c>
      <c r="D2" s="2">
        <v>279.9</v>
      </c>
      <c r="E2" s="130">
        <v>170.0</v>
      </c>
      <c r="F2" s="2" t="str">
        <f>ROUNDUP(((($E2*'Calculadora de preço'!$B$4)+($E2*#REF!))*100)/(100-'Calculadora de preço'!$B$5), -1)</f>
        <v>#REF!</v>
      </c>
      <c r="G2" s="1">
        <v>1.0</v>
      </c>
    </row>
    <row r="3">
      <c r="A3" s="2" t="s">
        <v>248</v>
      </c>
      <c r="B3" s="2" t="s">
        <v>249</v>
      </c>
      <c r="C3" s="2" t="s">
        <v>250</v>
      </c>
      <c r="D3" s="2">
        <v>279.9</v>
      </c>
      <c r="E3" s="130">
        <v>170.0</v>
      </c>
      <c r="F3" s="2" t="str">
        <f>ROUNDUP(((($E3*'Calculadora de preço'!$B$4)+($E3*#REF!))*100)/(100-'Calculadora de preço'!$B$5), -1)</f>
        <v>#REF!</v>
      </c>
    </row>
    <row r="4">
      <c r="A4" s="2" t="s">
        <v>251</v>
      </c>
      <c r="B4" s="2" t="s">
        <v>252</v>
      </c>
      <c r="C4" s="2" t="s">
        <v>253</v>
      </c>
      <c r="D4" s="2">
        <v>279.9</v>
      </c>
      <c r="E4" s="130">
        <v>170.0</v>
      </c>
      <c r="F4" s="2" t="str">
        <f>ROUNDUP(((($E4*'Calculadora de preço'!$B$4)+($E4*#REF!))*100)/(100-'Calculadora de preço'!$B$5), -1)</f>
        <v>#REF!</v>
      </c>
    </row>
    <row r="5">
      <c r="A5" s="2" t="s">
        <v>254</v>
      </c>
      <c r="B5" s="2" t="s">
        <v>255</v>
      </c>
      <c r="C5" s="2" t="s">
        <v>256</v>
      </c>
      <c r="D5" s="2">
        <v>279.9</v>
      </c>
      <c r="E5" s="130">
        <v>170.0</v>
      </c>
      <c r="F5" s="2" t="str">
        <f>ROUNDUP(((($E5*'Calculadora de preço'!$B$4)+($E5*#REF!))*100)/(100-'Calculadora de preço'!$B$5), -1)</f>
        <v>#REF!</v>
      </c>
    </row>
    <row r="6">
      <c r="A6" s="2" t="s">
        <v>257</v>
      </c>
      <c r="B6" s="2" t="s">
        <v>258</v>
      </c>
      <c r="C6" s="2" t="s">
        <v>259</v>
      </c>
      <c r="D6" s="2">
        <v>279.9</v>
      </c>
      <c r="E6" s="130">
        <v>170.0</v>
      </c>
      <c r="F6" s="2" t="str">
        <f>ROUNDUP(((($E6*'Calculadora de preço'!$B$4)+($E6*#REF!))*100)/(100-'Calculadora de preço'!$B$5), -1)</f>
        <v>#REF!</v>
      </c>
    </row>
    <row r="7">
      <c r="A7" s="2" t="s">
        <v>260</v>
      </c>
      <c r="B7" s="2" t="s">
        <v>261</v>
      </c>
      <c r="C7" s="2" t="s">
        <v>262</v>
      </c>
      <c r="D7" s="2">
        <v>279.9</v>
      </c>
      <c r="E7" s="130">
        <v>170.0</v>
      </c>
      <c r="F7" s="2" t="str">
        <f>ROUNDUP(((($E7*'Calculadora de preço'!$B$4)+($E7*#REF!))*100)/(100-'Calculadora de preço'!$B$5), -1)</f>
        <v>#REF!</v>
      </c>
    </row>
    <row r="8">
      <c r="A8" s="2" t="s">
        <v>263</v>
      </c>
      <c r="B8" s="2" t="s">
        <v>264</v>
      </c>
      <c r="C8" s="2" t="s">
        <v>265</v>
      </c>
      <c r="D8" s="2">
        <v>209.9</v>
      </c>
      <c r="E8" s="130">
        <v>123.0</v>
      </c>
      <c r="F8" s="2" t="str">
        <f>ROUNDUP(((($E8*'Calculadora de preço'!$B$4)+($E8*#REF!))*100)/(100-'Calculadora de preço'!$B$5), -1)</f>
        <v>#REF!</v>
      </c>
      <c r="G8" s="1">
        <v>1.0</v>
      </c>
    </row>
    <row r="9">
      <c r="A9" s="2" t="s">
        <v>266</v>
      </c>
      <c r="B9" s="2" t="s">
        <v>267</v>
      </c>
      <c r="C9" s="2" t="s">
        <v>268</v>
      </c>
      <c r="D9" s="2">
        <v>209.9</v>
      </c>
      <c r="E9" s="130">
        <v>123.0</v>
      </c>
      <c r="F9" s="2" t="str">
        <f>ROUNDUP(((($E9*'Calculadora de preço'!$B$4)+($E9*#REF!))*100)/(100-'Calculadora de preço'!$B$5), -1)</f>
        <v>#REF!</v>
      </c>
    </row>
    <row r="10">
      <c r="A10" s="2" t="s">
        <v>269</v>
      </c>
      <c r="B10" s="2" t="s">
        <v>270</v>
      </c>
      <c r="C10" s="2" t="s">
        <v>271</v>
      </c>
      <c r="D10" s="2">
        <v>209.9</v>
      </c>
      <c r="E10" s="130">
        <v>123.0</v>
      </c>
      <c r="F10" s="2" t="str">
        <f>ROUNDUP(((($E10*'Calculadora de preço'!$B$4)+($E10*#REF!))*100)/(100-'Calculadora de preço'!$B$5), -1)</f>
        <v>#REF!</v>
      </c>
    </row>
    <row r="11">
      <c r="A11" s="2" t="s">
        <v>272</v>
      </c>
      <c r="B11" s="2" t="s">
        <v>273</v>
      </c>
      <c r="C11" s="2" t="s">
        <v>274</v>
      </c>
      <c r="D11" s="2">
        <v>209.9</v>
      </c>
      <c r="E11" s="130">
        <v>123.0</v>
      </c>
      <c r="F11" s="2" t="str">
        <f>ROUNDUP(((($E11*'Calculadora de preço'!$B$4)+($E11*#REF!))*100)/(100-'Calculadora de preço'!$B$5), -1)</f>
        <v>#REF!</v>
      </c>
    </row>
    <row r="12">
      <c r="A12" s="2" t="s">
        <v>275</v>
      </c>
      <c r="B12" s="2" t="s">
        <v>276</v>
      </c>
      <c r="C12" s="2" t="s">
        <v>277</v>
      </c>
      <c r="D12" s="2">
        <v>209.9</v>
      </c>
      <c r="E12" s="130">
        <v>123.0</v>
      </c>
      <c r="F12" s="2" t="str">
        <f>ROUNDUP(((($E12*'Calculadora de preço'!$B$4)+($E12*#REF!))*100)/(100-'Calculadora de preço'!$B$5), -1)</f>
        <v>#REF!</v>
      </c>
    </row>
    <row r="13">
      <c r="A13" s="2" t="s">
        <v>278</v>
      </c>
      <c r="B13" s="2" t="s">
        <v>279</v>
      </c>
      <c r="C13" s="2" t="s">
        <v>280</v>
      </c>
      <c r="D13" s="2">
        <v>279.9</v>
      </c>
      <c r="E13" s="130">
        <v>170.0</v>
      </c>
      <c r="F13" s="2" t="str">
        <f>ROUNDUP(((($E13*'Calculadora de preço'!$B$4)+($E13*#REF!))*100)/(100-'Calculadora de preço'!$B$5), -1)</f>
        <v>#REF!</v>
      </c>
      <c r="G13" s="1">
        <v>1.0</v>
      </c>
    </row>
    <row r="14">
      <c r="A14" s="2" t="s">
        <v>281</v>
      </c>
      <c r="B14" s="2" t="s">
        <v>282</v>
      </c>
      <c r="C14" s="2" t="s">
        <v>283</v>
      </c>
      <c r="D14" s="2">
        <v>279.9</v>
      </c>
      <c r="E14" s="130">
        <v>170.0</v>
      </c>
      <c r="F14" s="2" t="str">
        <f>ROUNDUP(((($E14*'Calculadora de preço'!$B$4)+($E14*#REF!))*100)/(100-'Calculadora de preço'!$B$5), -1)</f>
        <v>#REF!</v>
      </c>
    </row>
    <row r="15">
      <c r="A15" s="2" t="s">
        <v>284</v>
      </c>
      <c r="B15" s="2" t="s">
        <v>285</v>
      </c>
      <c r="C15" s="2" t="s">
        <v>286</v>
      </c>
      <c r="D15" s="2">
        <v>279.9</v>
      </c>
      <c r="E15" s="130">
        <v>170.0</v>
      </c>
      <c r="F15" s="2" t="str">
        <f>ROUNDUP(((($E15*'Calculadora de preço'!$B$4)+($E15*#REF!))*100)/(100-'Calculadora de preço'!$B$5), -1)</f>
        <v>#REF!</v>
      </c>
    </row>
    <row r="16">
      <c r="A16" s="2" t="s">
        <v>287</v>
      </c>
      <c r="B16" s="2" t="s">
        <v>288</v>
      </c>
      <c r="C16" s="2" t="s">
        <v>289</v>
      </c>
      <c r="D16" s="2">
        <v>279.9</v>
      </c>
      <c r="E16" s="130">
        <v>170.0</v>
      </c>
      <c r="F16" s="2" t="str">
        <f>ROUNDUP(((($E16*'Calculadora de preço'!$B$4)+($E16*#REF!))*100)/(100-'Calculadora de preço'!$B$5), -1)</f>
        <v>#REF!</v>
      </c>
    </row>
    <row r="17">
      <c r="A17" s="2" t="s">
        <v>290</v>
      </c>
      <c r="B17" s="2" t="s">
        <v>291</v>
      </c>
      <c r="C17" s="2" t="s">
        <v>292</v>
      </c>
      <c r="D17" s="2">
        <v>279.9</v>
      </c>
      <c r="E17" s="130">
        <v>170.0</v>
      </c>
      <c r="F17" s="2" t="str">
        <f>ROUNDUP(((($E17*'Calculadora de preço'!$B$4)+($E17*#REF!))*100)/(100-'Calculadora de preço'!$B$5), -1)</f>
        <v>#REF!</v>
      </c>
    </row>
    <row r="18">
      <c r="A18" s="2" t="s">
        <v>293</v>
      </c>
      <c r="B18" s="2" t="s">
        <v>294</v>
      </c>
      <c r="C18" s="2" t="s">
        <v>295</v>
      </c>
      <c r="D18" s="2">
        <v>199.9</v>
      </c>
      <c r="E18" s="130">
        <v>97.28</v>
      </c>
      <c r="F18" s="2" t="str">
        <f>ROUNDUP(((($E18*'Calculadora de preço'!$B$4)+($E18*#REF!))*100)/(100-'Calculadora de preço'!$B$5), -1)</f>
        <v>#REF!</v>
      </c>
      <c r="G18" s="1">
        <v>1.0</v>
      </c>
    </row>
    <row r="19">
      <c r="A19" s="2" t="s">
        <v>296</v>
      </c>
      <c r="B19" s="2" t="s">
        <v>297</v>
      </c>
      <c r="C19" s="2" t="s">
        <v>298</v>
      </c>
      <c r="D19" s="2">
        <v>199.9</v>
      </c>
      <c r="E19" s="130">
        <v>97.28</v>
      </c>
      <c r="F19" s="2" t="str">
        <f>ROUNDUP(((($E19*'Calculadora de preço'!$B$4)+($E19*#REF!))*100)/(100-'Calculadora de preço'!$B$5), -1)</f>
        <v>#REF!</v>
      </c>
    </row>
    <row r="20">
      <c r="A20" s="2" t="s">
        <v>299</v>
      </c>
      <c r="B20" s="2" t="s">
        <v>300</v>
      </c>
      <c r="C20" s="2" t="s">
        <v>301</v>
      </c>
      <c r="D20" s="2">
        <v>199.9</v>
      </c>
      <c r="E20" s="130">
        <v>97.28</v>
      </c>
      <c r="F20" s="2" t="str">
        <f>ROUNDUP(((($E20*'Calculadora de preço'!$B$4)+($E20*#REF!))*100)/(100-'Calculadora de preço'!$B$5), -1)</f>
        <v>#REF!</v>
      </c>
    </row>
    <row r="21">
      <c r="A21" s="2" t="s">
        <v>302</v>
      </c>
      <c r="B21" s="2" t="s">
        <v>303</v>
      </c>
      <c r="C21" s="2" t="s">
        <v>304</v>
      </c>
      <c r="D21" s="2">
        <v>199.9</v>
      </c>
      <c r="E21" s="130">
        <v>97.28</v>
      </c>
      <c r="F21" s="2" t="str">
        <f>ROUNDUP(((($E21*'Calculadora de preço'!$B$4)+($E21*#REF!))*100)/(100-'Calculadora de preço'!$B$5), -1)</f>
        <v>#REF!</v>
      </c>
    </row>
    <row r="22">
      <c r="A22" s="2" t="s">
        <v>305</v>
      </c>
      <c r="B22" s="2" t="s">
        <v>306</v>
      </c>
      <c r="C22" s="2" t="s">
        <v>307</v>
      </c>
      <c r="D22" s="2">
        <v>199.9</v>
      </c>
      <c r="E22" s="130">
        <v>97.28</v>
      </c>
      <c r="F22" s="2" t="str">
        <f>ROUNDUP(((($E22*'Calculadora de preço'!$B$4)+($E22*#REF!))*100)/(100-'Calculadora de preço'!$B$5), -1)</f>
        <v>#REF!</v>
      </c>
    </row>
    <row r="23">
      <c r="A23" s="2" t="s">
        <v>308</v>
      </c>
      <c r="B23" s="2" t="s">
        <v>309</v>
      </c>
      <c r="C23" s="2" t="s">
        <v>310</v>
      </c>
      <c r="D23" s="2">
        <v>199.9</v>
      </c>
      <c r="E23" s="130">
        <v>97.28</v>
      </c>
      <c r="F23" s="2" t="str">
        <f>ROUNDUP(((($E23*'Calculadora de preço'!$B$4)+($E23*#REF!))*100)/(100-'Calculadora de preço'!$B$5), -1)</f>
        <v>#REF!</v>
      </c>
    </row>
    <row r="24">
      <c r="A24" s="2" t="s">
        <v>311</v>
      </c>
      <c r="B24" s="2" t="s">
        <v>312</v>
      </c>
      <c r="C24" s="2" t="s">
        <v>313</v>
      </c>
      <c r="D24" s="2">
        <v>199.9</v>
      </c>
      <c r="E24" s="130">
        <v>97.28</v>
      </c>
      <c r="F24" s="2" t="str">
        <f>ROUNDUP(((($E24*'Calculadora de preço'!$B$4)+($E24*#REF!))*100)/(100-'Calculadora de preço'!$B$5), -1)</f>
        <v>#REF!</v>
      </c>
    </row>
    <row r="25">
      <c r="A25" s="2" t="s">
        <v>314</v>
      </c>
      <c r="B25" s="2" t="s">
        <v>315</v>
      </c>
      <c r="C25" s="2" t="s">
        <v>316</v>
      </c>
      <c r="D25" s="2">
        <v>199.9</v>
      </c>
      <c r="E25" s="130">
        <v>97.28</v>
      </c>
      <c r="F25" s="2" t="str">
        <f>ROUNDUP(((($E25*'Calculadora de preço'!$B$4)+($E25*#REF!))*100)/(100-'Calculadora de preço'!$B$5), -1)</f>
        <v>#REF!</v>
      </c>
    </row>
    <row r="26">
      <c r="A26" s="2" t="s">
        <v>317</v>
      </c>
      <c r="B26" s="2" t="s">
        <v>318</v>
      </c>
      <c r="C26" s="2" t="s">
        <v>319</v>
      </c>
      <c r="D26" s="2">
        <v>199.9</v>
      </c>
      <c r="E26" s="130">
        <v>97.28</v>
      </c>
      <c r="F26" s="2" t="str">
        <f>ROUNDUP(((($E26*'Calculadora de preço'!$B$4)+($E26*#REF!))*100)/(100-'Calculadora de preço'!$B$5), -1)</f>
        <v>#REF!</v>
      </c>
    </row>
    <row r="27">
      <c r="A27" s="2" t="s">
        <v>320</v>
      </c>
      <c r="B27" s="2" t="s">
        <v>321</v>
      </c>
      <c r="C27" s="2" t="s">
        <v>322</v>
      </c>
      <c r="D27" s="2">
        <v>199.9</v>
      </c>
      <c r="E27" s="130">
        <v>97.28</v>
      </c>
      <c r="F27" s="2" t="str">
        <f>ROUNDUP(((($E27*'Calculadora de preço'!$B$4)+($E27*#REF!))*100)/(100-'Calculadora de preço'!$B$5), -1)</f>
        <v>#REF!</v>
      </c>
    </row>
    <row r="28">
      <c r="A28" s="2" t="s">
        <v>323</v>
      </c>
      <c r="B28" s="2" t="s">
        <v>324</v>
      </c>
      <c r="C28" s="2" t="s">
        <v>325</v>
      </c>
      <c r="D28" s="2">
        <v>449.9</v>
      </c>
      <c r="E28" s="130">
        <v>275.0</v>
      </c>
      <c r="F28" s="2" t="str">
        <f>ROUNDUP(((($E28*'Calculadora de preço'!$B$4)+($E28*#REF!))*100)/(100-'Calculadora de preço'!$B$5), -1)</f>
        <v>#REF!</v>
      </c>
      <c r="G28" s="1">
        <v>1.0</v>
      </c>
    </row>
    <row r="29">
      <c r="A29" s="2" t="s">
        <v>326</v>
      </c>
      <c r="B29" s="2" t="s">
        <v>327</v>
      </c>
      <c r="C29" s="2" t="s">
        <v>328</v>
      </c>
      <c r="D29" s="2">
        <v>449.9</v>
      </c>
      <c r="E29" s="130">
        <v>275.0</v>
      </c>
      <c r="F29" s="2" t="str">
        <f>ROUNDUP(((($E29*'Calculadora de preço'!$B$4)+($E29*#REF!))*100)/(100-'Calculadora de preço'!$B$5), -1)</f>
        <v>#REF!</v>
      </c>
    </row>
    <row r="30">
      <c r="A30" s="2" t="s">
        <v>329</v>
      </c>
      <c r="B30" s="2" t="s">
        <v>330</v>
      </c>
      <c r="C30" s="2" t="s">
        <v>331</v>
      </c>
      <c r="D30" s="2">
        <v>449.9</v>
      </c>
      <c r="E30" s="130">
        <v>275.0</v>
      </c>
      <c r="F30" s="2" t="str">
        <f>ROUNDUP(((($E30*'Calculadora de preço'!$B$4)+($E30*#REF!))*100)/(100-'Calculadora de preço'!$B$5), -1)</f>
        <v>#REF!</v>
      </c>
    </row>
    <row r="31">
      <c r="A31" s="2" t="s">
        <v>332</v>
      </c>
      <c r="B31" s="2" t="s">
        <v>333</v>
      </c>
      <c r="C31" s="2" t="s">
        <v>334</v>
      </c>
      <c r="D31" s="2">
        <v>449.9</v>
      </c>
      <c r="E31" s="130">
        <v>275.0</v>
      </c>
      <c r="F31" s="2" t="str">
        <f>ROUNDUP(((($E31*'Calculadora de preço'!$B$4)+($E31*#REF!))*100)/(100-'Calculadora de preço'!$B$5), -1)</f>
        <v>#REF!</v>
      </c>
    </row>
    <row r="32">
      <c r="A32" s="2" t="s">
        <v>335</v>
      </c>
      <c r="B32" s="2" t="s">
        <v>336</v>
      </c>
      <c r="C32" s="2" t="s">
        <v>337</v>
      </c>
      <c r="D32" s="2">
        <v>449.9</v>
      </c>
      <c r="E32" s="130">
        <v>275.0</v>
      </c>
      <c r="F32" s="2" t="str">
        <f>ROUNDUP(((($E32*'Calculadora de preço'!$B$4)+($E32*#REF!))*100)/(100-'Calculadora de preço'!$B$5), -1)</f>
        <v>#REF!</v>
      </c>
    </row>
    <row r="33">
      <c r="A33" s="2" t="s">
        <v>338</v>
      </c>
      <c r="B33" s="2" t="s">
        <v>339</v>
      </c>
      <c r="C33" s="2" t="s">
        <v>340</v>
      </c>
      <c r="D33" s="2">
        <v>479.9</v>
      </c>
      <c r="E33" s="130">
        <v>290.0</v>
      </c>
      <c r="F33" s="2" t="str">
        <f>ROUNDUP(((($E33*'Calculadora de preço'!$B$4)+($E33*#REF!))*100)/(100-'Calculadora de preço'!$B$5), -1)</f>
        <v>#REF!</v>
      </c>
      <c r="G33" s="1">
        <v>1.0</v>
      </c>
    </row>
    <row r="34">
      <c r="A34" s="2" t="s">
        <v>341</v>
      </c>
      <c r="B34" s="2" t="s">
        <v>342</v>
      </c>
      <c r="C34" s="2" t="s">
        <v>343</v>
      </c>
      <c r="D34" s="2">
        <v>479.9</v>
      </c>
      <c r="E34" s="130">
        <v>290.0</v>
      </c>
      <c r="F34" s="2" t="str">
        <f>ROUNDUP(((($E34*'Calculadora de preço'!$B$4)+($E34*#REF!))*100)/(100-'Calculadora de preço'!$B$5), -1)</f>
        <v>#REF!</v>
      </c>
    </row>
    <row r="35">
      <c r="A35" s="2" t="s">
        <v>344</v>
      </c>
      <c r="B35" s="2" t="s">
        <v>345</v>
      </c>
      <c r="C35" s="2" t="s">
        <v>346</v>
      </c>
      <c r="D35" s="2">
        <v>479.9</v>
      </c>
      <c r="E35" s="130">
        <v>290.0</v>
      </c>
      <c r="F35" s="2" t="str">
        <f>ROUNDUP(((($E35*'Calculadora de preço'!$B$4)+($E35*#REF!))*100)/(100-'Calculadora de preço'!$B$5), -1)</f>
        <v>#REF!</v>
      </c>
    </row>
    <row r="36">
      <c r="A36" s="2" t="s">
        <v>347</v>
      </c>
      <c r="B36" s="2" t="s">
        <v>348</v>
      </c>
      <c r="C36" s="2" t="s">
        <v>349</v>
      </c>
      <c r="D36" s="2">
        <v>479.9</v>
      </c>
      <c r="E36" s="130">
        <v>290.0</v>
      </c>
      <c r="F36" s="2" t="str">
        <f>ROUNDUP(((($E36*'Calculadora de preço'!$B$4)+($E36*#REF!))*100)/(100-'Calculadora de preço'!$B$5), -1)</f>
        <v>#REF!</v>
      </c>
    </row>
    <row r="37">
      <c r="A37" s="2" t="s">
        <v>350</v>
      </c>
      <c r="B37" s="2" t="s">
        <v>351</v>
      </c>
      <c r="C37" s="2" t="s">
        <v>352</v>
      </c>
      <c r="D37" s="2">
        <v>479.9</v>
      </c>
      <c r="E37" s="130">
        <v>290.0</v>
      </c>
      <c r="F37" s="2" t="str">
        <f>ROUNDUP(((($E37*'Calculadora de preço'!$B$4)+($E37*#REF!))*100)/(100-'Calculadora de preço'!$B$5), -1)</f>
        <v>#REF!</v>
      </c>
    </row>
    <row r="38">
      <c r="A38" s="2" t="s">
        <v>353</v>
      </c>
      <c r="B38" s="2" t="s">
        <v>354</v>
      </c>
      <c r="C38" s="2" t="s">
        <v>355</v>
      </c>
      <c r="D38" s="2">
        <v>479.9</v>
      </c>
      <c r="E38" s="130">
        <v>290.0</v>
      </c>
      <c r="F38" s="2" t="str">
        <f>ROUNDUP(((($E38*'Calculadora de preço'!$B$4)+($E38*#REF!))*100)/(100-'Calculadora de preço'!$B$5), -1)</f>
        <v>#REF!</v>
      </c>
      <c r="G38" s="1">
        <v>1.0</v>
      </c>
    </row>
    <row r="39">
      <c r="A39" s="2" t="s">
        <v>356</v>
      </c>
      <c r="B39" s="2" t="s">
        <v>357</v>
      </c>
      <c r="C39" s="2" t="s">
        <v>358</v>
      </c>
      <c r="D39" s="2">
        <v>479.9</v>
      </c>
      <c r="E39" s="130">
        <v>290.0</v>
      </c>
      <c r="F39" s="2" t="str">
        <f>ROUNDUP(((($E39*'Calculadora de preço'!$B$4)+($E39*#REF!))*100)/(100-'Calculadora de preço'!$B$5), -1)</f>
        <v>#REF!</v>
      </c>
    </row>
    <row r="40">
      <c r="A40" s="2" t="s">
        <v>359</v>
      </c>
      <c r="B40" s="2" t="s">
        <v>360</v>
      </c>
      <c r="C40" s="2" t="s">
        <v>361</v>
      </c>
      <c r="D40" s="2">
        <v>479.9</v>
      </c>
      <c r="E40" s="130">
        <v>290.0</v>
      </c>
      <c r="F40" s="2" t="str">
        <f>ROUNDUP(((($E40*'Calculadora de preço'!$B$4)+($E40*#REF!))*100)/(100-'Calculadora de preço'!$B$5), -1)</f>
        <v>#REF!</v>
      </c>
    </row>
    <row r="41">
      <c r="A41" s="2" t="s">
        <v>362</v>
      </c>
      <c r="B41" s="2" t="s">
        <v>363</v>
      </c>
      <c r="C41" s="2" t="s">
        <v>364</v>
      </c>
      <c r="D41" s="2">
        <v>479.9</v>
      </c>
      <c r="E41" s="130">
        <v>290.0</v>
      </c>
      <c r="F41" s="2" t="str">
        <f>ROUNDUP(((($E41*'Calculadora de preço'!$B$4)+($E41*#REF!))*100)/(100-'Calculadora de preço'!$B$5), -1)</f>
        <v>#REF!</v>
      </c>
    </row>
    <row r="42">
      <c r="A42" s="2" t="s">
        <v>365</v>
      </c>
      <c r="B42" s="2" t="s">
        <v>366</v>
      </c>
      <c r="C42" s="2" t="s">
        <v>367</v>
      </c>
      <c r="D42" s="2">
        <v>479.9</v>
      </c>
      <c r="E42" s="130">
        <v>290.0</v>
      </c>
      <c r="F42" s="2" t="str">
        <f>ROUNDUP(((($E42*'Calculadora de preço'!$B$4)+($E42*#REF!))*100)/(100-'Calculadora de preço'!$B$5), -1)</f>
        <v>#REF!</v>
      </c>
    </row>
    <row r="43">
      <c r="A43" s="2" t="s">
        <v>368</v>
      </c>
      <c r="B43" s="2" t="s">
        <v>369</v>
      </c>
      <c r="C43" s="2" t="s">
        <v>370</v>
      </c>
      <c r="D43" s="2">
        <v>449.9</v>
      </c>
      <c r="E43" s="130">
        <v>275.0</v>
      </c>
      <c r="F43" s="2" t="str">
        <f>ROUNDUP(((($E43*'Calculadora de preço'!$B$4)+($E43*#REF!))*100)/(100-'Calculadora de preço'!$B$5), -1)</f>
        <v>#REF!</v>
      </c>
      <c r="G43" s="1">
        <v>1.0</v>
      </c>
    </row>
    <row r="44">
      <c r="A44" s="2" t="s">
        <v>371</v>
      </c>
      <c r="B44" s="2" t="s">
        <v>372</v>
      </c>
      <c r="C44" s="2" t="s">
        <v>373</v>
      </c>
      <c r="D44" s="2">
        <v>449.9</v>
      </c>
      <c r="E44" s="130">
        <v>275.0</v>
      </c>
      <c r="F44" s="2" t="str">
        <f>ROUNDUP(((($E44*'Calculadora de preço'!$B$4)+($E44*#REF!))*100)/(100-'Calculadora de preço'!$B$5), -1)</f>
        <v>#REF!</v>
      </c>
    </row>
    <row r="45">
      <c r="A45" s="2" t="s">
        <v>374</v>
      </c>
      <c r="B45" s="2" t="s">
        <v>375</v>
      </c>
      <c r="C45" s="2" t="s">
        <v>376</v>
      </c>
      <c r="D45" s="2">
        <v>449.9</v>
      </c>
      <c r="E45" s="130">
        <v>275.0</v>
      </c>
      <c r="F45" s="2" t="str">
        <f>ROUNDUP(((($E45*'Calculadora de preço'!$B$4)+($E45*#REF!))*100)/(100-'Calculadora de preço'!$B$5), -1)</f>
        <v>#REF!</v>
      </c>
    </row>
    <row r="46">
      <c r="A46" s="2" t="s">
        <v>377</v>
      </c>
      <c r="B46" s="2" t="s">
        <v>378</v>
      </c>
      <c r="C46" s="2" t="s">
        <v>379</v>
      </c>
      <c r="D46" s="2">
        <v>449.9</v>
      </c>
      <c r="E46" s="130">
        <v>275.0</v>
      </c>
      <c r="F46" s="2" t="str">
        <f>ROUNDUP(((($E46*'Calculadora de preço'!$B$4)+($E46*#REF!))*100)/(100-'Calculadora de preço'!$B$5), -1)</f>
        <v>#REF!</v>
      </c>
    </row>
    <row r="47">
      <c r="A47" s="2" t="s">
        <v>380</v>
      </c>
      <c r="B47" s="2" t="s">
        <v>381</v>
      </c>
      <c r="C47" s="2" t="s">
        <v>382</v>
      </c>
      <c r="D47" s="2">
        <v>449.9</v>
      </c>
      <c r="E47" s="130">
        <v>275.0</v>
      </c>
      <c r="F47" s="2" t="str">
        <f>ROUNDUP(((($E47*'Calculadora de preço'!$B$4)+($E47*#REF!))*100)/(100-'Calculadora de preço'!$B$5), -1)</f>
        <v>#REF!</v>
      </c>
    </row>
    <row r="48">
      <c r="A48" s="2" t="s">
        <v>383</v>
      </c>
      <c r="B48" s="2" t="s">
        <v>384</v>
      </c>
      <c r="C48" s="2" t="s">
        <v>385</v>
      </c>
      <c r="D48" s="2">
        <v>359.9</v>
      </c>
      <c r="E48" s="130">
        <v>219.0</v>
      </c>
      <c r="F48" s="2" t="str">
        <f>ROUNDUP(((($E48*'Calculadora de preço'!$B$4)+($E48*#REF!))*100)/(100-'Calculadora de preço'!$B$5), -1)</f>
        <v>#REF!</v>
      </c>
      <c r="G48" s="1">
        <v>1.0</v>
      </c>
    </row>
    <row r="49">
      <c r="A49" s="2" t="s">
        <v>386</v>
      </c>
      <c r="B49" s="2" t="s">
        <v>387</v>
      </c>
      <c r="C49" s="2" t="s">
        <v>388</v>
      </c>
      <c r="D49" s="2">
        <v>359.9</v>
      </c>
      <c r="E49" s="130">
        <v>219.0</v>
      </c>
      <c r="F49" s="2" t="str">
        <f>ROUNDUP(((($E49*'Calculadora de preço'!$B$4)+($E49*#REF!))*100)/(100-'Calculadora de preço'!$B$5), -1)</f>
        <v>#REF!</v>
      </c>
    </row>
    <row r="50">
      <c r="A50" s="2" t="s">
        <v>389</v>
      </c>
      <c r="B50" s="2" t="s">
        <v>390</v>
      </c>
      <c r="C50" s="2" t="s">
        <v>391</v>
      </c>
      <c r="D50" s="2">
        <v>359.9</v>
      </c>
      <c r="E50" s="130">
        <v>219.0</v>
      </c>
      <c r="F50" s="2" t="str">
        <f>ROUNDUP(((($E50*'Calculadora de preço'!$B$4)+($E50*#REF!))*100)/(100-'Calculadora de preço'!$B$5), -1)</f>
        <v>#REF!</v>
      </c>
    </row>
    <row r="51">
      <c r="A51" s="2" t="s">
        <v>392</v>
      </c>
      <c r="B51" s="2" t="s">
        <v>393</v>
      </c>
      <c r="C51" s="2" t="s">
        <v>394</v>
      </c>
      <c r="D51" s="2">
        <v>359.9</v>
      </c>
      <c r="E51" s="130">
        <v>219.0</v>
      </c>
      <c r="F51" s="2" t="str">
        <f>ROUNDUP(((($E51*'Calculadora de preço'!$B$4)+($E51*#REF!))*100)/(100-'Calculadora de preço'!$B$5), -1)</f>
        <v>#REF!</v>
      </c>
    </row>
    <row r="52">
      <c r="A52" s="2" t="s">
        <v>395</v>
      </c>
      <c r="B52" s="2" t="s">
        <v>396</v>
      </c>
      <c r="C52" s="2" t="s">
        <v>397</v>
      </c>
      <c r="D52" s="2">
        <v>359.9</v>
      </c>
      <c r="E52" s="130">
        <v>219.0</v>
      </c>
      <c r="F52" s="2" t="str">
        <f>ROUNDUP(((($E52*'Calculadora de preço'!$B$4)+($E52*#REF!))*100)/(100-'Calculadora de preço'!$B$5), -1)</f>
        <v>#REF!</v>
      </c>
    </row>
    <row r="53">
      <c r="A53" s="2" t="s">
        <v>398</v>
      </c>
      <c r="B53" s="2" t="s">
        <v>399</v>
      </c>
      <c r="C53" s="2" t="s">
        <v>400</v>
      </c>
      <c r="D53" s="2">
        <v>359.9</v>
      </c>
      <c r="E53" s="130">
        <v>219.0</v>
      </c>
      <c r="F53" s="2" t="str">
        <f>ROUNDUP(((($E53*'Calculadora de preço'!$B$4)+($E53*#REF!))*100)/(100-'Calculadora de preço'!$B$5), -1)</f>
        <v>#REF!</v>
      </c>
    </row>
    <row r="54">
      <c r="A54" s="2" t="s">
        <v>401</v>
      </c>
      <c r="B54" s="2" t="s">
        <v>402</v>
      </c>
      <c r="D54" s="2">
        <v>29.9</v>
      </c>
      <c r="E54" s="130">
        <v>11.51</v>
      </c>
      <c r="F54" s="2" t="str">
        <f>ROUNDUP(((($E54*'Calculadora de preço'!$B$4)+($E54*#REF!))*100)/(100-'Calculadora de preço'!$B$5), -1)</f>
        <v>#REF!</v>
      </c>
    </row>
    <row r="55">
      <c r="A55" s="2" t="s">
        <v>403</v>
      </c>
      <c r="B55" s="2" t="s">
        <v>404</v>
      </c>
      <c r="D55" s="2">
        <v>14.9</v>
      </c>
      <c r="E55" s="130">
        <v>5.5</v>
      </c>
      <c r="F55" s="2" t="str">
        <f>ROUNDUP(((($E55*'Calculadora de preço'!$B$4)+($E55*#REF!))*100)/(100-'Calculadora de preço'!$B$5), -1)</f>
        <v>#REF!</v>
      </c>
    </row>
    <row r="56">
      <c r="A56" s="2" t="s">
        <v>405</v>
      </c>
      <c r="B56" s="2" t="s">
        <v>406</v>
      </c>
      <c r="D56" s="2">
        <v>14.9</v>
      </c>
      <c r="E56" s="130">
        <v>5.5</v>
      </c>
      <c r="F56" s="2" t="str">
        <f>ROUNDUP(((($E56*'Calculadora de preço'!$B$4)+($E56*#REF!))*100)/(100-'Calculadora de preço'!$B$5), -1)</f>
        <v>#REF!</v>
      </c>
    </row>
    <row r="57">
      <c r="A57" s="2" t="s">
        <v>407</v>
      </c>
      <c r="B57" s="2" t="s">
        <v>408</v>
      </c>
      <c r="D57" s="2">
        <v>14.9</v>
      </c>
      <c r="E57" s="130">
        <v>5.5</v>
      </c>
      <c r="F57" s="2" t="str">
        <f>ROUNDUP(((($E57*'Calculadora de preço'!$B$4)+($E57*#REF!))*100)/(100-'Calculadora de preço'!$B$5), -1)</f>
        <v>#REF!</v>
      </c>
    </row>
    <row r="58">
      <c r="A58" s="2" t="s">
        <v>409</v>
      </c>
      <c r="B58" s="2" t="s">
        <v>410</v>
      </c>
      <c r="D58" s="2">
        <v>14.9</v>
      </c>
      <c r="E58" s="130">
        <v>5.5</v>
      </c>
      <c r="F58" s="2" t="str">
        <f>ROUNDUP(((($E58*'Calculadora de preço'!$B$4)+($E58*#REF!))*100)/(100-'Calculadora de preço'!$B$5), -1)</f>
        <v>#REF!</v>
      </c>
    </row>
    <row r="59">
      <c r="A59" s="2" t="s">
        <v>411</v>
      </c>
      <c r="B59" s="2" t="s">
        <v>412</v>
      </c>
      <c r="D59" s="2">
        <v>14.9</v>
      </c>
      <c r="E59" s="130">
        <v>5.5</v>
      </c>
      <c r="F59" s="2" t="str">
        <f>ROUNDUP(((($E59*'Calculadora de preço'!$B$4)+($E59*#REF!))*100)/(100-'Calculadora de preço'!$B$5), -1)</f>
        <v>#REF!</v>
      </c>
    </row>
    <row r="60">
      <c r="A60" s="2" t="s">
        <v>413</v>
      </c>
      <c r="B60" s="2" t="s">
        <v>414</v>
      </c>
      <c r="D60" s="2">
        <v>14.9</v>
      </c>
      <c r="E60" s="130">
        <v>5.5</v>
      </c>
      <c r="F60" s="2" t="str">
        <f>ROUNDUP(((($E60*'Calculadora de preço'!$B$4)+($E60*#REF!))*100)/(100-'Calculadora de preço'!$B$5), -1)</f>
        <v>#REF!</v>
      </c>
    </row>
    <row r="61">
      <c r="A61" s="2" t="s">
        <v>415</v>
      </c>
      <c r="B61" s="2" t="s">
        <v>416</v>
      </c>
      <c r="D61" s="2">
        <v>14.9</v>
      </c>
      <c r="E61" s="130">
        <v>5.5</v>
      </c>
      <c r="F61" s="2" t="str">
        <f>ROUNDUP(((($E61*'Calculadora de preço'!$B$4)+($E61*#REF!))*100)/(100-'Calculadora de preço'!$B$5), -1)</f>
        <v>#REF!</v>
      </c>
    </row>
    <row r="62">
      <c r="A62" s="2" t="s">
        <v>418</v>
      </c>
      <c r="B62" s="2" t="s">
        <v>419</v>
      </c>
      <c r="D62" s="2">
        <v>14.9</v>
      </c>
      <c r="E62" s="130">
        <v>5.5</v>
      </c>
      <c r="F62" s="2" t="str">
        <f>ROUNDUP(((($E62*'Calculadora de preço'!$B$4)+($E62*#REF!))*100)/(100-'Calculadora de preço'!$B$5), -1)</f>
        <v>#REF!</v>
      </c>
    </row>
    <row r="63">
      <c r="A63" s="2" t="s">
        <v>420</v>
      </c>
      <c r="B63" s="2" t="s">
        <v>421</v>
      </c>
      <c r="D63" s="2">
        <v>14.9</v>
      </c>
      <c r="E63" s="130">
        <v>4.95</v>
      </c>
      <c r="F63" s="2" t="str">
        <f>ROUNDUP(((($E63*'Calculadora de preço'!$B$4)+($E63*#REF!))*100)/(100-'Calculadora de preço'!$B$5), -1)</f>
        <v>#REF!</v>
      </c>
    </row>
    <row r="64">
      <c r="A64" s="2" t="s">
        <v>422</v>
      </c>
      <c r="B64" s="2" t="s">
        <v>423</v>
      </c>
      <c r="D64" s="2">
        <v>14.9</v>
      </c>
      <c r="E64" s="130">
        <v>0.0</v>
      </c>
      <c r="F64" s="2" t="str">
        <f>ROUNDUP(((($E64*'Calculadora de preço'!$B$4)+($E64*#REF!))*100)/(100-'Calculadora de preço'!$B$5), -1)</f>
        <v>#REF!</v>
      </c>
    </row>
    <row r="65">
      <c r="A65" s="2" t="s">
        <v>424</v>
      </c>
      <c r="B65" s="2" t="s">
        <v>425</v>
      </c>
      <c r="D65" s="2">
        <v>499.9</v>
      </c>
      <c r="E65" s="130">
        <v>291.45</v>
      </c>
      <c r="F65" s="2" t="str">
        <f>ROUNDUP(((($E65*'Calculadora de preço'!$B$4)+($E65*#REF!))*100)/(100-'Calculadora de preço'!$B$5), -1)</f>
        <v>#REF!</v>
      </c>
      <c r="G65" s="1">
        <v>1.0</v>
      </c>
    </row>
    <row r="66">
      <c r="A66" s="2" t="s">
        <v>426</v>
      </c>
      <c r="B66" s="2" t="s">
        <v>427</v>
      </c>
      <c r="D66" s="2">
        <v>119.9</v>
      </c>
      <c r="E66" s="130">
        <v>48.9</v>
      </c>
      <c r="F66" s="2" t="str">
        <f>ROUNDUP(((($E66*'Calculadora de preço'!$B$4)+($E66*#REF!))*100)/(100-'Calculadora de preço'!$B$5), -1)</f>
        <v>#REF!</v>
      </c>
      <c r="G66" s="1">
        <v>1.0</v>
      </c>
    </row>
    <row r="67">
      <c r="A67" s="2" t="s">
        <v>428</v>
      </c>
      <c r="B67" s="2" t="s">
        <v>429</v>
      </c>
      <c r="D67" s="2">
        <v>119.9</v>
      </c>
      <c r="E67" s="130">
        <v>48.9</v>
      </c>
      <c r="F67" s="2" t="str">
        <f>ROUNDUP(((($E67*'Calculadora de preço'!$B$4)+($E67*#REF!))*100)/(100-'Calculadora de preço'!$B$5), -1)</f>
        <v>#REF!</v>
      </c>
    </row>
    <row r="68">
      <c r="A68" s="2" t="s">
        <v>430</v>
      </c>
      <c r="B68" s="2" t="s">
        <v>431</v>
      </c>
      <c r="D68" s="2">
        <v>119.9</v>
      </c>
      <c r="E68" s="130">
        <v>48.9</v>
      </c>
      <c r="F68" s="2" t="str">
        <f>ROUNDUP(((($E68*'Calculadora de preço'!$B$4)+($E68*#REF!))*100)/(100-'Calculadora de preço'!$B$5), -1)</f>
        <v>#REF!</v>
      </c>
    </row>
    <row r="69">
      <c r="A69" s="2" t="s">
        <v>432</v>
      </c>
      <c r="B69" s="2" t="s">
        <v>433</v>
      </c>
      <c r="D69" s="2">
        <v>95.9</v>
      </c>
      <c r="E69" s="130">
        <v>39.9</v>
      </c>
      <c r="F69" s="2" t="str">
        <f>ROUNDUP(((($E69*'Calculadora de preço'!$B$4)+($E69*#REF!))*100)/(100-'Calculadora de preço'!$B$5), -1)</f>
        <v>#REF!</v>
      </c>
      <c r="G69" s="1">
        <v>1.0</v>
      </c>
    </row>
    <row r="70">
      <c r="A70" s="2" t="s">
        <v>434</v>
      </c>
      <c r="B70" s="2" t="s">
        <v>435</v>
      </c>
      <c r="D70" s="2">
        <v>29.99</v>
      </c>
      <c r="E70" s="130">
        <v>10.34</v>
      </c>
      <c r="F70" s="2" t="str">
        <f>ROUNDUP(((($E70*'Calculadora de preço'!$B$4)+($E70*#REF!))*100)/(100-'Calculadora de preço'!$B$5), -1)</f>
        <v>#REF!</v>
      </c>
      <c r="G70" s="1">
        <v>1.0</v>
      </c>
    </row>
    <row r="71">
      <c r="A71" s="2" t="s">
        <v>436</v>
      </c>
      <c r="B71" s="2" t="s">
        <v>437</v>
      </c>
      <c r="D71" s="2">
        <v>59.9</v>
      </c>
      <c r="E71" s="130">
        <v>27.64</v>
      </c>
      <c r="F71" s="2" t="str">
        <f>ROUNDUP(((($E71*'Calculadora de preço'!$B$4)+($E71*#REF!))*100)/(100-'Calculadora de preço'!$B$5), -1)</f>
        <v>#REF!</v>
      </c>
    </row>
    <row r="72">
      <c r="A72" s="2" t="s">
        <v>438</v>
      </c>
      <c r="B72" s="2" t="s">
        <v>439</v>
      </c>
      <c r="D72" s="2">
        <v>65.9</v>
      </c>
      <c r="E72" s="130">
        <v>26.9</v>
      </c>
      <c r="F72" s="2" t="str">
        <f>ROUNDUP(((($E72*'Calculadora de preço'!$B$4)+($E72*#REF!))*100)/(100-'Calculadora de preço'!$B$5), -1)</f>
        <v>#REF!</v>
      </c>
    </row>
    <row r="73">
      <c r="A73" s="2" t="s">
        <v>440</v>
      </c>
      <c r="B73" s="2" t="s">
        <v>441</v>
      </c>
      <c r="D73" s="2">
        <v>85.0</v>
      </c>
      <c r="E73" s="130">
        <v>35.0</v>
      </c>
      <c r="F73" s="2" t="str">
        <f>ROUNDUP(((($E73*'Calculadora de preço'!$B$4)+($E73*#REF!))*100)/(100-'Calculadora de preço'!$B$5), -1)</f>
        <v>#REF!</v>
      </c>
    </row>
    <row r="74">
      <c r="A74" s="2" t="s">
        <v>442</v>
      </c>
      <c r="B74" s="2" t="s">
        <v>443</v>
      </c>
      <c r="D74" s="2">
        <v>75.0</v>
      </c>
      <c r="E74" s="130">
        <v>30.0</v>
      </c>
      <c r="F74" s="2" t="str">
        <f>ROUNDUP(((($E74*'Calculadora de preço'!$B$4)+($E74*#REF!))*100)/(100-'Calculadora de preço'!$B$5), -1)</f>
        <v>#REF!</v>
      </c>
    </row>
    <row r="75">
      <c r="A75" s="2" t="s">
        <v>444</v>
      </c>
      <c r="B75" s="2" t="s">
        <v>445</v>
      </c>
      <c r="D75" s="2">
        <v>49.9</v>
      </c>
      <c r="E75" s="130">
        <v>20.0</v>
      </c>
      <c r="F75" s="2" t="str">
        <f>ROUNDUP(((($E75*'Calculadora de preço'!$B$4)+($E75*#REF!))*100)/(100-'Calculadora de preço'!$B$5), -1)</f>
        <v>#REF!</v>
      </c>
    </row>
    <row r="76">
      <c r="A76" s="2" t="s">
        <v>446</v>
      </c>
      <c r="B76" s="2" t="s">
        <v>447</v>
      </c>
      <c r="C76" s="2" t="s">
        <v>448</v>
      </c>
      <c r="D76" s="2">
        <v>179.9</v>
      </c>
      <c r="E76" s="130">
        <v>81.75</v>
      </c>
      <c r="F76" s="2" t="str">
        <f>ROUNDUP(((($E76*'Calculadora de preço'!$B$4)+($E76*#REF!))*100)/(100-'Calculadora de preço'!$B$5), -1)</f>
        <v>#REF!</v>
      </c>
    </row>
    <row r="77">
      <c r="A77" s="2" t="s">
        <v>449</v>
      </c>
      <c r="B77" s="2" t="s">
        <v>450</v>
      </c>
      <c r="C77" s="2" t="s">
        <v>451</v>
      </c>
      <c r="D77" s="2">
        <v>179.9</v>
      </c>
      <c r="E77" s="130">
        <v>81.75</v>
      </c>
      <c r="F77" s="2" t="str">
        <f>ROUNDUP(((($E77*'Calculadora de preço'!$B$4)+($E77*#REF!))*100)/(100-'Calculadora de preço'!$B$5), -1)</f>
        <v>#REF!</v>
      </c>
    </row>
    <row r="78">
      <c r="A78" s="2" t="s">
        <v>452</v>
      </c>
      <c r="B78" s="2" t="s">
        <v>453</v>
      </c>
      <c r="C78" s="2" t="s">
        <v>454</v>
      </c>
      <c r="D78" s="2">
        <v>179.9</v>
      </c>
      <c r="E78" s="130">
        <v>81.75</v>
      </c>
      <c r="F78" s="2" t="str">
        <f>ROUNDUP(((($E78*'Calculadora de preço'!$B$4)+($E78*#REF!))*100)/(100-'Calculadora de preço'!$B$5), -1)</f>
        <v>#REF!</v>
      </c>
    </row>
    <row r="79">
      <c r="A79" s="2" t="s">
        <v>455</v>
      </c>
      <c r="B79" s="2" t="s">
        <v>456</v>
      </c>
      <c r="C79" s="2" t="s">
        <v>457</v>
      </c>
      <c r="D79" s="2">
        <v>179.9</v>
      </c>
      <c r="E79" s="130">
        <v>81.75</v>
      </c>
      <c r="F79" s="2" t="str">
        <f>ROUNDUP(((($E79*'Calculadora de preço'!$B$4)+($E79*#REF!))*100)/(100-'Calculadora de preço'!$B$5), -1)</f>
        <v>#REF!</v>
      </c>
    </row>
    <row r="80">
      <c r="A80" s="2" t="s">
        <v>458</v>
      </c>
      <c r="B80" s="2" t="s">
        <v>459</v>
      </c>
      <c r="C80" s="2" t="s">
        <v>460</v>
      </c>
      <c r="D80" s="2">
        <v>179.9</v>
      </c>
      <c r="E80" s="130">
        <v>81.75</v>
      </c>
      <c r="F80" s="2" t="str">
        <f>ROUNDUP(((($E80*'Calculadora de preço'!$B$4)+($E80*#REF!))*100)/(100-'Calculadora de preço'!$B$5), -1)</f>
        <v>#REF!</v>
      </c>
    </row>
    <row r="81">
      <c r="A81" s="2" t="s">
        <v>461</v>
      </c>
      <c r="B81" s="2" t="s">
        <v>462</v>
      </c>
      <c r="C81" s="2" t="s">
        <v>463</v>
      </c>
      <c r="D81" s="2">
        <v>189.9</v>
      </c>
      <c r="E81" s="130">
        <v>92.65</v>
      </c>
      <c r="F81" s="2" t="str">
        <f>ROUNDUP(((($E81*'Calculadora de preço'!$B$4)+($E81*#REF!))*100)/(100-'Calculadora de preço'!$B$5), -1)</f>
        <v>#REF!</v>
      </c>
    </row>
    <row r="82">
      <c r="A82" s="2" t="s">
        <v>464</v>
      </c>
      <c r="B82" s="2" t="s">
        <v>465</v>
      </c>
      <c r="C82" s="2" t="s">
        <v>466</v>
      </c>
      <c r="D82" s="2">
        <v>189.9</v>
      </c>
      <c r="E82" s="130">
        <v>92.65</v>
      </c>
      <c r="F82" s="2" t="str">
        <f>ROUNDUP(((($E82*'Calculadora de preço'!$B$4)+($E82*#REF!))*100)/(100-'Calculadora de preço'!$B$5), -1)</f>
        <v>#REF!</v>
      </c>
    </row>
    <row r="83">
      <c r="A83" s="2" t="s">
        <v>467</v>
      </c>
      <c r="B83" s="2" t="s">
        <v>468</v>
      </c>
      <c r="C83" s="2" t="s">
        <v>469</v>
      </c>
      <c r="D83" s="2">
        <v>189.9</v>
      </c>
      <c r="E83" s="130">
        <v>92.65</v>
      </c>
      <c r="F83" s="2" t="str">
        <f>ROUNDUP(((($E83*'Calculadora de preço'!$B$4)+($E83*#REF!))*100)/(100-'Calculadora de preço'!$B$5), -1)</f>
        <v>#REF!</v>
      </c>
    </row>
    <row r="84">
      <c r="A84" s="2" t="s">
        <v>470</v>
      </c>
      <c r="B84" s="2" t="s">
        <v>471</v>
      </c>
      <c r="C84" s="2" t="s">
        <v>472</v>
      </c>
      <c r="D84" s="2">
        <v>189.9</v>
      </c>
      <c r="E84" s="130">
        <v>92.65</v>
      </c>
      <c r="F84" s="2" t="str">
        <f>ROUNDUP(((($E84*'Calculadora de preço'!$B$4)+($E84*#REF!))*100)/(100-'Calculadora de preço'!$B$5), -1)</f>
        <v>#REF!</v>
      </c>
    </row>
    <row r="85">
      <c r="A85" s="2" t="s">
        <v>473</v>
      </c>
      <c r="B85" s="2" t="s">
        <v>474</v>
      </c>
      <c r="C85" s="2" t="s">
        <v>475</v>
      </c>
      <c r="D85" s="2">
        <v>189.9</v>
      </c>
      <c r="E85" s="130">
        <v>92.65</v>
      </c>
      <c r="F85" s="2" t="str">
        <f>ROUNDUP(((($E85*'Calculadora de preço'!$B$4)+($E85*#REF!))*100)/(100-'Calculadora de preço'!$B$5), -1)</f>
        <v>#REF!</v>
      </c>
    </row>
    <row r="86">
      <c r="A86" s="2" t="s">
        <v>476</v>
      </c>
      <c r="B86" s="2" t="s">
        <v>477</v>
      </c>
      <c r="C86" s="2" t="s">
        <v>478</v>
      </c>
      <c r="D86" s="2">
        <v>189.9</v>
      </c>
      <c r="E86" s="130">
        <v>92.65</v>
      </c>
      <c r="F86" s="2" t="str">
        <f>ROUNDUP(((($E86*'Calculadora de preço'!$B$4)+($E86*#REF!))*100)/(100-'Calculadora de preço'!$B$5), -1)</f>
        <v>#REF!</v>
      </c>
    </row>
    <row r="87">
      <c r="A87" s="2" t="s">
        <v>479</v>
      </c>
      <c r="B87" s="2" t="s">
        <v>480</v>
      </c>
      <c r="C87" s="2" t="s">
        <v>481</v>
      </c>
      <c r="D87" s="2">
        <v>109.9</v>
      </c>
      <c r="E87" s="130">
        <v>46.0</v>
      </c>
      <c r="F87" s="2" t="str">
        <f>ROUNDUP(((($E87*'Calculadora de preço'!$B$4)+($E87*#REF!))*100)/(100-'Calculadora de preço'!$B$5), -1)</f>
        <v>#REF!</v>
      </c>
      <c r="G87" s="1">
        <v>1.0</v>
      </c>
    </row>
    <row r="88">
      <c r="A88" s="2" t="s">
        <v>482</v>
      </c>
      <c r="B88" s="2" t="s">
        <v>483</v>
      </c>
      <c r="C88" s="2" t="s">
        <v>484</v>
      </c>
      <c r="D88" s="2">
        <v>109.9</v>
      </c>
      <c r="E88" s="130">
        <v>46.0</v>
      </c>
      <c r="F88" s="2" t="str">
        <f>ROUNDUP(((($E88*'Calculadora de preço'!$B$4)+($E88*#REF!))*100)/(100-'Calculadora de preço'!$B$5), -1)</f>
        <v>#REF!</v>
      </c>
    </row>
    <row r="89">
      <c r="A89" s="2" t="s">
        <v>486</v>
      </c>
      <c r="B89" s="2" t="s">
        <v>487</v>
      </c>
      <c r="C89" s="2" t="s">
        <v>488</v>
      </c>
      <c r="D89" s="2">
        <v>109.9</v>
      </c>
      <c r="E89" s="130">
        <v>46.0</v>
      </c>
      <c r="F89" s="2" t="str">
        <f>ROUNDUP(((($E89*'Calculadora de preço'!$B$4)+($E89*#REF!))*100)/(100-'Calculadora de preço'!$B$5), -1)</f>
        <v>#REF!</v>
      </c>
    </row>
    <row r="90">
      <c r="A90" s="2" t="s">
        <v>489</v>
      </c>
      <c r="B90" s="2" t="s">
        <v>490</v>
      </c>
      <c r="C90" s="2" t="s">
        <v>491</v>
      </c>
      <c r="D90" s="2">
        <v>109.9</v>
      </c>
      <c r="E90" s="130">
        <v>46.0</v>
      </c>
      <c r="F90" s="2" t="str">
        <f>ROUNDUP(((($E90*'Calculadora de preço'!$B$4)+($E90*#REF!))*100)/(100-'Calculadora de preço'!$B$5), -1)</f>
        <v>#REF!</v>
      </c>
    </row>
    <row r="91">
      <c r="A91" s="2" t="s">
        <v>492</v>
      </c>
      <c r="B91" s="2" t="s">
        <v>493</v>
      </c>
      <c r="C91" s="2" t="s">
        <v>494</v>
      </c>
      <c r="D91" s="2">
        <v>109.9</v>
      </c>
      <c r="E91" s="130">
        <v>46.0</v>
      </c>
      <c r="F91" s="2" t="str">
        <f>ROUNDUP(((($E91*'Calculadora de preço'!$B$4)+($E91*#REF!))*100)/(100-'Calculadora de preço'!$B$5), -1)</f>
        <v>#REF!</v>
      </c>
    </row>
    <row r="92">
      <c r="A92" s="2" t="s">
        <v>495</v>
      </c>
      <c r="B92" s="2" t="s">
        <v>496</v>
      </c>
      <c r="D92" s="2">
        <v>169.9</v>
      </c>
      <c r="E92" s="130">
        <v>79.0</v>
      </c>
      <c r="F92" s="2" t="str">
        <f>ROUNDUP(((($E92*'Calculadora de preço'!$B$4)+($E92*#REF!))*100)/(100-'Calculadora de preço'!$B$5), -1)</f>
        <v>#REF!</v>
      </c>
      <c r="G92" s="1">
        <v>1.0</v>
      </c>
    </row>
    <row r="93">
      <c r="A93" s="2" t="s">
        <v>497</v>
      </c>
      <c r="B93" s="2" t="s">
        <v>498</v>
      </c>
      <c r="C93" s="2" t="s">
        <v>499</v>
      </c>
      <c r="D93" s="2">
        <v>109.9</v>
      </c>
      <c r="E93" s="130">
        <v>46.0</v>
      </c>
      <c r="F93" s="2" t="str">
        <f>ROUNDUP(((($E93*'Calculadora de preço'!$B$4)+($E93*#REF!))*100)/(100-'Calculadora de preço'!$B$5), -1)</f>
        <v>#REF!</v>
      </c>
      <c r="G93" s="1">
        <v>1.0</v>
      </c>
    </row>
    <row r="94">
      <c r="A94" s="2" t="s">
        <v>500</v>
      </c>
      <c r="B94" s="2" t="s">
        <v>501</v>
      </c>
      <c r="C94" s="2" t="s">
        <v>502</v>
      </c>
      <c r="D94" s="2">
        <v>109.9</v>
      </c>
      <c r="E94" s="130">
        <v>46.0</v>
      </c>
      <c r="F94" s="2" t="str">
        <f>ROUNDUP(((($E94*'Calculadora de preço'!$B$4)+($E94*#REF!))*100)/(100-'Calculadora de preço'!$B$5), -1)</f>
        <v>#REF!</v>
      </c>
    </row>
    <row r="95">
      <c r="A95" s="2" t="s">
        <v>503</v>
      </c>
      <c r="B95" s="2" t="s">
        <v>504</v>
      </c>
      <c r="C95" s="2" t="s">
        <v>505</v>
      </c>
      <c r="D95" s="2">
        <v>109.9</v>
      </c>
      <c r="E95" s="130">
        <v>46.0</v>
      </c>
      <c r="F95" s="2" t="str">
        <f>ROUNDUP(((($E95*'Calculadora de preço'!$B$4)+($E95*#REF!))*100)/(100-'Calculadora de preço'!$B$5), -1)</f>
        <v>#REF!</v>
      </c>
    </row>
    <row r="96">
      <c r="A96" s="2" t="s">
        <v>506</v>
      </c>
      <c r="B96" s="2" t="s">
        <v>507</v>
      </c>
      <c r="C96" s="2" t="s">
        <v>508</v>
      </c>
      <c r="D96" s="2">
        <v>109.9</v>
      </c>
      <c r="E96" s="130">
        <v>46.0</v>
      </c>
      <c r="F96" s="2" t="str">
        <f>ROUNDUP(((($E96*'Calculadora de preço'!$B$4)+($E96*#REF!))*100)/(100-'Calculadora de preço'!$B$5), -1)</f>
        <v>#REF!</v>
      </c>
    </row>
    <row r="97">
      <c r="A97" s="2" t="s">
        <v>509</v>
      </c>
      <c r="B97" s="2" t="s">
        <v>510</v>
      </c>
      <c r="C97" s="2" t="s">
        <v>511</v>
      </c>
      <c r="D97" s="2">
        <v>109.9</v>
      </c>
      <c r="E97" s="130">
        <v>46.0</v>
      </c>
      <c r="F97" s="2" t="str">
        <f>ROUNDUP(((($E97*'Calculadora de preço'!$B$4)+($E97*#REF!))*100)/(100-'Calculadora de preço'!$B$5), -1)</f>
        <v>#REF!</v>
      </c>
    </row>
    <row r="98">
      <c r="A98" s="2" t="s">
        <v>512</v>
      </c>
      <c r="B98" s="2" t="s">
        <v>513</v>
      </c>
      <c r="C98" s="2" t="s">
        <v>514</v>
      </c>
      <c r="D98" s="2">
        <v>109.9</v>
      </c>
      <c r="E98" s="130">
        <v>46.0</v>
      </c>
      <c r="F98" s="2" t="str">
        <f>ROUNDUP(((($E98*'Calculadora de preço'!$B$4)+($E98*#REF!))*100)/(100-'Calculadora de preço'!$B$5), -1)</f>
        <v>#REF!</v>
      </c>
      <c r="G98" s="1">
        <v>1.0</v>
      </c>
    </row>
    <row r="99">
      <c r="A99" s="2" t="s">
        <v>515</v>
      </c>
      <c r="B99" s="2" t="s">
        <v>516</v>
      </c>
      <c r="C99" s="2" t="s">
        <v>517</v>
      </c>
      <c r="D99" s="2">
        <v>109.9</v>
      </c>
      <c r="E99" s="130">
        <v>46.0</v>
      </c>
      <c r="F99" s="2" t="str">
        <f>ROUNDUP(((($E99*'Calculadora de preço'!$B$4)+($E99*#REF!))*100)/(100-'Calculadora de preço'!$B$5), -1)</f>
        <v>#REF!</v>
      </c>
    </row>
    <row r="100">
      <c r="A100" s="2" t="s">
        <v>518</v>
      </c>
      <c r="B100" s="2" t="s">
        <v>519</v>
      </c>
      <c r="C100" s="2" t="s">
        <v>520</v>
      </c>
      <c r="D100" s="2">
        <v>109.9</v>
      </c>
      <c r="E100" s="130">
        <v>46.0</v>
      </c>
      <c r="F100" s="2" t="str">
        <f>ROUNDUP(((($E100*'Calculadora de preço'!$B$4)+($E100*#REF!))*100)/(100-'Calculadora de preço'!$B$5), -1)</f>
        <v>#REF!</v>
      </c>
    </row>
    <row r="101">
      <c r="A101" s="2" t="s">
        <v>521</v>
      </c>
      <c r="B101" s="2" t="s">
        <v>522</v>
      </c>
      <c r="C101" s="2" t="s">
        <v>523</v>
      </c>
      <c r="D101" s="2">
        <v>109.9</v>
      </c>
      <c r="E101" s="130">
        <v>46.0</v>
      </c>
      <c r="F101" s="2" t="str">
        <f>ROUNDUP(((($E101*'Calculadora de preço'!$B$4)+($E101*#REF!))*100)/(100-'Calculadora de preço'!$B$5), -1)</f>
        <v>#REF!</v>
      </c>
    </row>
    <row r="102">
      <c r="A102" s="2" t="s">
        <v>524</v>
      </c>
      <c r="B102" s="2" t="s">
        <v>525</v>
      </c>
      <c r="C102" s="2" t="s">
        <v>526</v>
      </c>
      <c r="D102" s="2">
        <v>109.9</v>
      </c>
      <c r="E102" s="130">
        <v>46.0</v>
      </c>
      <c r="F102" s="2" t="str">
        <f>ROUNDUP(((($E102*'Calculadora de preço'!$B$4)+($E102*#REF!))*100)/(100-'Calculadora de preço'!$B$5), -1)</f>
        <v>#REF!</v>
      </c>
    </row>
    <row r="103">
      <c r="A103" s="2" t="s">
        <v>527</v>
      </c>
      <c r="B103" s="2" t="s">
        <v>528</v>
      </c>
      <c r="D103" s="2">
        <v>179.9</v>
      </c>
      <c r="E103" s="130">
        <v>89.0</v>
      </c>
      <c r="F103" s="2" t="str">
        <f>ROUNDUP(((($E103*'Calculadora de preço'!$B$4)+($E103*#REF!))*100)/(100-'Calculadora de preço'!$B$5), -1)</f>
        <v>#REF!</v>
      </c>
      <c r="G103" s="1">
        <v>1.0</v>
      </c>
    </row>
    <row r="104">
      <c r="A104" s="2" t="s">
        <v>529</v>
      </c>
      <c r="B104" s="2" t="s">
        <v>530</v>
      </c>
      <c r="C104" s="2" t="s">
        <v>531</v>
      </c>
      <c r="D104" s="2">
        <v>109.9</v>
      </c>
      <c r="E104" s="130">
        <v>45.9</v>
      </c>
      <c r="F104" s="2" t="str">
        <f>ROUNDUP(((($E104*'Calculadora de preço'!$B$4)+($E104*#REF!))*100)/(100-'Calculadora de preço'!$B$5), -1)</f>
        <v>#REF!</v>
      </c>
      <c r="G104" s="1">
        <v>1.0</v>
      </c>
    </row>
    <row r="105">
      <c r="A105" s="2" t="s">
        <v>532</v>
      </c>
      <c r="B105" s="2" t="s">
        <v>533</v>
      </c>
      <c r="C105" s="2" t="s">
        <v>534</v>
      </c>
      <c r="D105" s="2">
        <v>109.9</v>
      </c>
      <c r="E105" s="130">
        <v>45.9</v>
      </c>
      <c r="F105" s="2" t="str">
        <f>ROUNDUP(((($E105*'Calculadora de preço'!$B$4)+($E105*#REF!))*100)/(100-'Calculadora de preço'!$B$5), -1)</f>
        <v>#REF!</v>
      </c>
    </row>
    <row r="106">
      <c r="A106" s="2" t="s">
        <v>535</v>
      </c>
      <c r="B106" s="2" t="s">
        <v>536</v>
      </c>
      <c r="C106" s="2" t="s">
        <v>537</v>
      </c>
      <c r="D106" s="2">
        <v>109.9</v>
      </c>
      <c r="E106" s="130">
        <v>45.9</v>
      </c>
      <c r="F106" s="2" t="str">
        <f>ROUNDUP(((($E106*'Calculadora de preço'!$B$4)+($E106*#REF!))*100)/(100-'Calculadora de preço'!$B$5), -1)</f>
        <v>#REF!</v>
      </c>
    </row>
    <row r="107">
      <c r="A107" s="2" t="s">
        <v>538</v>
      </c>
      <c r="B107" s="2" t="s">
        <v>539</v>
      </c>
      <c r="C107" s="2" t="s">
        <v>540</v>
      </c>
      <c r="D107" s="2">
        <v>109.9</v>
      </c>
      <c r="E107" s="130">
        <v>45.9</v>
      </c>
      <c r="F107" s="2" t="str">
        <f>ROUNDUP(((($E107*'Calculadora de preço'!$B$4)+($E107*#REF!))*100)/(100-'Calculadora de preço'!$B$5), -1)</f>
        <v>#REF!</v>
      </c>
    </row>
    <row r="108">
      <c r="A108" s="2" t="s">
        <v>541</v>
      </c>
      <c r="B108" s="2" t="s">
        <v>542</v>
      </c>
      <c r="C108" s="2" t="s">
        <v>543</v>
      </c>
      <c r="D108" s="2">
        <v>109.9</v>
      </c>
      <c r="E108" s="130">
        <v>45.9</v>
      </c>
      <c r="F108" s="2" t="str">
        <f>ROUNDUP(((($E108*'Calculadora de preço'!$B$4)+($E108*#REF!))*100)/(100-'Calculadora de preço'!$B$5), -1)</f>
        <v>#REF!</v>
      </c>
    </row>
    <row r="109">
      <c r="A109" s="2" t="s">
        <v>544</v>
      </c>
      <c r="B109" s="2" t="s">
        <v>545</v>
      </c>
      <c r="D109" s="2">
        <v>149.9</v>
      </c>
      <c r="E109" s="130">
        <v>92.05</v>
      </c>
      <c r="F109" s="2" t="str">
        <f>ROUNDUP(((($E109*'Calculadora de preço'!$B$4)+($E109*#REF!))*100)/(100-'Calculadora de preço'!$B$5), -1)</f>
        <v>#REF!</v>
      </c>
    </row>
    <row r="110">
      <c r="A110" s="2" t="s">
        <v>546</v>
      </c>
      <c r="B110" s="2" t="s">
        <v>547</v>
      </c>
      <c r="D110" s="2">
        <v>329.9</v>
      </c>
      <c r="E110" s="130">
        <v>164.72</v>
      </c>
      <c r="F110" s="2" t="str">
        <f>ROUNDUP(((($E110*'Calculadora de preço'!$B$4)+($E110*#REF!))*100)/(100-'Calculadora de preço'!$B$5), -1)</f>
        <v>#REF!</v>
      </c>
    </row>
    <row r="111">
      <c r="A111" s="2" t="s">
        <v>548</v>
      </c>
      <c r="B111" s="2" t="s">
        <v>549</v>
      </c>
      <c r="C111" s="2" t="s">
        <v>550</v>
      </c>
      <c r="D111" s="2">
        <v>39.9</v>
      </c>
      <c r="E111" s="130">
        <v>0.0</v>
      </c>
      <c r="F111" s="2" t="str">
        <f>ROUNDUP(((($E111*'Calculadora de preço'!$B$4)+($E111*#REF!))*100)/(100-'Calculadora de preço'!$B$5), -1)</f>
        <v>#REF!</v>
      </c>
    </row>
    <row r="112">
      <c r="A112" s="2" t="s">
        <v>551</v>
      </c>
      <c r="B112" s="2" t="s">
        <v>552</v>
      </c>
      <c r="C112" s="2" t="s">
        <v>553</v>
      </c>
      <c r="D112" s="2">
        <v>39.9</v>
      </c>
      <c r="E112" s="130">
        <v>18.9</v>
      </c>
      <c r="F112" s="2" t="str">
        <f>ROUNDUP(((($E112*'Calculadora de preço'!$B$4)+($E112*#REF!))*100)/(100-'Calculadora de preço'!$B$5), -1)</f>
        <v>#REF!</v>
      </c>
    </row>
    <row r="113">
      <c r="A113" s="2" t="s">
        <v>554</v>
      </c>
      <c r="B113" s="2" t="s">
        <v>555</v>
      </c>
      <c r="C113" s="2" t="s">
        <v>556</v>
      </c>
      <c r="D113" s="2">
        <v>39.9</v>
      </c>
      <c r="E113" s="130">
        <v>18.9</v>
      </c>
      <c r="F113" s="2" t="str">
        <f>ROUNDUP(((($E113*'Calculadora de preço'!$B$4)+($E113*#REF!))*100)/(100-'Calculadora de preço'!$B$5), -1)</f>
        <v>#REF!</v>
      </c>
    </row>
    <row r="114">
      <c r="A114" s="2" t="s">
        <v>557</v>
      </c>
      <c r="B114" s="2" t="s">
        <v>558</v>
      </c>
      <c r="C114" s="2" t="s">
        <v>559</v>
      </c>
      <c r="D114" s="2">
        <v>39.9</v>
      </c>
      <c r="E114" s="130">
        <v>18.9</v>
      </c>
      <c r="F114" s="2" t="str">
        <f>ROUNDUP(((($E114*'Calculadora de preço'!$B$4)+($E114*#REF!))*100)/(100-'Calculadora de preço'!$B$5), -1)</f>
        <v>#REF!</v>
      </c>
    </row>
    <row r="115">
      <c r="A115" s="2" t="s">
        <v>560</v>
      </c>
      <c r="B115" s="2" t="s">
        <v>561</v>
      </c>
      <c r="C115" s="2" t="s">
        <v>562</v>
      </c>
      <c r="D115" s="2">
        <v>39.9</v>
      </c>
      <c r="E115" s="130">
        <v>20.36</v>
      </c>
      <c r="F115" s="2" t="str">
        <f>ROUNDUP(((($E115*'Calculadora de preço'!$B$4)+($E115*#REF!))*100)/(100-'Calculadora de preço'!$B$5), -1)</f>
        <v>#REF!</v>
      </c>
    </row>
    <row r="116">
      <c r="A116" s="2" t="s">
        <v>563</v>
      </c>
      <c r="B116" s="2" t="s">
        <v>564</v>
      </c>
      <c r="D116" s="2">
        <v>79.9</v>
      </c>
      <c r="E116" s="130">
        <v>32.72</v>
      </c>
      <c r="F116" s="2" t="str">
        <f>ROUNDUP(((($E116*'Calculadora de preço'!$B$4)+($E116*#REF!))*100)/(100-'Calculadora de preço'!$B$5), -1)</f>
        <v>#REF!</v>
      </c>
    </row>
    <row r="117">
      <c r="A117" s="2" t="s">
        <v>565</v>
      </c>
      <c r="B117" s="2" t="s">
        <v>566</v>
      </c>
      <c r="D117" s="2">
        <v>85.9</v>
      </c>
      <c r="E117" s="130">
        <v>36.24</v>
      </c>
      <c r="F117" s="2" t="str">
        <f>ROUNDUP(((($E117*'Calculadora de preço'!$B$4)+($E117*#REF!))*100)/(100-'Calculadora de preço'!$B$5), -1)</f>
        <v>#REF!</v>
      </c>
    </row>
    <row r="118">
      <c r="A118" s="2" t="s">
        <v>567</v>
      </c>
      <c r="B118" s="2" t="s">
        <v>568</v>
      </c>
      <c r="C118" s="2" t="s">
        <v>569</v>
      </c>
      <c r="D118" s="2">
        <v>35.9</v>
      </c>
      <c r="E118" s="130">
        <v>16.9</v>
      </c>
      <c r="F118" s="2" t="str">
        <f>ROUNDUP(((($E118*'Calculadora de preço'!$B$4)+($E118*#REF!))*100)/(100-'Calculadora de preço'!$B$5), -1)</f>
        <v>#REF!</v>
      </c>
    </row>
    <row r="119">
      <c r="A119" s="2" t="s">
        <v>570</v>
      </c>
      <c r="B119" s="2" t="s">
        <v>571</v>
      </c>
      <c r="C119" s="2" t="s">
        <v>572</v>
      </c>
      <c r="D119" s="2">
        <v>35.9</v>
      </c>
      <c r="E119" s="130">
        <v>16.9</v>
      </c>
      <c r="F119" s="2" t="str">
        <f>ROUNDUP(((($E119*'Calculadora de preço'!$B$4)+($E119*#REF!))*100)/(100-'Calculadora de preço'!$B$5), -1)</f>
        <v>#REF!</v>
      </c>
    </row>
    <row r="120">
      <c r="A120" s="2" t="s">
        <v>574</v>
      </c>
      <c r="B120" s="2" t="s">
        <v>575</v>
      </c>
      <c r="C120" s="2" t="s">
        <v>576</v>
      </c>
      <c r="D120" s="2">
        <v>35.9</v>
      </c>
      <c r="E120" s="130">
        <v>16.9</v>
      </c>
      <c r="F120" s="2" t="str">
        <f>ROUNDUP(((($E120*'Calculadora de preço'!$B$4)+($E120*#REF!))*100)/(100-'Calculadora de preço'!$B$5), -1)</f>
        <v>#REF!</v>
      </c>
    </row>
    <row r="121">
      <c r="A121" s="2" t="s">
        <v>577</v>
      </c>
      <c r="B121" s="2" t="s">
        <v>578</v>
      </c>
      <c r="C121" s="2" t="s">
        <v>579</v>
      </c>
      <c r="D121" s="2">
        <v>35.9</v>
      </c>
      <c r="E121" s="130">
        <v>16.9</v>
      </c>
      <c r="F121" s="2" t="str">
        <f>ROUNDUP(((($E121*'Calculadora de preço'!$B$4)+($E121*#REF!))*100)/(100-'Calculadora de preço'!$B$5), -1)</f>
        <v>#REF!</v>
      </c>
    </row>
    <row r="122">
      <c r="A122" s="2" t="s">
        <v>580</v>
      </c>
      <c r="B122" s="2" t="s">
        <v>581</v>
      </c>
      <c r="C122" s="2" t="s">
        <v>582</v>
      </c>
      <c r="D122" s="2">
        <v>35.9</v>
      </c>
      <c r="E122" s="130">
        <v>16.9</v>
      </c>
      <c r="F122" s="2" t="str">
        <f>ROUNDUP(((($E122*'Calculadora de preço'!$B$4)+($E122*#REF!))*100)/(100-'Calculadora de preço'!$B$5), -1)</f>
        <v>#REF!</v>
      </c>
    </row>
    <row r="123">
      <c r="A123" s="2" t="s">
        <v>583</v>
      </c>
      <c r="B123" s="2" t="s">
        <v>584</v>
      </c>
      <c r="C123" s="2" t="s">
        <v>585</v>
      </c>
      <c r="D123" s="2">
        <v>35.9</v>
      </c>
      <c r="E123" s="130">
        <v>16.9</v>
      </c>
      <c r="F123" s="2" t="str">
        <f>ROUNDUP(((($E123*'Calculadora de preço'!$B$4)+($E123*#REF!))*100)/(100-'Calculadora de preço'!$B$5), -1)</f>
        <v>#REF!</v>
      </c>
    </row>
    <row r="124">
      <c r="A124" s="2" t="s">
        <v>586</v>
      </c>
      <c r="B124" s="2" t="s">
        <v>587</v>
      </c>
      <c r="C124" s="2" t="s">
        <v>588</v>
      </c>
      <c r="D124" s="2">
        <v>35.9</v>
      </c>
      <c r="E124" s="130">
        <v>16.9</v>
      </c>
      <c r="F124" s="2" t="str">
        <f>ROUNDUP(((($E124*'Calculadora de preço'!$B$4)+($E124*#REF!))*100)/(100-'Calculadora de preço'!$B$5), -1)</f>
        <v>#REF!</v>
      </c>
    </row>
    <row r="125">
      <c r="A125" s="2" t="s">
        <v>589</v>
      </c>
      <c r="B125" s="2" t="s">
        <v>590</v>
      </c>
      <c r="C125" s="2" t="s">
        <v>591</v>
      </c>
      <c r="D125" s="2">
        <v>35.9</v>
      </c>
      <c r="E125" s="130">
        <v>16.9</v>
      </c>
      <c r="F125" s="2" t="str">
        <f>ROUNDUP(((($E125*'Calculadora de preço'!$B$4)+($E125*#REF!))*100)/(100-'Calculadora de preço'!$B$5), -1)</f>
        <v>#REF!</v>
      </c>
    </row>
    <row r="126">
      <c r="A126" s="2" t="s">
        <v>592</v>
      </c>
      <c r="B126" s="2" t="s">
        <v>593</v>
      </c>
      <c r="C126" s="2" t="s">
        <v>594</v>
      </c>
      <c r="D126" s="2">
        <v>35.9</v>
      </c>
      <c r="E126" s="130">
        <v>16.9</v>
      </c>
      <c r="F126" s="2" t="str">
        <f>ROUNDUP(((($E126*'Calculadora de preço'!$B$4)+($E126*#REF!))*100)/(100-'Calculadora de preço'!$B$5), -1)</f>
        <v>#REF!</v>
      </c>
    </row>
    <row r="127">
      <c r="A127" s="2" t="s">
        <v>595</v>
      </c>
      <c r="B127" s="2" t="s">
        <v>596</v>
      </c>
      <c r="C127" s="2" t="s">
        <v>597</v>
      </c>
      <c r="D127" s="2">
        <v>35.9</v>
      </c>
      <c r="E127" s="130">
        <v>16.9</v>
      </c>
      <c r="F127" s="2" t="str">
        <f>ROUNDUP(((($E127*'Calculadora de preço'!$B$4)+($E127*#REF!))*100)/(100-'Calculadora de preço'!$B$5), -1)</f>
        <v>#REF!</v>
      </c>
    </row>
    <row r="128">
      <c r="A128" s="2" t="s">
        <v>598</v>
      </c>
      <c r="B128" s="2" t="s">
        <v>599</v>
      </c>
      <c r="C128" s="2" t="s">
        <v>600</v>
      </c>
      <c r="D128" s="2">
        <v>35.9</v>
      </c>
      <c r="E128" s="130">
        <v>16.9</v>
      </c>
      <c r="F128" s="2" t="str">
        <f>ROUNDUP(((($E128*'Calculadora de preço'!$B$4)+($E128*#REF!))*100)/(100-'Calculadora de preço'!$B$5), -1)</f>
        <v>#REF!</v>
      </c>
    </row>
    <row r="129">
      <c r="A129" s="2" t="s">
        <v>601</v>
      </c>
      <c r="B129" s="2" t="s">
        <v>602</v>
      </c>
      <c r="D129" s="2">
        <v>99.9</v>
      </c>
      <c r="E129" s="130">
        <v>41.9</v>
      </c>
      <c r="F129" s="2" t="str">
        <f>ROUNDUP(((($E129*'Calculadora de preço'!$B$4)+($E129*#REF!))*100)/(100-'Calculadora de preço'!$B$5), -1)</f>
        <v>#REF!</v>
      </c>
    </row>
    <row r="130">
      <c r="A130" s="2" t="s">
        <v>603</v>
      </c>
      <c r="B130" s="2" t="s">
        <v>604</v>
      </c>
      <c r="D130" s="2">
        <v>59.99</v>
      </c>
      <c r="E130" s="130">
        <v>24.9</v>
      </c>
      <c r="F130" s="2" t="str">
        <f>ROUNDUP(((($E130*'Calculadora de preço'!$B$4)+($E130*#REF!))*100)/(100-'Calculadora de preço'!$B$5), -1)</f>
        <v>#REF!</v>
      </c>
    </row>
    <row r="131">
      <c r="A131" s="2" t="s">
        <v>606</v>
      </c>
      <c r="B131" s="2" t="s">
        <v>607</v>
      </c>
      <c r="D131" s="2">
        <v>15.0</v>
      </c>
      <c r="E131" s="130">
        <v>7.5</v>
      </c>
      <c r="F131" s="2" t="str">
        <f>ROUNDUP(((($E131*'Calculadora de preço'!$B$4)+($E131*#REF!))*100)/(100-'Calculadora de preço'!$B$5), -1)</f>
        <v>#REF!</v>
      </c>
    </row>
    <row r="132">
      <c r="A132" s="2" t="s">
        <v>608</v>
      </c>
      <c r="B132" s="2" t="s">
        <v>609</v>
      </c>
      <c r="D132" s="2">
        <v>59.99</v>
      </c>
      <c r="E132" s="130">
        <v>24.9</v>
      </c>
      <c r="F132" s="2" t="str">
        <f>ROUNDUP(((($E132*'Calculadora de preço'!$B$4)+($E132*#REF!))*100)/(100-'Calculadora de preço'!$B$5), -1)</f>
        <v>#REF!</v>
      </c>
    </row>
    <row r="133">
      <c r="A133" s="2" t="s">
        <v>610</v>
      </c>
      <c r="B133" s="2" t="s">
        <v>611</v>
      </c>
      <c r="D133" s="2">
        <v>59.99</v>
      </c>
      <c r="E133" s="130">
        <v>24.9</v>
      </c>
      <c r="F133" s="2" t="str">
        <f>ROUNDUP(((($E133*'Calculadora de preço'!$B$4)+($E133*#REF!))*100)/(100-'Calculadora de preço'!$B$5), -1)</f>
        <v>#REF!</v>
      </c>
    </row>
    <row r="134">
      <c r="A134" s="2" t="s">
        <v>612</v>
      </c>
      <c r="B134" s="2" t="s">
        <v>613</v>
      </c>
      <c r="D134" s="2">
        <v>39.9</v>
      </c>
      <c r="E134" s="130">
        <v>21.9</v>
      </c>
      <c r="F134" s="2" t="str">
        <f>ROUNDUP(((($E134*'Calculadora de preço'!$B$4)+($E134*#REF!))*100)/(100-'Calculadora de preço'!$B$5), -1)</f>
        <v>#REF!</v>
      </c>
    </row>
    <row r="135">
      <c r="A135" s="2" t="s">
        <v>614</v>
      </c>
      <c r="B135" s="2" t="s">
        <v>615</v>
      </c>
      <c r="D135" s="2">
        <v>39.9</v>
      </c>
      <c r="E135" s="130">
        <v>22.9</v>
      </c>
      <c r="F135" s="2" t="str">
        <f>ROUNDUP(((($E135*'Calculadora de preço'!$B$4)+($E135*#REF!))*100)/(100-'Calculadora de preço'!$B$5), -1)</f>
        <v>#REF!</v>
      </c>
    </row>
    <row r="136">
      <c r="A136" s="2" t="s">
        <v>616</v>
      </c>
      <c r="B136" s="2" t="s">
        <v>617</v>
      </c>
      <c r="D136" s="2">
        <v>35.9</v>
      </c>
      <c r="E136" s="130">
        <v>17.9</v>
      </c>
      <c r="F136" s="2" t="str">
        <f>ROUNDUP(((($E136*'Calculadora de preço'!$B$4)+($E136*#REF!))*100)/(100-'Calculadora de preço'!$B$5), -1)</f>
        <v>#REF!</v>
      </c>
    </row>
    <row r="137">
      <c r="A137" s="2" t="s">
        <v>619</v>
      </c>
      <c r="B137" s="2" t="s">
        <v>620</v>
      </c>
      <c r="D137" s="2">
        <v>35.9</v>
      </c>
      <c r="E137" s="130">
        <v>17.9</v>
      </c>
      <c r="F137" s="2" t="str">
        <f>ROUNDUP(((($E137*'Calculadora de preço'!$B$4)+($E137*#REF!))*100)/(100-'Calculadora de preço'!$B$5), -1)</f>
        <v>#REF!</v>
      </c>
    </row>
    <row r="138">
      <c r="A138" s="2" t="s">
        <v>621</v>
      </c>
      <c r="B138" s="2" t="s">
        <v>622</v>
      </c>
      <c r="C138" s="2" t="s">
        <v>623</v>
      </c>
      <c r="D138" s="2">
        <v>119.9</v>
      </c>
      <c r="E138" s="130">
        <v>54.9</v>
      </c>
      <c r="F138" s="2" t="str">
        <f>ROUNDUP(((($E138*'Calculadora de preço'!$B$4)+($E138*#REF!))*100)/(100-'Calculadora de preço'!$B$5), -1)</f>
        <v>#REF!</v>
      </c>
      <c r="G138" s="1">
        <v>1.0</v>
      </c>
    </row>
    <row r="139">
      <c r="A139" s="2" t="s">
        <v>624</v>
      </c>
      <c r="B139" s="2" t="s">
        <v>625</v>
      </c>
      <c r="C139" s="2" t="s">
        <v>626</v>
      </c>
      <c r="D139" s="2">
        <v>109.9</v>
      </c>
      <c r="E139" s="130">
        <v>45.0</v>
      </c>
      <c r="F139" s="2" t="str">
        <f>ROUNDUP(((($E139*'Calculadora de preço'!$B$4)+($E139*#REF!))*100)/(100-'Calculadora de preço'!$B$5), -1)</f>
        <v>#REF!</v>
      </c>
      <c r="G139" s="1">
        <v>1.0</v>
      </c>
    </row>
    <row r="140">
      <c r="A140" s="2" t="s">
        <v>627</v>
      </c>
      <c r="B140" s="2" t="s">
        <v>628</v>
      </c>
      <c r="C140" s="2" t="s">
        <v>629</v>
      </c>
      <c r="D140" s="2">
        <v>109.9</v>
      </c>
      <c r="E140" s="130">
        <v>45.0</v>
      </c>
      <c r="F140" s="2" t="str">
        <f>ROUNDUP(((($E140*'Calculadora de preço'!$B$4)+($E140*#REF!))*100)/(100-'Calculadora de preço'!$B$5), -1)</f>
        <v>#REF!</v>
      </c>
    </row>
    <row r="141">
      <c r="A141" s="2" t="s">
        <v>630</v>
      </c>
      <c r="B141" s="2" t="s">
        <v>631</v>
      </c>
      <c r="C141" s="2" t="s">
        <v>632</v>
      </c>
      <c r="D141" s="2">
        <v>109.9</v>
      </c>
      <c r="E141" s="130">
        <v>45.0</v>
      </c>
      <c r="F141" s="2" t="str">
        <f>ROUNDUP(((($E141*'Calculadora de preço'!$B$4)+($E141*#REF!))*100)/(100-'Calculadora de preço'!$B$5), -1)</f>
        <v>#REF!</v>
      </c>
    </row>
    <row r="142">
      <c r="A142" s="2" t="s">
        <v>633</v>
      </c>
      <c r="B142" s="2" t="s">
        <v>634</v>
      </c>
      <c r="C142" s="2" t="s">
        <v>635</v>
      </c>
      <c r="D142" s="2">
        <v>109.9</v>
      </c>
      <c r="E142" s="130">
        <v>45.0</v>
      </c>
      <c r="F142" s="2" t="str">
        <f>ROUNDUP(((($E142*'Calculadora de preço'!$B$4)+($E142*#REF!))*100)/(100-'Calculadora de preço'!$B$5), -1)</f>
        <v>#REF!</v>
      </c>
    </row>
    <row r="143">
      <c r="A143" s="2" t="s">
        <v>637</v>
      </c>
      <c r="B143" s="2" t="s">
        <v>638</v>
      </c>
      <c r="C143" s="2" t="s">
        <v>639</v>
      </c>
      <c r="D143" s="2">
        <v>109.9</v>
      </c>
      <c r="E143" s="130">
        <v>45.0</v>
      </c>
      <c r="F143" s="2" t="str">
        <f>ROUNDUP(((($E143*'Calculadora de preço'!$B$4)+($E143*#REF!))*100)/(100-'Calculadora de preço'!$B$5), -1)</f>
        <v>#REF!</v>
      </c>
    </row>
    <row r="144">
      <c r="A144" s="2" t="s">
        <v>640</v>
      </c>
      <c r="B144" s="2" t="s">
        <v>641</v>
      </c>
      <c r="C144" s="2" t="s">
        <v>642</v>
      </c>
      <c r="D144" s="2">
        <v>109.9</v>
      </c>
      <c r="E144" s="130">
        <v>45.0</v>
      </c>
      <c r="F144" s="2" t="str">
        <f>ROUNDUP(((($E144*'Calculadora de preço'!$B$4)+($E144*#REF!))*100)/(100-'Calculadora de preço'!$B$5), -1)</f>
        <v>#REF!</v>
      </c>
    </row>
    <row r="145">
      <c r="A145" s="2" t="s">
        <v>643</v>
      </c>
      <c r="B145" s="2" t="s">
        <v>644</v>
      </c>
      <c r="C145" s="2" t="s">
        <v>645</v>
      </c>
      <c r="D145" s="2">
        <v>109.9</v>
      </c>
      <c r="E145" s="130">
        <v>45.0</v>
      </c>
      <c r="F145" s="2" t="str">
        <f>ROUNDUP(((($E145*'Calculadora de preço'!$B$4)+($E145*#REF!))*100)/(100-'Calculadora de preço'!$B$5), -1)</f>
        <v>#REF!</v>
      </c>
    </row>
    <row r="146">
      <c r="A146" s="2" t="s">
        <v>646</v>
      </c>
      <c r="B146" s="2" t="s">
        <v>647</v>
      </c>
      <c r="C146" s="2" t="s">
        <v>648</v>
      </c>
      <c r="D146" s="2">
        <v>109.9</v>
      </c>
      <c r="E146" s="130">
        <v>45.0</v>
      </c>
      <c r="F146" s="2" t="str">
        <f>ROUNDUP(((($E146*'Calculadora de preço'!$B$4)+($E146*#REF!))*100)/(100-'Calculadora de preço'!$B$5), -1)</f>
        <v>#REF!</v>
      </c>
    </row>
    <row r="147">
      <c r="A147" s="2" t="s">
        <v>649</v>
      </c>
      <c r="B147" s="2" t="s">
        <v>650</v>
      </c>
      <c r="C147" s="2" t="s">
        <v>651</v>
      </c>
      <c r="D147" s="2">
        <v>109.9</v>
      </c>
      <c r="E147" s="130">
        <v>45.0</v>
      </c>
      <c r="F147" s="2" t="str">
        <f>ROUNDUP(((($E147*'Calculadora de preço'!$B$4)+($E147*#REF!))*100)/(100-'Calculadora de preço'!$B$5), -1)</f>
        <v>#REF!</v>
      </c>
    </row>
    <row r="148">
      <c r="A148" s="2" t="s">
        <v>652</v>
      </c>
      <c r="B148" s="2" t="s">
        <v>653</v>
      </c>
      <c r="C148" s="2" t="s">
        <v>654</v>
      </c>
      <c r="D148" s="2">
        <v>109.9</v>
      </c>
      <c r="E148" s="130">
        <v>45.0</v>
      </c>
      <c r="F148" s="2" t="str">
        <f>ROUNDUP(((($E148*'Calculadora de preço'!$B$4)+($E148*#REF!))*100)/(100-'Calculadora de preço'!$B$5), -1)</f>
        <v>#REF!</v>
      </c>
    </row>
    <row r="149">
      <c r="A149" s="2" t="s">
        <v>655</v>
      </c>
      <c r="B149" s="2" t="s">
        <v>656</v>
      </c>
      <c r="D149" s="2">
        <v>79.99</v>
      </c>
      <c r="E149" s="130">
        <v>32.0</v>
      </c>
      <c r="F149" s="2" t="str">
        <f>ROUNDUP(((($E149*'Calculadora de preço'!$B$4)+($E149*#REF!))*100)/(100-'Calculadora de preço'!$B$5), -1)</f>
        <v>#REF!</v>
      </c>
      <c r="G149" s="1">
        <v>1.0</v>
      </c>
    </row>
    <row r="150">
      <c r="A150" s="2" t="s">
        <v>657</v>
      </c>
      <c r="B150" s="2" t="s">
        <v>658</v>
      </c>
      <c r="D150" s="2">
        <v>79.99</v>
      </c>
      <c r="E150" s="130">
        <v>29.0</v>
      </c>
      <c r="F150" s="2" t="str">
        <f>ROUNDUP(((($E150*'Calculadora de preço'!$B$4)+($E150*#REF!))*100)/(100-'Calculadora de preço'!$B$5), -1)</f>
        <v>#REF!</v>
      </c>
    </row>
    <row r="151">
      <c r="A151" s="2" t="s">
        <v>659</v>
      </c>
      <c r="B151" s="2" t="s">
        <v>660</v>
      </c>
      <c r="D151" s="2">
        <v>89.99</v>
      </c>
      <c r="E151" s="130">
        <v>47.0</v>
      </c>
      <c r="F151" s="2" t="str">
        <f>ROUNDUP(((($E151*'Calculadora de preço'!$B$4)+($E151*#REF!))*100)/(100-'Calculadora de preço'!$B$5), -1)</f>
        <v>#REF!</v>
      </c>
    </row>
    <row r="152">
      <c r="A152" s="2" t="s">
        <v>661</v>
      </c>
      <c r="B152" s="2" t="s">
        <v>662</v>
      </c>
      <c r="D152" s="2">
        <v>159.9</v>
      </c>
      <c r="E152" s="130">
        <v>55.0</v>
      </c>
      <c r="F152" s="2" t="str">
        <f>ROUNDUP(((($E152*'Calculadora de preço'!$B$4)+($E152*#REF!))*100)/(100-'Calculadora de preço'!$B$5), -1)</f>
        <v>#REF!</v>
      </c>
    </row>
    <row r="153">
      <c r="A153" s="2" t="s">
        <v>664</v>
      </c>
      <c r="B153" s="2" t="s">
        <v>665</v>
      </c>
      <c r="D153" s="2">
        <v>109.9</v>
      </c>
      <c r="E153" s="130">
        <v>44.9</v>
      </c>
      <c r="F153" s="2" t="str">
        <f>ROUNDUP(((($E153*'Calculadora de preço'!$B$4)+($E153*#REF!))*100)/(100-'Calculadora de preço'!$B$5), -1)</f>
        <v>#REF!</v>
      </c>
    </row>
    <row r="154">
      <c r="A154" s="2" t="s">
        <v>667</v>
      </c>
      <c r="B154" s="2" t="s">
        <v>668</v>
      </c>
      <c r="C154" s="2" t="s">
        <v>669</v>
      </c>
      <c r="D154" s="2">
        <v>109.9</v>
      </c>
      <c r="E154" s="130">
        <v>45.0</v>
      </c>
      <c r="F154" s="2" t="str">
        <f>ROUNDUP(((($E154*'Calculadora de preço'!$B$4)+($E154*#REF!))*100)/(100-'Calculadora de preço'!$B$5), -1)</f>
        <v>#REF!</v>
      </c>
    </row>
    <row r="155">
      <c r="A155" s="2" t="s">
        <v>670</v>
      </c>
      <c r="B155" s="2" t="s">
        <v>671</v>
      </c>
      <c r="C155" s="2" t="s">
        <v>672</v>
      </c>
      <c r="D155" s="2">
        <v>109.9</v>
      </c>
      <c r="E155" s="130">
        <v>45.0</v>
      </c>
      <c r="F155" s="2" t="str">
        <f>ROUNDUP(((($E155*'Calculadora de preço'!$B$4)+($E155*#REF!))*100)/(100-'Calculadora de preço'!$B$5), -1)</f>
        <v>#REF!</v>
      </c>
    </row>
    <row r="156">
      <c r="A156" s="2" t="s">
        <v>673</v>
      </c>
      <c r="B156" s="2" t="s">
        <v>674</v>
      </c>
      <c r="C156" s="2" t="s">
        <v>675</v>
      </c>
      <c r="D156" s="2">
        <v>109.9</v>
      </c>
      <c r="E156" s="130">
        <v>45.0</v>
      </c>
      <c r="F156" s="2" t="str">
        <f>ROUNDUP(((($E156*'Calculadora de preço'!$B$4)+($E156*#REF!))*100)/(100-'Calculadora de preço'!$B$5), -1)</f>
        <v>#REF!</v>
      </c>
    </row>
    <row r="157">
      <c r="A157" s="2" t="s">
        <v>676</v>
      </c>
      <c r="B157" s="2" t="s">
        <v>677</v>
      </c>
      <c r="C157" s="2" t="s">
        <v>678</v>
      </c>
      <c r="D157" s="2">
        <v>109.9</v>
      </c>
      <c r="E157" s="130">
        <v>45.0</v>
      </c>
      <c r="F157" s="2" t="str">
        <f>ROUNDUP(((($E157*'Calculadora de preço'!$B$4)+($E157*#REF!))*100)/(100-'Calculadora de preço'!$B$5), -1)</f>
        <v>#REF!</v>
      </c>
    </row>
    <row r="158">
      <c r="A158" s="2" t="s">
        <v>679</v>
      </c>
      <c r="B158" s="2" t="s">
        <v>680</v>
      </c>
      <c r="D158" s="2">
        <v>119.9</v>
      </c>
      <c r="E158" s="130">
        <v>69.9</v>
      </c>
      <c r="F158" s="2" t="str">
        <f>ROUNDUP(((($E158*'Calculadora de preço'!$B$4)+($E158*#REF!))*100)/(100-'Calculadora de preço'!$B$5), -1)</f>
        <v>#REF!</v>
      </c>
      <c r="G158" s="1">
        <v>1.0</v>
      </c>
    </row>
    <row r="159">
      <c r="A159" s="2" t="s">
        <v>681</v>
      </c>
      <c r="B159" s="2" t="s">
        <v>682</v>
      </c>
      <c r="C159" s="2" t="s">
        <v>683</v>
      </c>
      <c r="D159" s="2">
        <v>89.9</v>
      </c>
      <c r="E159" s="130">
        <v>40.0</v>
      </c>
      <c r="F159" s="2" t="str">
        <f>ROUNDUP(((($E159*'Calculadora de preço'!$B$4)+($E159*#REF!))*100)/(100-'Calculadora de preço'!$B$5), -1)</f>
        <v>#REF!</v>
      </c>
      <c r="G159" s="1">
        <v>1.0</v>
      </c>
    </row>
    <row r="160">
      <c r="A160" s="2" t="s">
        <v>684</v>
      </c>
      <c r="B160" s="2" t="s">
        <v>685</v>
      </c>
      <c r="C160" s="2" t="s">
        <v>686</v>
      </c>
      <c r="D160" s="2">
        <v>89.9</v>
      </c>
      <c r="E160" s="130">
        <v>40.0</v>
      </c>
      <c r="F160" s="2" t="str">
        <f>ROUNDUP(((($E160*'Calculadora de preço'!$B$4)+($E160*#REF!))*100)/(100-'Calculadora de preço'!$B$5), -1)</f>
        <v>#REF!</v>
      </c>
    </row>
    <row r="161">
      <c r="A161" s="2" t="s">
        <v>687</v>
      </c>
      <c r="B161" s="2" t="s">
        <v>688</v>
      </c>
      <c r="C161" s="2" t="s">
        <v>689</v>
      </c>
      <c r="D161" s="2">
        <v>89.9</v>
      </c>
      <c r="E161" s="130">
        <v>40.0</v>
      </c>
      <c r="F161" s="2" t="str">
        <f>ROUNDUP(((($E161*'Calculadora de preço'!$B$4)+($E161*#REF!))*100)/(100-'Calculadora de preço'!$B$5), -1)</f>
        <v>#REF!</v>
      </c>
    </row>
    <row r="162">
      <c r="A162" s="2" t="s">
        <v>690</v>
      </c>
      <c r="B162" s="2" t="s">
        <v>691</v>
      </c>
      <c r="D162" s="2">
        <v>79.99</v>
      </c>
      <c r="E162" s="130">
        <v>29.0</v>
      </c>
      <c r="F162" s="2" t="str">
        <f>ROUNDUP(((($E162*'Calculadora de preço'!$B$4)+($E162*#REF!))*100)/(100-'Calculadora de preço'!$B$5), -1)</f>
        <v>#REF!</v>
      </c>
    </row>
    <row r="163">
      <c r="A163" s="2" t="s">
        <v>692</v>
      </c>
      <c r="B163" s="2" t="s">
        <v>693</v>
      </c>
      <c r="D163" s="2">
        <v>79.99</v>
      </c>
      <c r="E163" s="130">
        <v>24.0</v>
      </c>
      <c r="F163" s="2" t="str">
        <f>ROUNDUP(((($E163*'Calculadora de preço'!$B$4)+($E163*#REF!))*100)/(100-'Calculadora de preço'!$B$5), -1)</f>
        <v>#REF!</v>
      </c>
    </row>
    <row r="164">
      <c r="A164" s="2" t="s">
        <v>694</v>
      </c>
      <c r="B164" s="2" t="s">
        <v>695</v>
      </c>
      <c r="D164" s="2">
        <v>159.9</v>
      </c>
      <c r="E164" s="130">
        <v>88.0</v>
      </c>
      <c r="F164" s="2" t="str">
        <f>ROUNDUP(((($E164*'Calculadora de preço'!$B$4)+($E164*#REF!))*100)/(100-'Calculadora de preço'!$B$5), -1)</f>
        <v>#REF!</v>
      </c>
      <c r="G164" s="1">
        <v>1.0</v>
      </c>
    </row>
    <row r="165">
      <c r="A165" s="2" t="s">
        <v>696</v>
      </c>
      <c r="B165" s="2" t="s">
        <v>697</v>
      </c>
      <c r="D165" s="2">
        <v>169.9</v>
      </c>
      <c r="E165" s="130">
        <v>91.3</v>
      </c>
      <c r="F165" s="2" t="str">
        <f>ROUNDUP(((($E165*'Calculadora de preço'!$B$4)+($E165*#REF!))*100)/(100-'Calculadora de preço'!$B$5), -1)</f>
        <v>#REF!</v>
      </c>
    </row>
    <row r="166">
      <c r="A166" s="2" t="s">
        <v>698</v>
      </c>
      <c r="B166" s="2" t="s">
        <v>699</v>
      </c>
      <c r="D166" s="2">
        <v>169.9</v>
      </c>
      <c r="E166" s="130">
        <v>91.3</v>
      </c>
      <c r="F166" s="2" t="str">
        <f>ROUNDUP(((($E166*'Calculadora de preço'!$B$4)+($E166*#REF!))*100)/(100-'Calculadora de preço'!$B$5), -1)</f>
        <v>#REF!</v>
      </c>
    </row>
    <row r="167">
      <c r="A167" s="2" t="s">
        <v>700</v>
      </c>
      <c r="B167" s="2" t="s">
        <v>701</v>
      </c>
      <c r="D167" s="2">
        <v>159.9</v>
      </c>
      <c r="E167" s="130">
        <v>55.0</v>
      </c>
      <c r="F167" s="2" t="str">
        <f>ROUNDUP(((($E167*'Calculadora de preço'!$B$4)+($E167*#REF!))*100)/(100-'Calculadora de preço'!$B$5), -1)</f>
        <v>#REF!</v>
      </c>
    </row>
    <row r="168">
      <c r="A168" s="2" t="s">
        <v>702</v>
      </c>
      <c r="B168" s="2" t="s">
        <v>703</v>
      </c>
      <c r="D168" s="2">
        <v>169.9</v>
      </c>
      <c r="E168" s="130">
        <v>91.3</v>
      </c>
      <c r="F168" s="2" t="str">
        <f>ROUNDUP(((($E168*'Calculadora de preço'!$B$4)+($E168*#REF!))*100)/(100-'Calculadora de preço'!$B$5), -1)</f>
        <v>#REF!</v>
      </c>
    </row>
    <row r="169">
      <c r="A169" s="2" t="s">
        <v>704</v>
      </c>
      <c r="B169" s="2" t="s">
        <v>705</v>
      </c>
      <c r="D169" s="2">
        <v>159.9</v>
      </c>
      <c r="E169" s="130">
        <v>92.05</v>
      </c>
      <c r="F169" s="2" t="str">
        <f>ROUNDUP(((($E169*'Calculadora de preço'!$B$4)+($E169*#REF!))*100)/(100-'Calculadora de preço'!$B$5), -1)</f>
        <v>#REF!</v>
      </c>
    </row>
    <row r="170">
      <c r="A170" s="2" t="s">
        <v>706</v>
      </c>
      <c r="B170" s="2" t="s">
        <v>707</v>
      </c>
      <c r="D170" s="2">
        <v>159.9</v>
      </c>
      <c r="E170" s="130">
        <v>55.0</v>
      </c>
      <c r="F170" s="2" t="str">
        <f>ROUNDUP(((($E170*'Calculadora de preço'!$B$4)+($E170*#REF!))*100)/(100-'Calculadora de preço'!$B$5), -1)</f>
        <v>#REF!</v>
      </c>
    </row>
    <row r="171">
      <c r="A171" s="2" t="s">
        <v>708</v>
      </c>
      <c r="B171" s="2" t="s">
        <v>709</v>
      </c>
      <c r="D171" s="2">
        <v>159.9</v>
      </c>
      <c r="E171" s="130">
        <v>55.0</v>
      </c>
      <c r="F171" s="2" t="str">
        <f>ROUNDUP(((($E171*'Calculadora de preço'!$B$4)+($E171*#REF!))*100)/(100-'Calculadora de preço'!$B$5), -1)</f>
        <v>#REF!</v>
      </c>
    </row>
    <row r="172">
      <c r="A172" s="2" t="s">
        <v>710</v>
      </c>
      <c r="B172" s="2" t="s">
        <v>711</v>
      </c>
      <c r="D172" s="2">
        <v>159.9</v>
      </c>
      <c r="E172" s="130">
        <v>55.0</v>
      </c>
      <c r="F172" s="2" t="str">
        <f>ROUNDUP(((($E172*'Calculadora de preço'!$B$4)+($E172*#REF!))*100)/(100-'Calculadora de preço'!$B$5), -1)</f>
        <v>#REF!</v>
      </c>
    </row>
    <row r="173">
      <c r="A173" s="2" t="s">
        <v>712</v>
      </c>
      <c r="B173" s="2" t="s">
        <v>713</v>
      </c>
      <c r="D173" s="2">
        <v>169.9</v>
      </c>
      <c r="E173" s="130">
        <v>91.3</v>
      </c>
      <c r="F173" s="2" t="str">
        <f>ROUNDUP(((($E173*'Calculadora de preço'!$B$4)+($E173*#REF!))*100)/(100-'Calculadora de preço'!$B$5), -1)</f>
        <v>#REF!</v>
      </c>
    </row>
    <row r="174">
      <c r="A174" s="2" t="s">
        <v>714</v>
      </c>
      <c r="B174" s="2" t="s">
        <v>715</v>
      </c>
      <c r="D174" s="2">
        <v>159.9</v>
      </c>
      <c r="E174" s="130">
        <v>88.0</v>
      </c>
      <c r="F174" s="2" t="str">
        <f>ROUNDUP(((($E174*'Calculadora de preço'!$B$4)+($E174*#REF!))*100)/(100-'Calculadora de preço'!$B$5), -1)</f>
        <v>#REF!</v>
      </c>
    </row>
    <row r="175">
      <c r="A175" s="2" t="s">
        <v>716</v>
      </c>
      <c r="B175" s="2" t="s">
        <v>717</v>
      </c>
      <c r="D175" s="2">
        <v>159.9</v>
      </c>
      <c r="E175" s="130">
        <v>88.0</v>
      </c>
      <c r="F175" s="2" t="str">
        <f>ROUNDUP(((($E175*'Calculadora de preço'!$B$4)+($E175*#REF!))*100)/(100-'Calculadora de preço'!$B$5), -1)</f>
        <v>#REF!</v>
      </c>
    </row>
    <row r="176">
      <c r="A176" s="2" t="s">
        <v>718</v>
      </c>
      <c r="B176" s="2" t="s">
        <v>719</v>
      </c>
      <c r="D176" s="2">
        <v>159.9</v>
      </c>
      <c r="E176" s="130">
        <v>88.0</v>
      </c>
      <c r="F176" s="2" t="str">
        <f>ROUNDUP(((($E176*'Calculadora de preço'!$B$4)+($E176*#REF!))*100)/(100-'Calculadora de preço'!$B$5), -1)</f>
        <v>#REF!</v>
      </c>
    </row>
    <row r="177">
      <c r="A177" s="2" t="s">
        <v>720</v>
      </c>
      <c r="B177" s="2" t="s">
        <v>721</v>
      </c>
      <c r="D177" s="2">
        <v>159.9</v>
      </c>
      <c r="E177" s="130">
        <v>88.0</v>
      </c>
      <c r="F177" s="2" t="str">
        <f>ROUNDUP(((($E177*'Calculadora de preço'!$B$4)+($E177*#REF!))*100)/(100-'Calculadora de preço'!$B$5), -1)</f>
        <v>#REF!</v>
      </c>
    </row>
    <row r="178">
      <c r="A178" s="2" t="s">
        <v>722</v>
      </c>
      <c r="B178" s="2" t="s">
        <v>723</v>
      </c>
      <c r="D178" s="2">
        <v>159.9</v>
      </c>
      <c r="E178" s="130">
        <v>88.0</v>
      </c>
      <c r="F178" s="2" t="str">
        <f>ROUNDUP(((($E178*'Calculadora de preço'!$B$4)+($E178*#REF!))*100)/(100-'Calculadora de preço'!$B$5), -1)</f>
        <v>#REF!</v>
      </c>
    </row>
    <row r="179">
      <c r="A179" s="2" t="s">
        <v>724</v>
      </c>
      <c r="B179" s="2" t="s">
        <v>725</v>
      </c>
      <c r="D179" s="2">
        <v>159.9</v>
      </c>
      <c r="E179" s="130">
        <v>88.0</v>
      </c>
      <c r="F179" s="2" t="str">
        <f>ROUNDUP(((($E179*'Calculadora de preço'!$B$4)+($E179*#REF!))*100)/(100-'Calculadora de preço'!$B$5), -1)</f>
        <v>#REF!</v>
      </c>
    </row>
    <row r="180">
      <c r="A180" s="2" t="s">
        <v>726</v>
      </c>
      <c r="B180" s="2" t="s">
        <v>727</v>
      </c>
      <c r="D180" s="2">
        <v>159.9</v>
      </c>
      <c r="E180" s="130">
        <v>88.0</v>
      </c>
      <c r="F180" s="2" t="str">
        <f>ROUNDUP(((($E180*'Calculadora de preço'!$B$4)+($E180*#REF!))*100)/(100-'Calculadora de preço'!$B$5), -1)</f>
        <v>#REF!</v>
      </c>
    </row>
    <row r="181">
      <c r="A181" s="2" t="s">
        <v>728</v>
      </c>
      <c r="B181" s="2" t="s">
        <v>729</v>
      </c>
      <c r="D181" s="2">
        <v>159.9</v>
      </c>
      <c r="E181" s="130">
        <v>88.0</v>
      </c>
      <c r="F181" s="2" t="str">
        <f>ROUNDUP(((($E181*'Calculadora de preço'!$B$4)+($E181*#REF!))*100)/(100-'Calculadora de preço'!$B$5), -1)</f>
        <v>#REF!</v>
      </c>
    </row>
    <row r="182">
      <c r="A182" s="2" t="s">
        <v>730</v>
      </c>
      <c r="B182" s="2" t="s">
        <v>731</v>
      </c>
      <c r="D182" s="2">
        <v>159.9</v>
      </c>
      <c r="E182" s="130">
        <v>88.0</v>
      </c>
      <c r="F182" s="2" t="str">
        <f>ROUNDUP(((($E182*'Calculadora de preço'!$B$4)+($E182*#REF!))*100)/(100-'Calculadora de preço'!$B$5), -1)</f>
        <v>#REF!</v>
      </c>
    </row>
    <row r="183">
      <c r="A183" s="2" t="s">
        <v>732</v>
      </c>
      <c r="B183" s="2" t="s">
        <v>733</v>
      </c>
      <c r="D183" s="2">
        <v>119.9</v>
      </c>
      <c r="E183" s="130">
        <v>48.9</v>
      </c>
      <c r="F183" s="2" t="str">
        <f>ROUNDUP(((($E183*'Calculadora de preço'!$B$4)+($E183*#REF!))*100)/(100-'Calculadora de preço'!$B$5), -1)</f>
        <v>#REF!</v>
      </c>
      <c r="G183" s="1">
        <v>1.0</v>
      </c>
    </row>
    <row r="184">
      <c r="A184" s="2" t="s">
        <v>734</v>
      </c>
      <c r="B184" s="2" t="s">
        <v>735</v>
      </c>
      <c r="D184" s="2">
        <v>119.9</v>
      </c>
      <c r="E184" s="130">
        <v>48.9</v>
      </c>
      <c r="F184" s="2" t="str">
        <f>ROUNDUP(((($E184*'Calculadora de preço'!$B$4)+($E184*#REF!))*100)/(100-'Calculadora de preço'!$B$5), -1)</f>
        <v>#REF!</v>
      </c>
    </row>
    <row r="185">
      <c r="A185" s="2" t="s">
        <v>736</v>
      </c>
      <c r="B185" s="2" t="s">
        <v>737</v>
      </c>
      <c r="D185" s="2">
        <v>119.9</v>
      </c>
      <c r="E185" s="130">
        <v>48.9</v>
      </c>
      <c r="F185" s="2" t="str">
        <f>ROUNDUP(((($E185*'Calculadora de preço'!$B$4)+($E185*#REF!))*100)/(100-'Calculadora de preço'!$B$5), -1)</f>
        <v>#REF!</v>
      </c>
    </row>
    <row r="186">
      <c r="A186" s="2" t="s">
        <v>738</v>
      </c>
      <c r="B186" s="2" t="s">
        <v>739</v>
      </c>
      <c r="D186" s="2">
        <v>119.9</v>
      </c>
      <c r="E186" s="130">
        <v>48.9</v>
      </c>
      <c r="F186" s="2" t="str">
        <f>ROUNDUP(((($E186*'Calculadora de preço'!$B$4)+($E186*#REF!))*100)/(100-'Calculadora de preço'!$B$5), -1)</f>
        <v>#REF!</v>
      </c>
    </row>
    <row r="187">
      <c r="A187" s="2" t="s">
        <v>740</v>
      </c>
      <c r="B187" s="2" t="s">
        <v>741</v>
      </c>
      <c r="D187" s="2">
        <v>119.9</v>
      </c>
      <c r="E187" s="130">
        <v>48.9</v>
      </c>
      <c r="F187" s="2" t="str">
        <f>ROUNDUP(((($E187*'Calculadora de preço'!$B$4)+($E187*#REF!))*100)/(100-'Calculadora de preço'!$B$5), -1)</f>
        <v>#REF!</v>
      </c>
    </row>
    <row r="188">
      <c r="A188" s="2" t="s">
        <v>742</v>
      </c>
      <c r="B188" s="2" t="s">
        <v>743</v>
      </c>
      <c r="D188" s="2">
        <v>119.9</v>
      </c>
      <c r="E188" s="130">
        <v>48.9</v>
      </c>
      <c r="F188" s="2" t="str">
        <f>ROUNDUP(((($E188*'Calculadora de preço'!$B$4)+($E188*#REF!))*100)/(100-'Calculadora de preço'!$B$5), -1)</f>
        <v>#REF!</v>
      </c>
    </row>
    <row r="189">
      <c r="A189" s="2" t="s">
        <v>744</v>
      </c>
      <c r="B189" s="2" t="s">
        <v>745</v>
      </c>
      <c r="D189" s="2">
        <v>119.9</v>
      </c>
      <c r="E189" s="130">
        <v>48.9</v>
      </c>
      <c r="F189" s="2" t="str">
        <f>ROUNDUP(((($E189*'Calculadora de preço'!$B$4)+($E189*#REF!))*100)/(100-'Calculadora de preço'!$B$5), -1)</f>
        <v>#REF!</v>
      </c>
    </row>
    <row r="190">
      <c r="A190" s="2" t="s">
        <v>746</v>
      </c>
      <c r="B190" s="2" t="s">
        <v>747</v>
      </c>
      <c r="D190" s="2">
        <v>119.9</v>
      </c>
      <c r="E190" s="130">
        <v>48.9</v>
      </c>
      <c r="F190" s="2" t="str">
        <f>ROUNDUP(((($E190*'Calculadora de preço'!$B$4)+($E190*#REF!))*100)/(100-'Calculadora de preço'!$B$5), -1)</f>
        <v>#REF!</v>
      </c>
    </row>
    <row r="191">
      <c r="A191" s="2" t="s">
        <v>748</v>
      </c>
      <c r="B191" s="2" t="s">
        <v>749</v>
      </c>
      <c r="D191" s="2">
        <v>119.9</v>
      </c>
      <c r="E191" s="130">
        <v>48.9</v>
      </c>
      <c r="F191" s="2" t="str">
        <f>ROUNDUP(((($E191*'Calculadora de preço'!$B$4)+($E191*#REF!))*100)/(100-'Calculadora de preço'!$B$5), -1)</f>
        <v>#REF!</v>
      </c>
    </row>
    <row r="192">
      <c r="A192" s="2" t="s">
        <v>750</v>
      </c>
      <c r="B192" s="2" t="s">
        <v>751</v>
      </c>
      <c r="D192" s="2">
        <v>119.9</v>
      </c>
      <c r="E192" s="130">
        <v>48.9</v>
      </c>
      <c r="F192" s="2" t="str">
        <f>ROUNDUP(((($E192*'Calculadora de preço'!$B$4)+($E192*#REF!))*100)/(100-'Calculadora de preço'!$B$5), -1)</f>
        <v>#REF!</v>
      </c>
    </row>
    <row r="193">
      <c r="A193" s="2" t="s">
        <v>752</v>
      </c>
      <c r="B193" s="2" t="s">
        <v>753</v>
      </c>
      <c r="D193" s="2">
        <v>119.9</v>
      </c>
      <c r="E193" s="130">
        <v>48.9</v>
      </c>
      <c r="F193" s="2" t="str">
        <f>ROUNDUP(((($E193*'Calculadora de preço'!$B$4)+($E193*#REF!))*100)/(100-'Calculadora de preço'!$B$5), -1)</f>
        <v>#REF!</v>
      </c>
    </row>
    <row r="194">
      <c r="A194" s="2" t="s">
        <v>754</v>
      </c>
      <c r="B194" s="2" t="s">
        <v>755</v>
      </c>
      <c r="D194" s="2">
        <v>119.9</v>
      </c>
      <c r="E194" s="130">
        <v>48.9</v>
      </c>
      <c r="F194" s="2" t="str">
        <f>ROUNDUP(((($E194*'Calculadora de preço'!$B$4)+($E194*#REF!))*100)/(100-'Calculadora de preço'!$B$5), -1)</f>
        <v>#REF!</v>
      </c>
    </row>
    <row r="195">
      <c r="A195" s="2" t="s">
        <v>756</v>
      </c>
      <c r="B195" s="2" t="s">
        <v>757</v>
      </c>
      <c r="D195" s="2">
        <v>119.9</v>
      </c>
      <c r="E195" s="130">
        <v>48.9</v>
      </c>
      <c r="F195" s="2" t="str">
        <f>ROUNDUP(((($E195*'Calculadora de preço'!$B$4)+($E195*#REF!))*100)/(100-'Calculadora de preço'!$B$5), -1)</f>
        <v>#REF!</v>
      </c>
    </row>
    <row r="196">
      <c r="A196" s="2" t="s">
        <v>758</v>
      </c>
      <c r="B196" s="2" t="s">
        <v>759</v>
      </c>
      <c r="D196" s="2">
        <v>119.9</v>
      </c>
      <c r="E196" s="130">
        <v>48.9</v>
      </c>
      <c r="F196" s="2" t="str">
        <f>ROUNDUP(((($E196*'Calculadora de preço'!$B$4)+($E196*#REF!))*100)/(100-'Calculadora de preço'!$B$5), -1)</f>
        <v>#REF!</v>
      </c>
    </row>
    <row r="197">
      <c r="A197" s="2" t="s">
        <v>760</v>
      </c>
      <c r="B197" s="2" t="s">
        <v>761</v>
      </c>
      <c r="D197" s="2">
        <v>119.9</v>
      </c>
      <c r="E197" s="130">
        <v>48.9</v>
      </c>
      <c r="F197" s="2" t="str">
        <f>ROUNDUP(((($E197*'Calculadora de preço'!$B$4)+($E197*#REF!))*100)/(100-'Calculadora de preço'!$B$5), -1)</f>
        <v>#REF!</v>
      </c>
    </row>
    <row r="198">
      <c r="A198" s="2" t="s">
        <v>762</v>
      </c>
      <c r="B198" s="2" t="s">
        <v>763</v>
      </c>
      <c r="D198" s="2">
        <v>119.9</v>
      </c>
      <c r="E198" s="130">
        <v>48.9</v>
      </c>
      <c r="F198" s="2" t="str">
        <f>ROUNDUP(((($E198*'Calculadora de preço'!$B$4)+($E198*#REF!))*100)/(100-'Calculadora de preço'!$B$5), -1)</f>
        <v>#REF!</v>
      </c>
    </row>
    <row r="199">
      <c r="A199" s="2" t="s">
        <v>764</v>
      </c>
      <c r="B199" s="2" t="s">
        <v>765</v>
      </c>
      <c r="D199" s="2">
        <v>119.9</v>
      </c>
      <c r="E199" s="130">
        <v>48.9</v>
      </c>
      <c r="F199" s="2" t="str">
        <f>ROUNDUP(((($E199*'Calculadora de preço'!$B$4)+($E199*#REF!))*100)/(100-'Calculadora de preço'!$B$5), -1)</f>
        <v>#REF!</v>
      </c>
    </row>
    <row r="200">
      <c r="A200" s="2" t="s">
        <v>766</v>
      </c>
      <c r="B200" s="2" t="s">
        <v>767</v>
      </c>
      <c r="D200" s="2">
        <v>119.9</v>
      </c>
      <c r="E200" s="130">
        <v>48.9</v>
      </c>
      <c r="F200" s="2" t="str">
        <f>ROUNDUP(((($E200*'Calculadora de preço'!$B$4)+($E200*#REF!))*100)/(100-'Calculadora de preço'!$B$5), -1)</f>
        <v>#REF!</v>
      </c>
    </row>
    <row r="201">
      <c r="A201" s="2" t="s">
        <v>768</v>
      </c>
      <c r="B201" s="2" t="s">
        <v>769</v>
      </c>
      <c r="D201" s="2">
        <v>119.9</v>
      </c>
      <c r="E201" s="130">
        <v>48.9</v>
      </c>
      <c r="F201" s="2" t="str">
        <f>ROUNDUP(((($E201*'Calculadora de preço'!$B$4)+($E201*#REF!))*100)/(100-'Calculadora de preço'!$B$5), -1)</f>
        <v>#REF!</v>
      </c>
    </row>
    <row r="202">
      <c r="A202" s="2" t="s">
        <v>770</v>
      </c>
      <c r="B202" s="2" t="s">
        <v>771</v>
      </c>
      <c r="D202" s="2">
        <v>119.9</v>
      </c>
      <c r="E202" s="130">
        <v>69.9</v>
      </c>
      <c r="F202" s="2" t="str">
        <f>ROUNDUP(((($E202*'Calculadora de preço'!$B$4)+($E202*#REF!))*100)/(100-'Calculadora de preço'!$B$5), -1)</f>
        <v>#REF!</v>
      </c>
    </row>
    <row r="203">
      <c r="A203" s="2" t="s">
        <v>772</v>
      </c>
      <c r="B203" s="2" t="s">
        <v>773</v>
      </c>
      <c r="C203" s="2" t="s">
        <v>774</v>
      </c>
      <c r="D203" s="2">
        <v>329.9</v>
      </c>
      <c r="E203" s="130">
        <v>165.9</v>
      </c>
      <c r="F203" s="2" t="str">
        <f>ROUNDUP(((($E203*'Calculadora de preço'!$B$4)+($E203*#REF!))*100)/(100-'Calculadora de preço'!$B$5), -1)</f>
        <v>#REF!</v>
      </c>
      <c r="G203" s="1">
        <v>1.0</v>
      </c>
    </row>
    <row r="204">
      <c r="A204" s="2" t="s">
        <v>775</v>
      </c>
      <c r="B204" s="2" t="s">
        <v>776</v>
      </c>
      <c r="C204" s="2" t="s">
        <v>777</v>
      </c>
      <c r="D204" s="2">
        <v>329.9</v>
      </c>
      <c r="E204" s="130">
        <v>165.9</v>
      </c>
      <c r="F204" s="2" t="str">
        <f>ROUNDUP(((($E204*'Calculadora de preço'!$B$4)+($E204*#REF!))*100)/(100-'Calculadora de preço'!$B$5), -1)</f>
        <v>#REF!</v>
      </c>
    </row>
    <row r="205">
      <c r="A205" s="2" t="s">
        <v>778</v>
      </c>
      <c r="B205" s="2" t="s">
        <v>779</v>
      </c>
      <c r="C205" s="2" t="s">
        <v>780</v>
      </c>
      <c r="D205" s="2">
        <v>329.9</v>
      </c>
      <c r="E205" s="130">
        <v>165.9</v>
      </c>
      <c r="F205" s="2" t="str">
        <f>ROUNDUP(((($E205*'Calculadora de preço'!$B$4)+($E205*#REF!))*100)/(100-'Calculadora de preço'!$B$5), -1)</f>
        <v>#REF!</v>
      </c>
    </row>
    <row r="206">
      <c r="A206" s="2" t="s">
        <v>781</v>
      </c>
      <c r="B206" s="2" t="s">
        <v>782</v>
      </c>
      <c r="C206" s="2" t="s">
        <v>783</v>
      </c>
      <c r="D206" s="2">
        <v>329.9</v>
      </c>
      <c r="E206" s="130">
        <v>165.9</v>
      </c>
      <c r="F206" s="2" t="str">
        <f>ROUNDUP(((($E206*'Calculadora de preço'!$B$4)+($E206*#REF!))*100)/(100-'Calculadora de preço'!$B$5), -1)</f>
        <v>#REF!</v>
      </c>
    </row>
    <row r="207">
      <c r="A207" s="2" t="s">
        <v>784</v>
      </c>
      <c r="B207" s="2" t="s">
        <v>785</v>
      </c>
      <c r="C207" s="2" t="s">
        <v>786</v>
      </c>
      <c r="D207" s="2">
        <v>329.9</v>
      </c>
      <c r="E207" s="130">
        <v>165.9</v>
      </c>
      <c r="F207" s="2" t="str">
        <f>ROUNDUP(((($E207*'Calculadora de preço'!$B$4)+($E207*#REF!))*100)/(100-'Calculadora de preço'!$B$5), -1)</f>
        <v>#REF!</v>
      </c>
    </row>
    <row r="208">
      <c r="A208" s="2" t="s">
        <v>787</v>
      </c>
      <c r="B208" s="2" t="s">
        <v>788</v>
      </c>
      <c r="C208" s="2" t="s">
        <v>789</v>
      </c>
      <c r="D208" s="2">
        <v>329.9</v>
      </c>
      <c r="E208" s="130">
        <v>165.9</v>
      </c>
      <c r="F208" s="2" t="str">
        <f>ROUNDUP(((($E208*'Calculadora de preço'!$B$4)+($E208*#REF!))*100)/(100-'Calculadora de preço'!$B$5), -1)</f>
        <v>#REF!</v>
      </c>
    </row>
    <row r="209">
      <c r="A209" s="2" t="s">
        <v>790</v>
      </c>
      <c r="B209" s="2" t="s">
        <v>791</v>
      </c>
      <c r="C209" s="2" t="s">
        <v>792</v>
      </c>
      <c r="D209" s="2">
        <v>329.9</v>
      </c>
      <c r="E209" s="130">
        <v>165.9</v>
      </c>
      <c r="F209" s="2" t="str">
        <f>ROUNDUP(((($E209*'Calculadora de preço'!$B$4)+($E209*#REF!))*100)/(100-'Calculadora de preço'!$B$5), -1)</f>
        <v>#REF!</v>
      </c>
    </row>
    <row r="210">
      <c r="A210" s="2" t="s">
        <v>793</v>
      </c>
      <c r="B210" s="2" t="s">
        <v>794</v>
      </c>
      <c r="C210" s="2" t="s">
        <v>795</v>
      </c>
      <c r="D210" s="2">
        <v>329.9</v>
      </c>
      <c r="E210" s="130">
        <v>165.9</v>
      </c>
      <c r="F210" s="2" t="str">
        <f>ROUNDUP(((($E210*'Calculadora de preço'!$B$4)+($E210*#REF!))*100)/(100-'Calculadora de preço'!$B$5), -1)</f>
        <v>#REF!</v>
      </c>
    </row>
    <row r="211">
      <c r="A211" s="2" t="s">
        <v>796</v>
      </c>
      <c r="B211" s="2" t="s">
        <v>797</v>
      </c>
      <c r="C211" s="2" t="s">
        <v>798</v>
      </c>
      <c r="D211" s="2">
        <v>329.9</v>
      </c>
      <c r="E211" s="130">
        <v>165.9</v>
      </c>
      <c r="F211" s="2" t="str">
        <f>ROUNDUP(((($E211*'Calculadora de preço'!$B$4)+($E211*#REF!))*100)/(100-'Calculadora de preço'!$B$5), -1)</f>
        <v>#REF!</v>
      </c>
    </row>
    <row r="212">
      <c r="A212" s="2" t="s">
        <v>799</v>
      </c>
      <c r="B212" s="2" t="s">
        <v>800</v>
      </c>
      <c r="C212" s="2" t="s">
        <v>801</v>
      </c>
      <c r="D212" s="2">
        <v>329.9</v>
      </c>
      <c r="E212" s="130">
        <v>165.9</v>
      </c>
      <c r="F212" s="2" t="str">
        <f>ROUNDUP(((($E212*'Calculadora de preço'!$B$4)+($E212*#REF!))*100)/(100-'Calculadora de preço'!$B$5), -1)</f>
        <v>#REF!</v>
      </c>
    </row>
    <row r="213">
      <c r="A213" s="2" t="s">
        <v>802</v>
      </c>
      <c r="B213" s="2" t="s">
        <v>803</v>
      </c>
      <c r="C213" s="2" t="s">
        <v>804</v>
      </c>
      <c r="D213" s="2">
        <v>329.9</v>
      </c>
      <c r="E213" s="130">
        <v>165.9</v>
      </c>
      <c r="F213" s="2" t="str">
        <f>ROUNDUP(((($E213*'Calculadora de preço'!$B$4)+($E213*#REF!))*100)/(100-'Calculadora de preço'!$B$5), -1)</f>
        <v>#REF!</v>
      </c>
      <c r="G213" s="1">
        <v>1.0</v>
      </c>
    </row>
    <row r="214">
      <c r="A214" s="2" t="s">
        <v>805</v>
      </c>
      <c r="B214" s="2" t="s">
        <v>806</v>
      </c>
      <c r="C214" s="2" t="s">
        <v>807</v>
      </c>
      <c r="D214" s="2">
        <v>329.9</v>
      </c>
      <c r="E214" s="130">
        <v>165.9</v>
      </c>
      <c r="F214" s="2" t="str">
        <f>ROUNDUP(((($E214*'Calculadora de preço'!$B$4)+($E214*#REF!))*100)/(100-'Calculadora de preço'!$B$5), -1)</f>
        <v>#REF!</v>
      </c>
    </row>
    <row r="215">
      <c r="A215" s="2" t="s">
        <v>808</v>
      </c>
      <c r="B215" s="2" t="s">
        <v>809</v>
      </c>
      <c r="C215" s="2" t="s">
        <v>810</v>
      </c>
      <c r="D215" s="2">
        <v>329.9</v>
      </c>
      <c r="E215" s="130">
        <v>165.9</v>
      </c>
      <c r="F215" s="2" t="str">
        <f>ROUNDUP(((($E215*'Calculadora de preço'!$B$4)+($E215*#REF!))*100)/(100-'Calculadora de preço'!$B$5), -1)</f>
        <v>#REF!</v>
      </c>
    </row>
    <row r="216">
      <c r="A216" s="2" t="s">
        <v>811</v>
      </c>
      <c r="B216" s="2" t="s">
        <v>812</v>
      </c>
      <c r="C216" s="2" t="s">
        <v>813</v>
      </c>
      <c r="D216" s="2">
        <v>329.9</v>
      </c>
      <c r="E216" s="130">
        <v>165.9</v>
      </c>
      <c r="F216" s="2" t="str">
        <f>ROUNDUP(((($E216*'Calculadora de preço'!$B$4)+($E216*#REF!))*100)/(100-'Calculadora de preço'!$B$5), -1)</f>
        <v>#REF!</v>
      </c>
    </row>
    <row r="217">
      <c r="A217" s="2" t="s">
        <v>814</v>
      </c>
      <c r="B217" s="2" t="s">
        <v>815</v>
      </c>
      <c r="C217" s="2" t="s">
        <v>816</v>
      </c>
      <c r="D217" s="2">
        <v>329.9</v>
      </c>
      <c r="E217" s="130">
        <v>165.9</v>
      </c>
      <c r="F217" s="2" t="str">
        <f>ROUNDUP(((($E217*'Calculadora de preço'!$B$4)+($E217*#REF!))*100)/(100-'Calculadora de preço'!$B$5), -1)</f>
        <v>#REF!</v>
      </c>
    </row>
    <row r="218">
      <c r="A218" s="2" t="s">
        <v>817</v>
      </c>
      <c r="B218" s="2" t="s">
        <v>818</v>
      </c>
      <c r="C218" s="2" t="s">
        <v>819</v>
      </c>
      <c r="D218" s="2">
        <v>329.9</v>
      </c>
      <c r="E218" s="130">
        <v>165.9</v>
      </c>
      <c r="F218" s="2" t="str">
        <f>ROUNDUP(((($E218*'Calculadora de preço'!$B$4)+($E218*#REF!))*100)/(100-'Calculadora de preço'!$B$5), -1)</f>
        <v>#REF!</v>
      </c>
    </row>
    <row r="219">
      <c r="A219" s="2" t="s">
        <v>820</v>
      </c>
      <c r="B219" s="2" t="s">
        <v>821</v>
      </c>
      <c r="C219" s="2" t="s">
        <v>822</v>
      </c>
      <c r="D219" s="2">
        <v>329.9</v>
      </c>
      <c r="E219" s="130">
        <v>165.9</v>
      </c>
      <c r="F219" s="2" t="str">
        <f>ROUNDUP(((($E219*'Calculadora de preço'!$B$4)+($E219*#REF!))*100)/(100-'Calculadora de preço'!$B$5), -1)</f>
        <v>#REF!</v>
      </c>
    </row>
    <row r="220">
      <c r="A220" s="2" t="s">
        <v>823</v>
      </c>
      <c r="B220" s="2" t="s">
        <v>824</v>
      </c>
      <c r="C220" s="2" t="s">
        <v>825</v>
      </c>
      <c r="D220" s="2">
        <v>329.9</v>
      </c>
      <c r="E220" s="130">
        <v>165.9</v>
      </c>
      <c r="F220" s="2" t="str">
        <f>ROUNDUP(((($E220*'Calculadora de preço'!$B$4)+($E220*#REF!))*100)/(100-'Calculadora de preço'!$B$5), -1)</f>
        <v>#REF!</v>
      </c>
    </row>
    <row r="221">
      <c r="A221" s="2" t="s">
        <v>826</v>
      </c>
      <c r="B221" s="2" t="s">
        <v>827</v>
      </c>
      <c r="C221" s="2" t="s">
        <v>828</v>
      </c>
      <c r="D221" s="2">
        <v>329.9</v>
      </c>
      <c r="E221" s="130">
        <v>165.9</v>
      </c>
      <c r="F221" s="2" t="str">
        <f>ROUNDUP(((($E221*'Calculadora de preço'!$B$4)+($E221*#REF!))*100)/(100-'Calculadora de preço'!$B$5), -1)</f>
        <v>#REF!</v>
      </c>
    </row>
    <row r="222">
      <c r="A222" s="2" t="s">
        <v>829</v>
      </c>
      <c r="B222" s="2" t="s">
        <v>830</v>
      </c>
      <c r="C222" s="2" t="s">
        <v>831</v>
      </c>
      <c r="D222" s="2">
        <v>329.9</v>
      </c>
      <c r="E222" s="130">
        <v>165.9</v>
      </c>
      <c r="F222" s="2" t="str">
        <f>ROUNDUP(((($E222*'Calculadora de preço'!$B$4)+($E222*#REF!))*100)/(100-'Calculadora de preço'!$B$5), -1)</f>
        <v>#REF!</v>
      </c>
    </row>
    <row r="223">
      <c r="A223" s="2" t="s">
        <v>832</v>
      </c>
      <c r="B223" s="2" t="s">
        <v>833</v>
      </c>
      <c r="C223" s="2" t="s">
        <v>834</v>
      </c>
      <c r="D223" s="2">
        <v>329.9</v>
      </c>
      <c r="E223" s="130">
        <v>165.9</v>
      </c>
      <c r="F223" s="2" t="str">
        <f>ROUNDUP(((($E223*'Calculadora de preço'!$B$4)+($E223*#REF!))*100)/(100-'Calculadora de preço'!$B$5), -1)</f>
        <v>#REF!</v>
      </c>
    </row>
    <row r="224">
      <c r="A224" s="2" t="s">
        <v>835</v>
      </c>
      <c r="B224" s="2" t="s">
        <v>836</v>
      </c>
      <c r="D224" s="2">
        <v>149.9</v>
      </c>
      <c r="E224" s="130">
        <v>79.9</v>
      </c>
      <c r="F224" s="2" t="str">
        <f>ROUNDUP(((($E224*'Calculadora de preço'!$B$4)+($E224*#REF!))*100)/(100-'Calculadora de preço'!$B$5), -1)</f>
        <v>#REF!</v>
      </c>
      <c r="G224" s="1">
        <v>1.0</v>
      </c>
    </row>
    <row r="225">
      <c r="A225" s="2" t="s">
        <v>837</v>
      </c>
      <c r="B225" s="2" t="s">
        <v>838</v>
      </c>
      <c r="D225" s="2">
        <v>149.9</v>
      </c>
      <c r="E225" s="130">
        <v>79.9</v>
      </c>
      <c r="F225" s="2" t="str">
        <f>ROUNDUP(((($E225*'Calculadora de preço'!$B$4)+($E225*#REF!))*100)/(100-'Calculadora de preço'!$B$5), -1)</f>
        <v>#REF!</v>
      </c>
      <c r="G225" s="1">
        <v>1.0</v>
      </c>
    </row>
    <row r="226">
      <c r="A226" s="2" t="s">
        <v>839</v>
      </c>
      <c r="B226" s="2" t="s">
        <v>840</v>
      </c>
      <c r="D226" s="2">
        <v>89.9</v>
      </c>
      <c r="E226" s="130">
        <v>40.54</v>
      </c>
      <c r="F226" s="2" t="str">
        <f>ROUNDUP(((($E226*'Calculadora de preço'!$B$4)+($E226*#REF!))*100)/(100-'Calculadora de preço'!$B$5), -1)</f>
        <v>#REF!</v>
      </c>
      <c r="G226" s="1">
        <v>1.0</v>
      </c>
    </row>
    <row r="227">
      <c r="A227" s="2" t="s">
        <v>841</v>
      </c>
      <c r="B227" s="2" t="s">
        <v>842</v>
      </c>
      <c r="D227" s="2">
        <v>89.9</v>
      </c>
      <c r="E227" s="130">
        <v>40.35</v>
      </c>
      <c r="F227" s="2" t="str">
        <f>ROUNDUP(((($E227*'Calculadora de preço'!$B$4)+($E227*#REF!))*100)/(100-'Calculadora de preço'!$B$5), -1)</f>
        <v>#REF!</v>
      </c>
    </row>
    <row r="228">
      <c r="A228" s="2" t="s">
        <v>843</v>
      </c>
      <c r="B228" s="2" t="s">
        <v>844</v>
      </c>
      <c r="D228" s="2">
        <v>89.9</v>
      </c>
      <c r="E228" s="130">
        <v>40.54</v>
      </c>
      <c r="F228" s="2" t="str">
        <f>ROUNDUP(((($E228*'Calculadora de preço'!$B$4)+($E228*#REF!))*100)/(100-'Calculadora de preço'!$B$5), -1)</f>
        <v>#REF!</v>
      </c>
    </row>
    <row r="229">
      <c r="A229" s="2" t="s">
        <v>845</v>
      </c>
      <c r="B229" s="2" t="s">
        <v>846</v>
      </c>
      <c r="D229" s="2">
        <v>89.9</v>
      </c>
      <c r="E229" s="130">
        <v>40.54</v>
      </c>
      <c r="F229" s="2" t="str">
        <f>ROUNDUP(((($E229*'Calculadora de preço'!$B$4)+($E229*#REF!))*100)/(100-'Calculadora de preço'!$B$5), -1)</f>
        <v>#REF!</v>
      </c>
    </row>
    <row r="230">
      <c r="A230" s="2" t="s">
        <v>847</v>
      </c>
      <c r="B230" s="2" t="s">
        <v>848</v>
      </c>
      <c r="C230" s="2" t="s">
        <v>849</v>
      </c>
      <c r="D230" s="2">
        <v>199.9</v>
      </c>
      <c r="E230" s="130">
        <v>90.9</v>
      </c>
      <c r="F230" s="2" t="str">
        <f>ROUNDUP(((($E230*'Calculadora de preço'!$B$4)+($E230*#REF!))*100)/(100-'Calculadora de preço'!$B$5), -1)</f>
        <v>#REF!</v>
      </c>
      <c r="G230" s="1">
        <v>1.0</v>
      </c>
    </row>
    <row r="231">
      <c r="A231" s="2" t="s">
        <v>850</v>
      </c>
      <c r="B231" s="2" t="s">
        <v>851</v>
      </c>
      <c r="C231" s="2" t="s">
        <v>852</v>
      </c>
      <c r="D231" s="2">
        <v>199.9</v>
      </c>
      <c r="E231" s="130">
        <v>90.9</v>
      </c>
      <c r="F231" s="2" t="str">
        <f>ROUNDUP(((($E231*'Calculadora de preço'!$B$4)+($E231*#REF!))*100)/(100-'Calculadora de preço'!$B$5), -1)</f>
        <v>#REF!</v>
      </c>
    </row>
    <row r="232">
      <c r="A232" s="2" t="s">
        <v>853</v>
      </c>
      <c r="B232" s="2" t="s">
        <v>854</v>
      </c>
      <c r="C232" s="2" t="s">
        <v>855</v>
      </c>
      <c r="D232" s="2">
        <v>199.9</v>
      </c>
      <c r="E232" s="130">
        <v>90.9</v>
      </c>
      <c r="F232" s="2" t="str">
        <f>ROUNDUP(((($E232*'Calculadora de preço'!$B$4)+($E232*#REF!))*100)/(100-'Calculadora de preço'!$B$5), -1)</f>
        <v>#REF!</v>
      </c>
    </row>
    <row r="233">
      <c r="A233" s="2" t="s">
        <v>856</v>
      </c>
      <c r="B233" s="2" t="s">
        <v>857</v>
      </c>
      <c r="C233" s="2" t="s">
        <v>858</v>
      </c>
      <c r="D233" s="2">
        <v>199.9</v>
      </c>
      <c r="E233" s="130">
        <v>90.9</v>
      </c>
      <c r="F233" s="2" t="str">
        <f>ROUNDUP(((($E233*'Calculadora de preço'!$B$4)+($E233*#REF!))*100)/(100-'Calculadora de preço'!$B$5), -1)</f>
        <v>#REF!</v>
      </c>
    </row>
    <row r="234">
      <c r="A234" s="2" t="s">
        <v>859</v>
      </c>
      <c r="B234" s="2" t="s">
        <v>860</v>
      </c>
      <c r="C234" s="2" t="s">
        <v>861</v>
      </c>
      <c r="D234" s="2">
        <v>199.9</v>
      </c>
      <c r="E234" s="130">
        <v>90.9</v>
      </c>
      <c r="F234" s="2" t="str">
        <f>ROUNDUP(((($E234*'Calculadora de preço'!$B$4)+($E234*#REF!))*100)/(100-'Calculadora de preço'!$B$5), -1)</f>
        <v>#REF!</v>
      </c>
    </row>
    <row r="235">
      <c r="A235" s="2" t="s">
        <v>862</v>
      </c>
      <c r="B235" s="2" t="s">
        <v>863</v>
      </c>
      <c r="C235" s="2" t="s">
        <v>864</v>
      </c>
      <c r="D235" s="2">
        <v>199.9</v>
      </c>
      <c r="E235" s="130">
        <v>90.9</v>
      </c>
      <c r="F235" s="2" t="str">
        <f>ROUNDUP(((($E235*'Calculadora de preço'!$B$4)+($E235*#REF!))*100)/(100-'Calculadora de preço'!$B$5), -1)</f>
        <v>#REF!</v>
      </c>
    </row>
    <row r="236">
      <c r="A236" s="2" t="s">
        <v>865</v>
      </c>
      <c r="B236" s="2" t="s">
        <v>866</v>
      </c>
      <c r="C236" s="2" t="s">
        <v>867</v>
      </c>
      <c r="D236" s="2">
        <v>199.9</v>
      </c>
      <c r="E236" s="130">
        <v>90.9</v>
      </c>
      <c r="F236" s="2" t="str">
        <f>ROUNDUP(((($E236*'Calculadora de preço'!$B$4)+($E236*#REF!))*100)/(100-'Calculadora de preço'!$B$5), -1)</f>
        <v>#REF!</v>
      </c>
      <c r="G236" s="1">
        <v>1.0</v>
      </c>
    </row>
    <row r="237">
      <c r="A237" s="2" t="s">
        <v>868</v>
      </c>
      <c r="B237" s="2" t="s">
        <v>869</v>
      </c>
      <c r="C237" s="2" t="s">
        <v>870</v>
      </c>
      <c r="D237" s="2">
        <v>199.9</v>
      </c>
      <c r="E237" s="130">
        <v>90.9</v>
      </c>
      <c r="F237" s="2" t="str">
        <f>ROUNDUP(((($E237*'Calculadora de preço'!$B$4)+($E237*#REF!))*100)/(100-'Calculadora de preço'!$B$5), -1)</f>
        <v>#REF!</v>
      </c>
    </row>
    <row r="238">
      <c r="A238" s="2" t="s">
        <v>871</v>
      </c>
      <c r="B238" s="2" t="s">
        <v>872</v>
      </c>
      <c r="C238" s="2" t="s">
        <v>873</v>
      </c>
      <c r="D238" s="2">
        <v>199.9</v>
      </c>
      <c r="E238" s="130">
        <v>90.9</v>
      </c>
      <c r="F238" s="2" t="str">
        <f>ROUNDUP(((($E238*'Calculadora de preço'!$B$4)+($E238*#REF!))*100)/(100-'Calculadora de preço'!$B$5), -1)</f>
        <v>#REF!</v>
      </c>
    </row>
    <row r="239">
      <c r="A239" s="2" t="s">
        <v>874</v>
      </c>
      <c r="B239" s="2" t="s">
        <v>875</v>
      </c>
      <c r="C239" s="2" t="s">
        <v>876</v>
      </c>
      <c r="D239" s="2">
        <v>199.9</v>
      </c>
      <c r="E239" s="130">
        <v>90.9</v>
      </c>
      <c r="F239" s="2" t="str">
        <f>ROUNDUP(((($E239*'Calculadora de preço'!$B$4)+($E239*#REF!))*100)/(100-'Calculadora de preço'!$B$5), -1)</f>
        <v>#REF!</v>
      </c>
    </row>
    <row r="240">
      <c r="A240" s="2" t="s">
        <v>877</v>
      </c>
      <c r="B240" s="2" t="s">
        <v>878</v>
      </c>
      <c r="C240" s="2" t="s">
        <v>879</v>
      </c>
      <c r="D240" s="2">
        <v>199.9</v>
      </c>
      <c r="E240" s="130">
        <v>90.9</v>
      </c>
      <c r="F240" s="2" t="str">
        <f>ROUNDUP(((($E240*'Calculadora de preço'!$B$4)+($E240*#REF!))*100)/(100-'Calculadora de preço'!$B$5), -1)</f>
        <v>#REF!</v>
      </c>
    </row>
    <row r="241">
      <c r="A241" s="2" t="s">
        <v>880</v>
      </c>
      <c r="B241" s="2" t="s">
        <v>881</v>
      </c>
      <c r="C241" s="2" t="s">
        <v>882</v>
      </c>
      <c r="D241" s="2">
        <v>199.9</v>
      </c>
      <c r="E241" s="130">
        <v>90.9</v>
      </c>
      <c r="F241" s="2" t="str">
        <f>ROUNDUP(((($E241*'Calculadora de preço'!$B$4)+($E241*#REF!))*100)/(100-'Calculadora de preço'!$B$5), -1)</f>
        <v>#REF!</v>
      </c>
    </row>
    <row r="242">
      <c r="A242" s="2" t="s">
        <v>883</v>
      </c>
      <c r="B242" s="2" t="s">
        <v>884</v>
      </c>
      <c r="C242" s="2" t="s">
        <v>885</v>
      </c>
      <c r="D242" s="2">
        <v>199.9</v>
      </c>
      <c r="E242" s="130">
        <v>90.9</v>
      </c>
      <c r="F242" s="2" t="str">
        <f>ROUNDUP(((($E242*'Calculadora de preço'!$B$4)+($E242*#REF!))*100)/(100-'Calculadora de preço'!$B$5), -1)</f>
        <v>#REF!</v>
      </c>
    </row>
    <row r="243">
      <c r="A243" s="2" t="s">
        <v>886</v>
      </c>
      <c r="B243" s="2" t="s">
        <v>887</v>
      </c>
      <c r="C243" s="2" t="s">
        <v>888</v>
      </c>
      <c r="D243" s="2">
        <v>199.9</v>
      </c>
      <c r="E243" s="130">
        <v>90.9</v>
      </c>
      <c r="F243" s="2" t="str">
        <f>ROUNDUP(((($E243*'Calculadora de preço'!$B$4)+($E243*#REF!))*100)/(100-'Calculadora de preço'!$B$5), -1)</f>
        <v>#REF!</v>
      </c>
      <c r="G243" s="1">
        <v>1.0</v>
      </c>
    </row>
    <row r="244">
      <c r="A244" s="2" t="s">
        <v>889</v>
      </c>
      <c r="B244" s="2" t="s">
        <v>890</v>
      </c>
      <c r="C244" s="2" t="s">
        <v>891</v>
      </c>
      <c r="D244" s="2">
        <v>199.9</v>
      </c>
      <c r="E244" s="130">
        <v>90.9</v>
      </c>
      <c r="F244" s="2" t="str">
        <f>ROUNDUP(((($E244*'Calculadora de preço'!$B$4)+($E244*#REF!))*100)/(100-'Calculadora de preço'!$B$5), -1)</f>
        <v>#REF!</v>
      </c>
    </row>
    <row r="245">
      <c r="A245" s="2" t="s">
        <v>892</v>
      </c>
      <c r="B245" s="2" t="s">
        <v>893</v>
      </c>
      <c r="C245" s="2" t="s">
        <v>894</v>
      </c>
      <c r="D245" s="2">
        <v>199.9</v>
      </c>
      <c r="E245" s="130">
        <v>90.9</v>
      </c>
      <c r="F245" s="2" t="str">
        <f>ROUNDUP(((($E245*'Calculadora de preço'!$B$4)+($E245*#REF!))*100)/(100-'Calculadora de preço'!$B$5), -1)</f>
        <v>#REF!</v>
      </c>
    </row>
    <row r="246">
      <c r="A246" s="2" t="s">
        <v>895</v>
      </c>
      <c r="B246" s="2" t="s">
        <v>896</v>
      </c>
      <c r="C246" s="2" t="s">
        <v>897</v>
      </c>
      <c r="D246" s="2">
        <v>199.9</v>
      </c>
      <c r="E246" s="130">
        <v>90.9</v>
      </c>
      <c r="F246" s="2" t="str">
        <f>ROUNDUP(((($E246*'Calculadora de preço'!$B$4)+($E246*#REF!))*100)/(100-'Calculadora de preço'!$B$5), -1)</f>
        <v>#REF!</v>
      </c>
    </row>
    <row r="247">
      <c r="A247" s="2" t="s">
        <v>898</v>
      </c>
      <c r="B247" s="2" t="s">
        <v>899</v>
      </c>
      <c r="C247" s="2" t="s">
        <v>900</v>
      </c>
      <c r="D247" s="2">
        <v>199.9</v>
      </c>
      <c r="E247" s="130">
        <v>90.9</v>
      </c>
      <c r="F247" s="2" t="str">
        <f>ROUNDUP(((($E247*'Calculadora de preço'!$B$4)+($E247*#REF!))*100)/(100-'Calculadora de preço'!$B$5), -1)</f>
        <v>#REF!</v>
      </c>
    </row>
    <row r="248">
      <c r="A248" s="2" t="s">
        <v>901</v>
      </c>
      <c r="B248" s="2" t="s">
        <v>902</v>
      </c>
      <c r="C248" s="2" t="s">
        <v>903</v>
      </c>
      <c r="D248" s="2">
        <v>249.9</v>
      </c>
      <c r="E248" s="130">
        <v>121.9</v>
      </c>
      <c r="F248" s="2" t="str">
        <f>ROUNDUP(((($E248*'Calculadora de preço'!$B$4)+($E248*#REF!))*100)/(100-'Calculadora de preço'!$B$5), -1)</f>
        <v>#REF!</v>
      </c>
      <c r="G248" s="1">
        <v>1.0</v>
      </c>
    </row>
    <row r="249">
      <c r="A249" s="2" t="s">
        <v>904</v>
      </c>
      <c r="B249" s="2" t="s">
        <v>905</v>
      </c>
      <c r="C249" s="2" t="s">
        <v>906</v>
      </c>
      <c r="D249" s="2">
        <v>249.9</v>
      </c>
      <c r="E249" s="130">
        <v>121.9</v>
      </c>
      <c r="F249" s="2" t="str">
        <f>ROUNDUP(((($E249*'Calculadora de preço'!$B$4)+($E249*#REF!))*100)/(100-'Calculadora de preço'!$B$5), -1)</f>
        <v>#REF!</v>
      </c>
    </row>
    <row r="250">
      <c r="A250" s="2" t="s">
        <v>907</v>
      </c>
      <c r="B250" s="2" t="s">
        <v>908</v>
      </c>
      <c r="C250" s="2" t="s">
        <v>909</v>
      </c>
      <c r="D250" s="2">
        <v>249.9</v>
      </c>
      <c r="E250" s="130">
        <v>121.9</v>
      </c>
      <c r="F250" s="2" t="str">
        <f>ROUNDUP(((($E250*'Calculadora de preço'!$B$4)+($E250*#REF!))*100)/(100-'Calculadora de preço'!$B$5), -1)</f>
        <v>#REF!</v>
      </c>
    </row>
    <row r="251">
      <c r="A251" s="2" t="s">
        <v>910</v>
      </c>
      <c r="B251" s="2" t="s">
        <v>911</v>
      </c>
      <c r="C251" s="2" t="s">
        <v>912</v>
      </c>
      <c r="D251" s="2">
        <v>249.9</v>
      </c>
      <c r="E251" s="130">
        <v>121.9</v>
      </c>
      <c r="F251" s="2" t="str">
        <f>ROUNDUP(((($E251*'Calculadora de preço'!$B$4)+($E251*#REF!))*100)/(100-'Calculadora de preço'!$B$5), -1)</f>
        <v>#REF!</v>
      </c>
    </row>
    <row r="252">
      <c r="A252" s="2" t="s">
        <v>913</v>
      </c>
      <c r="B252" s="2" t="s">
        <v>914</v>
      </c>
      <c r="C252" s="2" t="s">
        <v>915</v>
      </c>
      <c r="D252" s="2">
        <v>249.9</v>
      </c>
      <c r="E252" s="130">
        <v>121.9</v>
      </c>
      <c r="F252" s="2" t="str">
        <f>ROUNDUP(((($E252*'Calculadora de preço'!$B$4)+($E252*#REF!))*100)/(100-'Calculadora de preço'!$B$5), -1)</f>
        <v>#REF!</v>
      </c>
    </row>
    <row r="253">
      <c r="A253" s="2" t="s">
        <v>916</v>
      </c>
      <c r="B253" s="2" t="s">
        <v>917</v>
      </c>
      <c r="C253" s="2" t="s">
        <v>918</v>
      </c>
      <c r="D253" s="2">
        <v>199.9</v>
      </c>
      <c r="E253" s="130">
        <v>90.9</v>
      </c>
      <c r="F253" s="2" t="str">
        <f>ROUNDUP(((($E253*'Calculadora de preço'!$B$4)+($E253*#REF!))*100)/(100-'Calculadora de preço'!$B$5), -1)</f>
        <v>#REF!</v>
      </c>
      <c r="G253" s="1">
        <v>1.0</v>
      </c>
    </row>
    <row r="254">
      <c r="A254" s="2" t="s">
        <v>919</v>
      </c>
      <c r="B254" s="2" t="s">
        <v>920</v>
      </c>
      <c r="C254" s="2" t="s">
        <v>921</v>
      </c>
      <c r="D254" s="2">
        <v>199.9</v>
      </c>
      <c r="E254" s="130">
        <v>90.9</v>
      </c>
      <c r="F254" s="2" t="str">
        <f>ROUNDUP(((($E254*'Calculadora de preço'!$B$4)+($E254*#REF!))*100)/(100-'Calculadora de preço'!$B$5), -1)</f>
        <v>#REF!</v>
      </c>
    </row>
    <row r="255">
      <c r="A255" s="2" t="s">
        <v>922</v>
      </c>
      <c r="B255" s="2" t="s">
        <v>923</v>
      </c>
      <c r="C255" s="2" t="s">
        <v>924</v>
      </c>
      <c r="D255" s="2">
        <v>199.9</v>
      </c>
      <c r="E255" s="130">
        <v>90.9</v>
      </c>
      <c r="F255" s="2" t="str">
        <f>ROUNDUP(((($E255*'Calculadora de preço'!$B$4)+($E255*#REF!))*100)/(100-'Calculadora de preço'!$B$5), -1)</f>
        <v>#REF!</v>
      </c>
    </row>
    <row r="256">
      <c r="A256" s="2" t="s">
        <v>925</v>
      </c>
      <c r="B256" s="2" t="s">
        <v>926</v>
      </c>
      <c r="C256" s="2" t="s">
        <v>927</v>
      </c>
      <c r="D256" s="2">
        <v>199.9</v>
      </c>
      <c r="E256" s="130">
        <v>90.9</v>
      </c>
      <c r="F256" s="2" t="str">
        <f>ROUNDUP(((($E256*'Calculadora de preço'!$B$4)+($E256*#REF!))*100)/(100-'Calculadora de preço'!$B$5), -1)</f>
        <v>#REF!</v>
      </c>
    </row>
    <row r="257">
      <c r="A257" s="2" t="s">
        <v>928</v>
      </c>
      <c r="B257" s="2" t="s">
        <v>929</v>
      </c>
      <c r="C257" s="2" t="s">
        <v>930</v>
      </c>
      <c r="D257" s="2">
        <v>199.9</v>
      </c>
      <c r="E257" s="130">
        <v>90.9</v>
      </c>
      <c r="F257" s="2" t="str">
        <f>ROUNDUP(((($E257*'Calculadora de preço'!$B$4)+($E257*#REF!))*100)/(100-'Calculadora de preço'!$B$5), -1)</f>
        <v>#REF!</v>
      </c>
    </row>
    <row r="258">
      <c r="A258" s="2" t="s">
        <v>931</v>
      </c>
      <c r="B258" s="2" t="s">
        <v>932</v>
      </c>
      <c r="C258" s="2" t="s">
        <v>933</v>
      </c>
      <c r="D258" s="2">
        <v>199.9</v>
      </c>
      <c r="E258" s="130">
        <v>90.9</v>
      </c>
      <c r="F258" s="2" t="str">
        <f>ROUNDUP(((($E258*'Calculadora de preço'!$B$4)+($E258*#REF!))*100)/(100-'Calculadora de preço'!$B$5), -1)</f>
        <v>#REF!</v>
      </c>
    </row>
    <row r="259">
      <c r="A259" s="2" t="s">
        <v>934</v>
      </c>
      <c r="B259" s="2" t="s">
        <v>935</v>
      </c>
      <c r="C259" s="2" t="s">
        <v>936</v>
      </c>
      <c r="D259" s="2">
        <v>199.9</v>
      </c>
      <c r="E259" s="130">
        <v>90.9</v>
      </c>
      <c r="F259" s="2" t="str">
        <f>ROUNDUP(((($E259*'Calculadora de preço'!$B$4)+($E259*#REF!))*100)/(100-'Calculadora de preço'!$B$5), -1)</f>
        <v>#REF!</v>
      </c>
      <c r="G259" s="1">
        <v>1.0</v>
      </c>
    </row>
    <row r="260">
      <c r="A260" s="2" t="s">
        <v>937</v>
      </c>
      <c r="B260" s="2" t="s">
        <v>938</v>
      </c>
      <c r="C260" s="2" t="s">
        <v>939</v>
      </c>
      <c r="D260" s="2">
        <v>199.9</v>
      </c>
      <c r="E260" s="130">
        <v>90.9</v>
      </c>
      <c r="F260" s="2" t="str">
        <f>ROUNDUP(((($E260*'Calculadora de preço'!$B$4)+($E260*#REF!))*100)/(100-'Calculadora de preço'!$B$5), -1)</f>
        <v>#REF!</v>
      </c>
    </row>
    <row r="261">
      <c r="A261" s="2" t="s">
        <v>940</v>
      </c>
      <c r="B261" s="2" t="s">
        <v>941</v>
      </c>
      <c r="C261" s="2" t="s">
        <v>942</v>
      </c>
      <c r="D261" s="2">
        <v>199.9</v>
      </c>
      <c r="E261" s="130">
        <v>90.9</v>
      </c>
      <c r="F261" s="2" t="str">
        <f>ROUNDUP(((($E261*'Calculadora de preço'!$B$4)+($E261*#REF!))*100)/(100-'Calculadora de preço'!$B$5), -1)</f>
        <v>#REF!</v>
      </c>
    </row>
    <row r="262">
      <c r="A262" s="2" t="s">
        <v>943</v>
      </c>
      <c r="B262" s="2" t="s">
        <v>944</v>
      </c>
      <c r="C262" s="2" t="s">
        <v>945</v>
      </c>
      <c r="D262" s="2">
        <v>199.9</v>
      </c>
      <c r="E262" s="130">
        <v>90.9</v>
      </c>
      <c r="F262" s="2" t="str">
        <f>ROUNDUP(((($E262*'Calculadora de preço'!$B$4)+($E262*#REF!))*100)/(100-'Calculadora de preço'!$B$5), -1)</f>
        <v>#REF!</v>
      </c>
    </row>
    <row r="263">
      <c r="A263" s="2" t="s">
        <v>946</v>
      </c>
      <c r="B263" s="2" t="s">
        <v>947</v>
      </c>
      <c r="C263" s="2" t="s">
        <v>948</v>
      </c>
      <c r="D263" s="2">
        <v>199.9</v>
      </c>
      <c r="E263" s="130">
        <v>90.9</v>
      </c>
      <c r="F263" s="2" t="str">
        <f>ROUNDUP(((($E263*'Calculadora de preço'!$B$4)+($E263*#REF!))*100)/(100-'Calculadora de preço'!$B$5), -1)</f>
        <v>#REF!</v>
      </c>
    </row>
    <row r="264">
      <c r="A264" s="2" t="s">
        <v>949</v>
      </c>
      <c r="B264" s="2" t="s">
        <v>950</v>
      </c>
      <c r="C264" s="2" t="s">
        <v>951</v>
      </c>
      <c r="D264" s="2">
        <v>199.9</v>
      </c>
      <c r="E264" s="130">
        <v>90.9</v>
      </c>
      <c r="F264" s="2" t="str">
        <f>ROUNDUP(((($E264*'Calculadora de preço'!$B$4)+($E264*#REF!))*100)/(100-'Calculadora de preço'!$B$5), -1)</f>
        <v>#REF!</v>
      </c>
    </row>
    <row r="265">
      <c r="A265" s="2" t="s">
        <v>952</v>
      </c>
      <c r="B265" s="2" t="s">
        <v>953</v>
      </c>
      <c r="C265" s="2" t="s">
        <v>954</v>
      </c>
      <c r="D265" s="2">
        <v>249.9</v>
      </c>
      <c r="E265" s="130">
        <v>121.9</v>
      </c>
      <c r="F265" s="2" t="str">
        <f>ROUNDUP(((($E265*'Calculadora de preço'!$B$4)+($E265*#REF!))*100)/(100-'Calculadora de preço'!$B$5), -1)</f>
        <v>#REF!</v>
      </c>
      <c r="G265" s="1">
        <v>1.0</v>
      </c>
    </row>
    <row r="266">
      <c r="A266" s="2" t="s">
        <v>955</v>
      </c>
      <c r="B266" s="2" t="s">
        <v>956</v>
      </c>
      <c r="C266" s="2" t="s">
        <v>957</v>
      </c>
      <c r="D266" s="2">
        <v>249.9</v>
      </c>
      <c r="E266" s="130">
        <v>121.9</v>
      </c>
      <c r="F266" s="2" t="str">
        <f>ROUNDUP(((($E266*'Calculadora de preço'!$B$4)+($E266*#REF!))*100)/(100-'Calculadora de preço'!$B$5), -1)</f>
        <v>#REF!</v>
      </c>
    </row>
    <row r="267">
      <c r="A267" s="2" t="s">
        <v>958</v>
      </c>
      <c r="B267" s="2" t="s">
        <v>959</v>
      </c>
      <c r="C267" s="2" t="s">
        <v>960</v>
      </c>
      <c r="D267" s="2">
        <v>249.9</v>
      </c>
      <c r="E267" s="130">
        <v>121.9</v>
      </c>
      <c r="F267" s="2" t="str">
        <f>ROUNDUP(((($E267*'Calculadora de preço'!$B$4)+($E267*#REF!))*100)/(100-'Calculadora de preço'!$B$5), -1)</f>
        <v>#REF!</v>
      </c>
    </row>
    <row r="268">
      <c r="A268" s="2" t="s">
        <v>961</v>
      </c>
      <c r="B268" s="2" t="s">
        <v>962</v>
      </c>
      <c r="C268" s="2" t="s">
        <v>963</v>
      </c>
      <c r="D268" s="2">
        <v>249.9</v>
      </c>
      <c r="E268" s="130">
        <v>121.9</v>
      </c>
      <c r="F268" s="2" t="str">
        <f>ROUNDUP(((($E268*'Calculadora de preço'!$B$4)+($E268*#REF!))*100)/(100-'Calculadora de preço'!$B$5), -1)</f>
        <v>#REF!</v>
      </c>
      <c r="G268" s="1">
        <v>1.0</v>
      </c>
    </row>
    <row r="269">
      <c r="A269" s="2" t="s">
        <v>964</v>
      </c>
      <c r="B269" s="2" t="s">
        <v>965</v>
      </c>
      <c r="C269" s="2" t="s">
        <v>966</v>
      </c>
      <c r="D269" s="2">
        <v>249.9</v>
      </c>
      <c r="E269" s="130">
        <v>121.9</v>
      </c>
      <c r="F269" s="2" t="str">
        <f>ROUNDUP(((($E269*'Calculadora de preço'!$B$4)+($E269*#REF!))*100)/(100-'Calculadora de preço'!$B$5), -1)</f>
        <v>#REF!</v>
      </c>
    </row>
    <row r="270">
      <c r="A270" s="2" t="s">
        <v>967</v>
      </c>
      <c r="B270" s="2" t="s">
        <v>968</v>
      </c>
      <c r="C270" s="2" t="s">
        <v>969</v>
      </c>
      <c r="D270" s="2">
        <v>249.9</v>
      </c>
      <c r="E270" s="130">
        <v>121.9</v>
      </c>
      <c r="F270" s="2" t="str">
        <f>ROUNDUP(((($E270*'Calculadora de preço'!$B$4)+($E270*#REF!))*100)/(100-'Calculadora de preço'!$B$5), -1)</f>
        <v>#REF!</v>
      </c>
    </row>
    <row r="271">
      <c r="A271" s="2" t="s">
        <v>970</v>
      </c>
      <c r="B271" s="2" t="s">
        <v>971</v>
      </c>
      <c r="C271" s="2" t="s">
        <v>972</v>
      </c>
      <c r="D271" s="2">
        <v>249.9</v>
      </c>
      <c r="E271" s="130">
        <v>121.9</v>
      </c>
      <c r="F271" s="2" t="str">
        <f>ROUNDUP(((($E271*'Calculadora de preço'!$B$4)+($E271*#REF!))*100)/(100-'Calculadora de preço'!$B$5), -1)</f>
        <v>#REF!</v>
      </c>
    </row>
    <row r="272">
      <c r="A272" s="2" t="s">
        <v>973</v>
      </c>
      <c r="B272" s="2" t="s">
        <v>974</v>
      </c>
      <c r="C272" s="2" t="s">
        <v>975</v>
      </c>
      <c r="D272" s="2">
        <v>249.9</v>
      </c>
      <c r="E272" s="130">
        <v>121.9</v>
      </c>
      <c r="F272" s="2" t="str">
        <f>ROUNDUP(((($E272*'Calculadora de preço'!$B$4)+($E272*#REF!))*100)/(100-'Calculadora de preço'!$B$5), -1)</f>
        <v>#REF!</v>
      </c>
    </row>
    <row r="273">
      <c r="A273" s="2" t="s">
        <v>976</v>
      </c>
      <c r="B273" s="2" t="s">
        <v>977</v>
      </c>
      <c r="C273" s="2" t="s">
        <v>978</v>
      </c>
      <c r="D273" s="2">
        <v>519.9</v>
      </c>
      <c r="E273" s="130">
        <v>259.9</v>
      </c>
      <c r="F273" s="2" t="str">
        <f>ROUNDUP(((($E273*'Calculadora de preço'!$B$4)+($E273*#REF!))*100)/(100-'Calculadora de preço'!$B$5), -1)</f>
        <v>#REF!</v>
      </c>
    </row>
    <row r="274">
      <c r="A274" s="2" t="s">
        <v>979</v>
      </c>
      <c r="B274" s="2" t="s">
        <v>980</v>
      </c>
      <c r="C274" s="2" t="s">
        <v>981</v>
      </c>
      <c r="D274" s="2">
        <v>519.9</v>
      </c>
      <c r="E274" s="130">
        <v>259.9</v>
      </c>
      <c r="F274" s="2" t="str">
        <f>ROUNDUP(((($E274*'Calculadora de preço'!$B$4)+($E274*#REF!))*100)/(100-'Calculadora de preço'!$B$5), -1)</f>
        <v>#REF!</v>
      </c>
    </row>
    <row r="275">
      <c r="A275" s="2" t="s">
        <v>982</v>
      </c>
      <c r="B275" s="2" t="s">
        <v>983</v>
      </c>
      <c r="C275" s="2" t="s">
        <v>984</v>
      </c>
      <c r="D275" s="2">
        <v>519.9</v>
      </c>
      <c r="E275" s="130">
        <v>259.9</v>
      </c>
      <c r="F275" s="2" t="str">
        <f>ROUNDUP(((($E275*'Calculadora de preço'!$B$4)+($E275*#REF!))*100)/(100-'Calculadora de preço'!$B$5), -1)</f>
        <v>#REF!</v>
      </c>
    </row>
    <row r="276">
      <c r="A276" s="2" t="s">
        <v>985</v>
      </c>
      <c r="B276" s="2" t="s">
        <v>986</v>
      </c>
      <c r="C276" s="2" t="s">
        <v>987</v>
      </c>
      <c r="D276" s="2">
        <v>199.9</v>
      </c>
      <c r="E276" s="130">
        <v>90.9</v>
      </c>
      <c r="F276" s="2" t="str">
        <f>ROUNDUP(((($E276*'Calculadora de preço'!$B$4)+($E276*#REF!))*100)/(100-'Calculadora de preço'!$B$5), -1)</f>
        <v>#REF!</v>
      </c>
      <c r="G276" s="1">
        <v>1.0</v>
      </c>
    </row>
    <row r="277">
      <c r="A277" s="2" t="s">
        <v>988</v>
      </c>
      <c r="B277" s="2" t="s">
        <v>989</v>
      </c>
      <c r="C277" s="2" t="s">
        <v>990</v>
      </c>
      <c r="D277" s="2">
        <v>199.9</v>
      </c>
      <c r="E277" s="130">
        <v>90.9</v>
      </c>
      <c r="F277" s="2" t="str">
        <f>ROUNDUP(((($E277*'Calculadora de preço'!$B$4)+($E277*#REF!))*100)/(100-'Calculadora de preço'!$B$5), -1)</f>
        <v>#REF!</v>
      </c>
    </row>
    <row r="278">
      <c r="A278" s="2" t="s">
        <v>991</v>
      </c>
      <c r="B278" s="2" t="s">
        <v>992</v>
      </c>
      <c r="C278" s="2" t="s">
        <v>993</v>
      </c>
      <c r="D278" s="2">
        <v>199.9</v>
      </c>
      <c r="E278" s="130">
        <v>90.9</v>
      </c>
      <c r="F278" s="2" t="str">
        <f>ROUNDUP(((($E278*'Calculadora de preço'!$B$4)+($E278*#REF!))*100)/(100-'Calculadora de preço'!$B$5), -1)</f>
        <v>#REF!</v>
      </c>
    </row>
    <row r="279">
      <c r="A279" s="2" t="s">
        <v>994</v>
      </c>
      <c r="B279" s="2" t="s">
        <v>995</v>
      </c>
      <c r="C279" s="2" t="s">
        <v>996</v>
      </c>
      <c r="D279" s="2">
        <v>199.9</v>
      </c>
      <c r="E279" s="130">
        <v>90.9</v>
      </c>
      <c r="F279" s="2" t="str">
        <f>ROUNDUP(((($E279*'Calculadora de preço'!$B$4)+($E279*#REF!))*100)/(100-'Calculadora de preço'!$B$5), -1)</f>
        <v>#REF!</v>
      </c>
    </row>
    <row r="280">
      <c r="A280" s="2" t="s">
        <v>997</v>
      </c>
      <c r="B280" s="2" t="s">
        <v>998</v>
      </c>
      <c r="C280" s="2" t="s">
        <v>999</v>
      </c>
      <c r="D280" s="2">
        <v>199.9</v>
      </c>
      <c r="E280" s="130">
        <v>90.9</v>
      </c>
      <c r="F280" s="2" t="str">
        <f>ROUNDUP(((($E280*'Calculadora de preço'!$B$4)+($E280*#REF!))*100)/(100-'Calculadora de preço'!$B$5), -1)</f>
        <v>#REF!</v>
      </c>
    </row>
    <row r="281">
      <c r="A281" s="2" t="s">
        <v>1000</v>
      </c>
      <c r="B281" s="2" t="s">
        <v>1001</v>
      </c>
      <c r="C281" s="2" t="s">
        <v>1002</v>
      </c>
      <c r="D281" s="2">
        <v>199.9</v>
      </c>
      <c r="E281" s="130">
        <v>90.9</v>
      </c>
      <c r="F281" s="2" t="str">
        <f>ROUNDUP(((($E281*'Calculadora de preço'!$B$4)+($E281*#REF!))*100)/(100-'Calculadora de preço'!$B$5), -1)</f>
        <v>#REF!</v>
      </c>
    </row>
    <row r="282">
      <c r="A282" s="2" t="s">
        <v>1003</v>
      </c>
      <c r="B282" s="2" t="s">
        <v>1004</v>
      </c>
      <c r="D282" s="2">
        <v>219.9</v>
      </c>
      <c r="E282" s="130">
        <v>128.09</v>
      </c>
      <c r="F282" s="2" t="str">
        <f>ROUNDUP(((($E282*'Calculadora de preço'!$B$4)+($E282*#REF!))*100)/(100-'Calculadora de preço'!$B$5), -1)</f>
        <v>#REF!</v>
      </c>
    </row>
    <row r="283">
      <c r="A283" s="2" t="s">
        <v>1005</v>
      </c>
      <c r="B283" s="2" t="s">
        <v>1006</v>
      </c>
      <c r="D283" s="2">
        <v>239.9</v>
      </c>
      <c r="E283" s="130">
        <v>138.32</v>
      </c>
      <c r="F283" s="2" t="str">
        <f>ROUNDUP(((($E283*'Calculadora de preço'!$B$4)+($E283*#REF!))*100)/(100-'Calculadora de preço'!$B$5), -1)</f>
        <v>#REF!</v>
      </c>
    </row>
    <row r="284">
      <c r="A284" s="2" t="s">
        <v>1007</v>
      </c>
      <c r="B284" s="2" t="s">
        <v>1008</v>
      </c>
      <c r="D284" s="2">
        <v>120.0</v>
      </c>
      <c r="E284" s="130">
        <v>104.0</v>
      </c>
      <c r="F284" s="2" t="str">
        <f>ROUNDUP(((($E284*'Calculadora de preço'!$B$4)+($E284*#REF!))*100)/(100-'Calculadora de preço'!$B$5), -1)</f>
        <v>#REF!</v>
      </c>
      <c r="G284" s="1">
        <v>1.0</v>
      </c>
    </row>
    <row r="285">
      <c r="A285" s="2" t="s">
        <v>1009</v>
      </c>
      <c r="B285" s="2" t="s">
        <v>1010</v>
      </c>
      <c r="D285" s="2">
        <v>159.9</v>
      </c>
      <c r="E285" s="130">
        <v>80.0</v>
      </c>
      <c r="F285" s="2" t="str">
        <f>ROUNDUP(((($E285*'Calculadora de preço'!$B$4)+($E285*#REF!))*100)/(100-'Calculadora de preço'!$B$5), -1)</f>
        <v>#REF!</v>
      </c>
      <c r="G285" s="1">
        <v>1.0</v>
      </c>
    </row>
    <row r="286">
      <c r="A286" s="2" t="s">
        <v>1011</v>
      </c>
      <c r="B286" s="2" t="s">
        <v>1012</v>
      </c>
      <c r="D286" s="2">
        <v>159.9</v>
      </c>
      <c r="E286" s="130">
        <v>80.0</v>
      </c>
      <c r="F286" s="2" t="str">
        <f>ROUNDUP(((($E286*'Calculadora de preço'!$B$4)+($E286*#REF!))*100)/(100-'Calculadora de preço'!$B$5), -1)</f>
        <v>#REF!</v>
      </c>
      <c r="G286" s="1">
        <v>1.0</v>
      </c>
    </row>
    <row r="287">
      <c r="A287" s="2" t="s">
        <v>1013</v>
      </c>
      <c r="B287" s="2" t="s">
        <v>1014</v>
      </c>
      <c r="D287" s="2">
        <v>149.9</v>
      </c>
      <c r="E287" s="130">
        <v>75.0</v>
      </c>
      <c r="F287" s="2" t="str">
        <f>ROUNDUP(((($E287*'Calculadora de preço'!$B$4)+($E287*#REF!))*100)/(100-'Calculadora de preço'!$B$5), -1)</f>
        <v>#REF!</v>
      </c>
      <c r="G287" s="1">
        <v>1.0</v>
      </c>
    </row>
    <row r="288">
      <c r="A288" s="2" t="s">
        <v>1015</v>
      </c>
      <c r="B288" s="2" t="s">
        <v>1016</v>
      </c>
      <c r="D288" s="2">
        <v>159.9</v>
      </c>
      <c r="E288" s="130">
        <v>80.0</v>
      </c>
      <c r="F288" s="2" t="str">
        <f>ROUNDUP(((($E288*'Calculadora de preço'!$B$4)+($E288*#REF!))*100)/(100-'Calculadora de preço'!$B$5), -1)</f>
        <v>#REF!</v>
      </c>
      <c r="G288" s="1">
        <v>1.0</v>
      </c>
    </row>
    <row r="289">
      <c r="A289" s="2" t="s">
        <v>1017</v>
      </c>
      <c r="B289" s="2" t="s">
        <v>1018</v>
      </c>
      <c r="D289" s="2">
        <v>159.9</v>
      </c>
      <c r="E289" s="130">
        <v>80.0</v>
      </c>
      <c r="F289" s="2" t="str">
        <f>ROUNDUP(((($E289*'Calculadora de preço'!$B$4)+($E289*#REF!))*100)/(100-'Calculadora de preço'!$B$5), -1)</f>
        <v>#REF!</v>
      </c>
      <c r="G289" s="1">
        <v>1.0</v>
      </c>
    </row>
    <row r="290">
      <c r="A290" s="2" t="s">
        <v>1019</v>
      </c>
      <c r="B290" s="2" t="s">
        <v>1020</v>
      </c>
      <c r="D290" s="2">
        <v>159.9</v>
      </c>
      <c r="E290" s="130">
        <v>80.0</v>
      </c>
      <c r="F290" s="2" t="str">
        <f>ROUNDUP(((($E290*'Calculadora de preço'!$B$4)+($E290*#REF!))*100)/(100-'Calculadora de preço'!$B$5), -1)</f>
        <v>#REF!</v>
      </c>
      <c r="G290" s="1">
        <v>1.0</v>
      </c>
    </row>
    <row r="291">
      <c r="A291" s="2" t="s">
        <v>1021</v>
      </c>
      <c r="B291" s="2" t="s">
        <v>1022</v>
      </c>
      <c r="C291" s="2" t="s">
        <v>1023</v>
      </c>
      <c r="D291" s="2">
        <v>519.9</v>
      </c>
      <c r="E291" s="130">
        <v>259.9</v>
      </c>
      <c r="F291" s="2" t="str">
        <f>ROUNDUP(((($E291*'Calculadora de preço'!$B$4)+($E291*#REF!))*100)/(100-'Calculadora de preço'!$B$5), -1)</f>
        <v>#REF!</v>
      </c>
      <c r="G291" s="1">
        <v>1.0</v>
      </c>
    </row>
    <row r="292">
      <c r="A292" s="2" t="s">
        <v>1024</v>
      </c>
      <c r="B292" s="2" t="s">
        <v>1025</v>
      </c>
      <c r="D292" s="2">
        <v>519.9</v>
      </c>
      <c r="E292" s="130">
        <v>259.9</v>
      </c>
      <c r="F292" s="2" t="str">
        <f>ROUNDUP(((($E292*'Calculadora de preço'!$B$4)+($E292*#REF!))*100)/(100-'Calculadora de preço'!$B$5), -1)</f>
        <v>#REF!</v>
      </c>
    </row>
    <row r="293">
      <c r="A293" s="2" t="s">
        <v>1026</v>
      </c>
      <c r="B293" s="2" t="s">
        <v>1027</v>
      </c>
      <c r="C293" s="2" t="s">
        <v>1028</v>
      </c>
      <c r="D293" s="2">
        <v>519.9</v>
      </c>
      <c r="E293" s="130">
        <v>259.9</v>
      </c>
      <c r="F293" s="2" t="str">
        <f>ROUNDUP(((($E293*'Calculadora de preço'!$B$4)+($E293*#REF!))*100)/(100-'Calculadora de preço'!$B$5), -1)</f>
        <v>#REF!</v>
      </c>
    </row>
    <row r="294">
      <c r="A294" s="2" t="s">
        <v>1029</v>
      </c>
      <c r="B294" s="2" t="s">
        <v>1030</v>
      </c>
      <c r="D294" s="2">
        <v>120.0</v>
      </c>
      <c r="E294" s="130">
        <v>90.0</v>
      </c>
      <c r="F294" s="2" t="str">
        <f>ROUNDUP(((($E294*'Calculadora de preço'!$B$4)+($E294*#REF!))*100)/(100-'Calculadora de preço'!$B$5), -1)</f>
        <v>#REF!</v>
      </c>
      <c r="G294" s="1">
        <v>1.0</v>
      </c>
    </row>
    <row r="295">
      <c r="A295" s="2" t="s">
        <v>1031</v>
      </c>
      <c r="B295" s="2" t="s">
        <v>1032</v>
      </c>
      <c r="D295" s="2">
        <v>79.99</v>
      </c>
      <c r="E295" s="130">
        <v>32.19</v>
      </c>
      <c r="F295" s="2" t="str">
        <f>ROUNDUP(((($E295*'Calculadora de preço'!$B$4)+($E295*#REF!))*100)/(100-'Calculadora de preço'!$B$5), -1)</f>
        <v>#REF!</v>
      </c>
    </row>
    <row r="296">
      <c r="A296" s="2" t="s">
        <v>1033</v>
      </c>
      <c r="B296" s="2" t="s">
        <v>1034</v>
      </c>
      <c r="D296" s="2">
        <v>79.99</v>
      </c>
      <c r="E296" s="130">
        <v>36.46</v>
      </c>
      <c r="F296" s="2" t="str">
        <f>ROUNDUP(((($E296*'Calculadora de preço'!$B$4)+($E296*#REF!))*100)/(100-'Calculadora de preço'!$B$5), -1)</f>
        <v>#REF!</v>
      </c>
    </row>
    <row r="297">
      <c r="A297" s="2" t="s">
        <v>1035</v>
      </c>
      <c r="B297" s="2" t="s">
        <v>1036</v>
      </c>
      <c r="D297" s="2">
        <v>99.9</v>
      </c>
      <c r="E297" s="130">
        <v>49.9</v>
      </c>
      <c r="F297" s="2" t="str">
        <f>ROUNDUP(((($E297*'Calculadora de preço'!$B$4)+($E297*#REF!))*100)/(100-'Calculadora de preço'!$B$5), -1)</f>
        <v>#REF!</v>
      </c>
    </row>
    <row r="298">
      <c r="A298" s="2" t="s">
        <v>1037</v>
      </c>
      <c r="B298" s="2" t="s">
        <v>1038</v>
      </c>
      <c r="D298" s="2">
        <v>129.9</v>
      </c>
      <c r="E298" s="130">
        <v>92.29</v>
      </c>
      <c r="F298" s="2" t="str">
        <f>ROUNDUP(((($E298*'Calculadora de preço'!$B$4)+($E298*#REF!))*100)/(100-'Calculadora de preço'!$B$5), -1)</f>
        <v>#REF!</v>
      </c>
    </row>
    <row r="299">
      <c r="A299" s="2" t="s">
        <v>1039</v>
      </c>
      <c r="B299" s="2" t="s">
        <v>1040</v>
      </c>
      <c r="D299" s="2">
        <v>219.9</v>
      </c>
      <c r="E299" s="130">
        <v>105.78</v>
      </c>
      <c r="F299" s="2" t="str">
        <f>ROUNDUP(((($E299*'Calculadora de preço'!$B$4)+($E299*#REF!))*100)/(100-'Calculadora de preço'!$B$5), -1)</f>
        <v>#REF!</v>
      </c>
      <c r="G299" s="1">
        <v>1.0</v>
      </c>
    </row>
    <row r="300">
      <c r="A300" s="2" t="s">
        <v>1041</v>
      </c>
      <c r="B300" s="2" t="s">
        <v>1042</v>
      </c>
      <c r="D300" s="2">
        <v>179.9</v>
      </c>
      <c r="E300" s="130">
        <v>89.92</v>
      </c>
      <c r="F300" s="2" t="str">
        <f>ROUNDUP(((($E300*'Calculadora de preço'!$B$4)+($E300*#REF!))*100)/(100-'Calculadora de preço'!$B$5), -1)</f>
        <v>#REF!</v>
      </c>
      <c r="G300" s="1">
        <v>1.0</v>
      </c>
    </row>
    <row r="301">
      <c r="A301" s="2" t="s">
        <v>1043</v>
      </c>
      <c r="B301" s="2" t="s">
        <v>1044</v>
      </c>
      <c r="D301" s="2">
        <v>159.9</v>
      </c>
      <c r="E301" s="130">
        <v>79.34</v>
      </c>
      <c r="F301" s="2" t="str">
        <f>ROUNDUP(((($E301*'Calculadora de preço'!$B$4)+($E301*#REF!))*100)/(100-'Calculadora de preço'!$B$5), -1)</f>
        <v>#REF!</v>
      </c>
      <c r="G301" s="1">
        <v>1.0</v>
      </c>
    </row>
    <row r="302">
      <c r="A302" s="2" t="s">
        <v>1045</v>
      </c>
      <c r="B302" s="2" t="s">
        <v>1046</v>
      </c>
      <c r="C302" s="2" t="s">
        <v>1047</v>
      </c>
      <c r="D302" s="2">
        <v>219.9</v>
      </c>
      <c r="E302" s="130">
        <v>89.49</v>
      </c>
      <c r="F302" s="2" t="str">
        <f>ROUNDUP(((($E302*'Calculadora de preço'!$B$4)+($E302*#REF!))*100)/(100-'Calculadora de preço'!$B$5), -1)</f>
        <v>#REF!</v>
      </c>
      <c r="G302" s="1">
        <v>1.0</v>
      </c>
    </row>
    <row r="303">
      <c r="A303" s="2" t="s">
        <v>1048</v>
      </c>
      <c r="B303" s="2" t="s">
        <v>1049</v>
      </c>
      <c r="C303" s="2" t="s">
        <v>1050</v>
      </c>
      <c r="D303" s="2">
        <v>219.9</v>
      </c>
      <c r="E303" s="130">
        <v>89.49</v>
      </c>
      <c r="F303" s="2" t="str">
        <f>ROUNDUP(((($E303*'Calculadora de preço'!$B$4)+($E303*#REF!))*100)/(100-'Calculadora de preço'!$B$5), -1)</f>
        <v>#REF!</v>
      </c>
      <c r="G303" s="1">
        <v>1.0</v>
      </c>
    </row>
    <row r="304">
      <c r="A304" s="2" t="s">
        <v>1051</v>
      </c>
      <c r="B304" s="2" t="s">
        <v>1052</v>
      </c>
      <c r="C304" s="2" t="s">
        <v>1053</v>
      </c>
      <c r="D304" s="2">
        <v>219.9</v>
      </c>
      <c r="E304" s="130">
        <v>89.49</v>
      </c>
      <c r="F304" s="2" t="str">
        <f>ROUNDUP(((($E304*'Calculadora de preço'!$B$4)+($E304*#REF!))*100)/(100-'Calculadora de preço'!$B$5), -1)</f>
        <v>#REF!</v>
      </c>
      <c r="G304" s="1">
        <v>1.0</v>
      </c>
    </row>
    <row r="305">
      <c r="A305" s="2" t="s">
        <v>1054</v>
      </c>
      <c r="B305" s="2" t="s">
        <v>1055</v>
      </c>
      <c r="C305" s="2" t="s">
        <v>1056</v>
      </c>
      <c r="D305" s="2">
        <v>169.9</v>
      </c>
      <c r="E305" s="130">
        <v>69.61</v>
      </c>
      <c r="F305" s="2" t="str">
        <f>ROUNDUP(((($E305*'Calculadora de preço'!$B$4)+($E305*#REF!))*100)/(100-'Calculadora de preço'!$B$5), -1)</f>
        <v>#REF!</v>
      </c>
      <c r="G305" s="1">
        <v>1.0</v>
      </c>
    </row>
    <row r="306">
      <c r="A306" s="2" t="s">
        <v>1057</v>
      </c>
      <c r="B306" s="2" t="s">
        <v>1058</v>
      </c>
      <c r="C306" s="2" t="s">
        <v>1059</v>
      </c>
      <c r="D306" s="2">
        <v>169.9</v>
      </c>
      <c r="E306" s="130">
        <v>69.6</v>
      </c>
      <c r="F306" s="2" t="str">
        <f>ROUNDUP(((($E306*'Calculadora de preço'!$B$4)+($E306*#REF!))*100)/(100-'Calculadora de preço'!$B$5), -1)</f>
        <v>#REF!</v>
      </c>
      <c r="G306" s="1">
        <v>1.0</v>
      </c>
    </row>
    <row r="307">
      <c r="A307" s="2" t="s">
        <v>1060</v>
      </c>
      <c r="B307" s="2" t="s">
        <v>1061</v>
      </c>
      <c r="C307" s="2" t="s">
        <v>1062</v>
      </c>
      <c r="D307" s="2">
        <v>219.9</v>
      </c>
      <c r="E307" s="130">
        <v>89.49</v>
      </c>
      <c r="F307" s="2" t="str">
        <f>ROUNDUP(((($E307*'Calculadora de preço'!$B$4)+($E307*#REF!))*100)/(100-'Calculadora de preço'!$B$5), -1)</f>
        <v>#REF!</v>
      </c>
      <c r="G307" s="1">
        <v>1.0</v>
      </c>
    </row>
    <row r="308">
      <c r="A308" s="2" t="s">
        <v>1063</v>
      </c>
      <c r="B308" s="2" t="s">
        <v>1064</v>
      </c>
      <c r="C308" s="2" t="s">
        <v>1065</v>
      </c>
      <c r="D308" s="2">
        <v>269.9</v>
      </c>
      <c r="E308" s="130">
        <v>141.7</v>
      </c>
      <c r="F308" s="2" t="str">
        <f>ROUNDUP(((($E308*'Calculadora de preço'!$B$4)+($E308*#REF!))*100)/(100-'Calculadora de preço'!$B$5), -1)</f>
        <v>#REF!</v>
      </c>
      <c r="G308" s="1">
        <v>1.0</v>
      </c>
    </row>
    <row r="309">
      <c r="A309" s="2" t="s">
        <v>1066</v>
      </c>
      <c r="B309" s="2" t="s">
        <v>1067</v>
      </c>
      <c r="C309" s="2" t="s">
        <v>1068</v>
      </c>
      <c r="D309" s="2">
        <v>269.9</v>
      </c>
      <c r="E309" s="130">
        <v>141.7</v>
      </c>
      <c r="F309" s="2" t="str">
        <f>ROUNDUP(((($E309*'Calculadora de preço'!$B$4)+($E309*#REF!))*100)/(100-'Calculadora de preço'!$B$5), -1)</f>
        <v>#REF!</v>
      </c>
    </row>
    <row r="310">
      <c r="A310" s="2" t="s">
        <v>1069</v>
      </c>
      <c r="B310" s="2" t="s">
        <v>1070</v>
      </c>
      <c r="C310" s="2" t="s">
        <v>1071</v>
      </c>
      <c r="D310" s="2">
        <v>269.9</v>
      </c>
      <c r="E310" s="130">
        <v>141.7</v>
      </c>
      <c r="F310" s="2" t="str">
        <f>ROUNDUP(((($E310*'Calculadora de preço'!$B$4)+($E310*#REF!))*100)/(100-'Calculadora de preço'!$B$5), -1)</f>
        <v>#REF!</v>
      </c>
    </row>
    <row r="311">
      <c r="A311" s="2" t="s">
        <v>1072</v>
      </c>
      <c r="B311" s="2" t="s">
        <v>1073</v>
      </c>
      <c r="C311" s="2" t="s">
        <v>1074</v>
      </c>
      <c r="D311" s="2">
        <v>269.9</v>
      </c>
      <c r="E311" s="130">
        <v>141.7</v>
      </c>
      <c r="F311" s="2" t="str">
        <f>ROUNDUP(((($E311*'Calculadora de preço'!$B$4)+($E311*#REF!))*100)/(100-'Calculadora de preço'!$B$5), -1)</f>
        <v>#REF!</v>
      </c>
    </row>
    <row r="312">
      <c r="A312" s="2" t="s">
        <v>1075</v>
      </c>
      <c r="B312" s="2" t="s">
        <v>1076</v>
      </c>
      <c r="C312" s="2" t="s">
        <v>1077</v>
      </c>
      <c r="D312" s="2">
        <v>269.9</v>
      </c>
      <c r="E312" s="130">
        <v>141.7</v>
      </c>
      <c r="F312" s="2" t="str">
        <f>ROUNDUP(((($E312*'Calculadora de preço'!$B$4)+($E312*#REF!))*100)/(100-'Calculadora de preço'!$B$5), -1)</f>
        <v>#REF!</v>
      </c>
    </row>
    <row r="313">
      <c r="A313" s="2" t="s">
        <v>1078</v>
      </c>
      <c r="B313" s="2" t="s">
        <v>1079</v>
      </c>
      <c r="C313" s="2" t="s">
        <v>1080</v>
      </c>
      <c r="D313" s="2">
        <v>269.9</v>
      </c>
      <c r="E313" s="130">
        <v>141.7</v>
      </c>
      <c r="F313" s="2" t="str">
        <f>ROUNDUP(((($E313*'Calculadora de preço'!$B$4)+($E313*#REF!))*100)/(100-'Calculadora de preço'!$B$5), -1)</f>
        <v>#REF!</v>
      </c>
    </row>
    <row r="314">
      <c r="A314" s="2" t="s">
        <v>1081</v>
      </c>
      <c r="B314" s="2" t="s">
        <v>1082</v>
      </c>
      <c r="D314" s="2">
        <v>239.9</v>
      </c>
      <c r="E314" s="130">
        <v>116.36</v>
      </c>
      <c r="F314" s="2" t="str">
        <f>ROUNDUP(((($E314*'Calculadora de preço'!$B$4)+($E314*#REF!))*100)/(100-'Calculadora de preço'!$B$5), -1)</f>
        <v>#REF!</v>
      </c>
      <c r="G314" s="1">
        <v>1.0</v>
      </c>
    </row>
    <row r="315">
      <c r="A315" s="2" t="s">
        <v>1083</v>
      </c>
      <c r="B315" s="2" t="s">
        <v>1084</v>
      </c>
      <c r="D315" s="2">
        <v>179.9</v>
      </c>
      <c r="E315" s="130">
        <v>80.0</v>
      </c>
      <c r="F315" s="2" t="str">
        <f>ROUNDUP(((($E315*'Calculadora de preço'!$B$4)+($E315*#REF!))*100)/(100-'Calculadora de preço'!$B$5), -1)</f>
        <v>#REF!</v>
      </c>
      <c r="G315" s="1">
        <v>1.0</v>
      </c>
    </row>
    <row r="316">
      <c r="A316" s="2" t="s">
        <v>1085</v>
      </c>
      <c r="B316" s="2" t="s">
        <v>1086</v>
      </c>
      <c r="D316" s="2">
        <v>149.9</v>
      </c>
      <c r="E316" s="130">
        <v>74.05</v>
      </c>
      <c r="F316" s="2" t="str">
        <f>ROUNDUP(((($E316*'Calculadora de preço'!$B$4)+($E316*#REF!))*100)/(100-'Calculadora de preço'!$B$5), -1)</f>
        <v>#REF!</v>
      </c>
      <c r="G316" s="1">
        <v>1.0</v>
      </c>
    </row>
    <row r="317">
      <c r="A317" s="2" t="s">
        <v>1087</v>
      </c>
      <c r="B317" s="2" t="s">
        <v>1088</v>
      </c>
      <c r="D317" s="2">
        <v>249.9</v>
      </c>
      <c r="E317" s="130">
        <v>121.9</v>
      </c>
      <c r="F317" s="2" t="str">
        <f>ROUNDUP(((($E317*'Calculadora de preço'!$B$4)+($E317*#REF!))*100)/(100-'Calculadora de preço'!$B$5), -1)</f>
        <v>#REF!</v>
      </c>
    </row>
    <row r="318">
      <c r="A318" s="2" t="s">
        <v>1089</v>
      </c>
      <c r="B318" s="2" t="s">
        <v>1090</v>
      </c>
      <c r="D318" s="2">
        <v>69.9</v>
      </c>
      <c r="E318" s="130">
        <v>31.9</v>
      </c>
      <c r="F318" s="2" t="str">
        <f>ROUNDUP(((($E318*'Calculadora de preço'!$B$4)+($E318*#REF!))*100)/(100-'Calculadora de preço'!$B$5), -1)</f>
        <v>#REF!</v>
      </c>
      <c r="G318" s="1">
        <v>1.0</v>
      </c>
    </row>
    <row r="319">
      <c r="A319" s="2" t="s">
        <v>1091</v>
      </c>
      <c r="B319" s="2" t="s">
        <v>1092</v>
      </c>
      <c r="C319" s="2" t="s">
        <v>1093</v>
      </c>
      <c r="D319" s="2">
        <v>299.9</v>
      </c>
      <c r="E319" s="130">
        <v>124.3</v>
      </c>
      <c r="F319" s="2" t="str">
        <f>ROUNDUP(((($E319*'Calculadora de preço'!$B$4)+($E319*#REF!))*100)/(100-'Calculadora de preço'!$B$5), -1)</f>
        <v>#REF!</v>
      </c>
      <c r="G319" s="1">
        <v>1.0</v>
      </c>
    </row>
    <row r="320">
      <c r="A320" s="2" t="s">
        <v>1094</v>
      </c>
      <c r="B320" s="2" t="s">
        <v>1095</v>
      </c>
      <c r="D320" s="2">
        <v>79.9</v>
      </c>
      <c r="E320" s="130">
        <v>39.9</v>
      </c>
      <c r="F320" s="2" t="str">
        <f>ROUNDUP(((($E320*'Calculadora de preço'!$B$4)+($E320*#REF!))*100)/(100-'Calculadora de preço'!$B$5), -1)</f>
        <v>#REF!</v>
      </c>
    </row>
    <row r="321">
      <c r="A321" s="2" t="s">
        <v>1096</v>
      </c>
      <c r="B321" s="2" t="s">
        <v>1097</v>
      </c>
      <c r="D321" s="2">
        <v>69.9</v>
      </c>
      <c r="E321" s="130">
        <v>39.9</v>
      </c>
      <c r="F321" s="2" t="str">
        <f>ROUNDUP(((($E321*'Calculadora de preço'!$B$4)+($E321*#REF!))*100)/(100-'Calculadora de preço'!$B$5), -1)</f>
        <v>#REF!</v>
      </c>
    </row>
    <row r="322">
      <c r="A322" s="2" t="s">
        <v>1098</v>
      </c>
      <c r="B322" s="2" t="s">
        <v>1099</v>
      </c>
      <c r="C322" s="2" t="s">
        <v>1100</v>
      </c>
      <c r="D322" s="2">
        <v>239.9</v>
      </c>
      <c r="E322" s="130">
        <v>119.9</v>
      </c>
      <c r="F322" s="2" t="str">
        <f>ROUNDUP(((($E322*'Calculadora de preço'!$B$4)+($E322*#REF!))*100)/(100-'Calculadora de preço'!$B$5), -1)</f>
        <v>#REF!</v>
      </c>
      <c r="G322" s="1">
        <v>1.0</v>
      </c>
    </row>
    <row r="323">
      <c r="A323" s="2" t="s">
        <v>1101</v>
      </c>
      <c r="B323" s="2" t="s">
        <v>1102</v>
      </c>
      <c r="C323" s="2" t="s">
        <v>1103</v>
      </c>
      <c r="D323" s="2">
        <v>179.9</v>
      </c>
      <c r="E323" s="130">
        <v>89.9</v>
      </c>
      <c r="F323" s="2" t="str">
        <f>ROUNDUP(((($E323*'Calculadora de preço'!$B$4)+($E323*#REF!))*100)/(100-'Calculadora de preço'!$B$5), -1)</f>
        <v>#REF!</v>
      </c>
      <c r="G323" s="1">
        <v>1.0</v>
      </c>
    </row>
    <row r="324">
      <c r="A324" s="2" t="s">
        <v>1104</v>
      </c>
      <c r="B324" s="2" t="s">
        <v>1105</v>
      </c>
      <c r="D324" s="2">
        <v>50.0</v>
      </c>
      <c r="E324" s="130">
        <v>50.0</v>
      </c>
      <c r="F324" s="2" t="str">
        <f>ROUNDUP(((($E324*'Calculadora de preço'!$B$4)+($E324*#REF!))*100)/(100-'Calculadora de preço'!$B$5), -1)</f>
        <v>#REF!</v>
      </c>
      <c r="G324" s="1">
        <v>1.0</v>
      </c>
    </row>
    <row r="325">
      <c r="A325" s="2" t="s">
        <v>1106</v>
      </c>
      <c r="B325" s="2" t="s">
        <v>1107</v>
      </c>
      <c r="C325" s="2" t="s">
        <v>1108</v>
      </c>
      <c r="D325" s="2">
        <v>239.9</v>
      </c>
      <c r="E325" s="130">
        <v>119.9</v>
      </c>
      <c r="F325" s="2" t="str">
        <f>ROUNDUP(((($E325*'Calculadora de preço'!$B$4)+($E325*#REF!))*100)/(100-'Calculadora de preço'!$B$5), -1)</f>
        <v>#REF!</v>
      </c>
      <c r="G325" s="1">
        <v>1.0</v>
      </c>
    </row>
    <row r="326">
      <c r="A326" s="2" t="s">
        <v>1109</v>
      </c>
      <c r="B326" s="2" t="s">
        <v>1110</v>
      </c>
      <c r="C326" s="2" t="s">
        <v>1111</v>
      </c>
      <c r="D326" s="2">
        <v>59.9</v>
      </c>
      <c r="E326" s="130">
        <v>25.03</v>
      </c>
      <c r="F326" s="2" t="str">
        <f>ROUNDUP(((($E326*'Calculadora de preço'!$B$4)+($E326*#REF!))*100)/(100-'Calculadora de preço'!$B$5), -1)</f>
        <v>#REF!</v>
      </c>
      <c r="G326" s="1">
        <v>1.0</v>
      </c>
    </row>
    <row r="327">
      <c r="A327" s="2" t="s">
        <v>1112</v>
      </c>
      <c r="B327" s="2" t="s">
        <v>1113</v>
      </c>
      <c r="C327" s="2" t="s">
        <v>1114</v>
      </c>
      <c r="D327" s="2">
        <v>59.9</v>
      </c>
      <c r="E327" s="130">
        <v>25.03</v>
      </c>
      <c r="F327" s="2" t="str">
        <f>ROUNDUP(((($E327*'Calculadora de preço'!$B$4)+($E327*#REF!))*100)/(100-'Calculadora de preço'!$B$5), -1)</f>
        <v>#REF!</v>
      </c>
    </row>
    <row r="328">
      <c r="A328" s="2" t="s">
        <v>1115</v>
      </c>
      <c r="B328" s="2" t="s">
        <v>1116</v>
      </c>
      <c r="C328" s="2" t="s">
        <v>1117</v>
      </c>
      <c r="D328" s="2">
        <v>59.9</v>
      </c>
      <c r="E328" s="130">
        <v>25.03</v>
      </c>
      <c r="F328" s="2" t="str">
        <f>ROUNDUP(((($E328*'Calculadora de preço'!$B$4)+($E328*#REF!))*100)/(100-'Calculadora de preço'!$B$5), -1)</f>
        <v>#REF!</v>
      </c>
    </row>
    <row r="329">
      <c r="A329" s="2" t="s">
        <v>1118</v>
      </c>
      <c r="B329" s="2" t="s">
        <v>1119</v>
      </c>
      <c r="C329" s="2" t="s">
        <v>1120</v>
      </c>
      <c r="D329" s="2">
        <v>59.9</v>
      </c>
      <c r="E329" s="130">
        <v>25.03</v>
      </c>
      <c r="F329" s="2" t="str">
        <f>ROUNDUP(((($E329*'Calculadora de preço'!$B$4)+($E329*#REF!))*100)/(100-'Calculadora de preço'!$B$5), -1)</f>
        <v>#REF!</v>
      </c>
    </row>
    <row r="330">
      <c r="A330" s="2" t="s">
        <v>1121</v>
      </c>
      <c r="B330" s="2" t="s">
        <v>1122</v>
      </c>
      <c r="C330" s="2" t="s">
        <v>1123</v>
      </c>
      <c r="D330" s="2">
        <v>59.9</v>
      </c>
      <c r="E330" s="130">
        <v>25.03</v>
      </c>
      <c r="F330" s="2" t="str">
        <f>ROUNDUP(((($E330*'Calculadora de preço'!$B$4)+($E330*#REF!))*100)/(100-'Calculadora de preço'!$B$5), -1)</f>
        <v>#REF!</v>
      </c>
    </row>
    <row r="331">
      <c r="A331" s="2" t="s">
        <v>1125</v>
      </c>
      <c r="B331" s="2" t="s">
        <v>1126</v>
      </c>
      <c r="C331" s="2" t="s">
        <v>1127</v>
      </c>
      <c r="D331" s="2">
        <v>59.9</v>
      </c>
      <c r="E331" s="130">
        <v>25.03</v>
      </c>
      <c r="F331" s="2" t="str">
        <f>ROUNDUP(((($E331*'Calculadora de preço'!$B$4)+($E331*#REF!))*100)/(100-'Calculadora de preço'!$B$5), -1)</f>
        <v>#REF!</v>
      </c>
    </row>
    <row r="332">
      <c r="A332" s="2" t="s">
        <v>1128</v>
      </c>
      <c r="B332" s="2" t="s">
        <v>1129</v>
      </c>
      <c r="C332" s="2" t="s">
        <v>1130</v>
      </c>
      <c r="D332" s="2">
        <v>59.9</v>
      </c>
      <c r="E332" s="130">
        <v>25.03</v>
      </c>
      <c r="F332" s="2" t="str">
        <f>ROUNDUP(((($E332*'Calculadora de preço'!$B$4)+($E332*#REF!))*100)/(100-'Calculadora de preço'!$B$5), -1)</f>
        <v>#REF!</v>
      </c>
    </row>
    <row r="333">
      <c r="A333" s="2" t="s">
        <v>1131</v>
      </c>
      <c r="B333" s="2" t="s">
        <v>1132</v>
      </c>
      <c r="C333" s="2" t="s">
        <v>1133</v>
      </c>
      <c r="D333" s="2">
        <v>59.9</v>
      </c>
      <c r="E333" s="130">
        <v>25.03</v>
      </c>
      <c r="F333" s="2" t="str">
        <f>ROUNDUP(((($E333*'Calculadora de preço'!$B$4)+($E333*#REF!))*100)/(100-'Calculadora de preço'!$B$5), -1)</f>
        <v>#REF!</v>
      </c>
    </row>
    <row r="334">
      <c r="A334" s="2" t="s">
        <v>1136</v>
      </c>
      <c r="B334" s="2" t="s">
        <v>1137</v>
      </c>
      <c r="C334" s="2" t="s">
        <v>1138</v>
      </c>
      <c r="D334" s="2">
        <v>59.9</v>
      </c>
      <c r="E334" s="130">
        <v>25.03</v>
      </c>
      <c r="F334" s="2" t="str">
        <f>ROUNDUP(((($E334*'Calculadora de preço'!$B$4)+($E334*#REF!))*100)/(100-'Calculadora de preço'!$B$5), -1)</f>
        <v>#REF!</v>
      </c>
    </row>
    <row r="335">
      <c r="A335" s="2" t="s">
        <v>1142</v>
      </c>
      <c r="B335" s="2" t="s">
        <v>1143</v>
      </c>
      <c r="C335" s="2" t="s">
        <v>1145</v>
      </c>
      <c r="D335" s="2">
        <v>89.9</v>
      </c>
      <c r="E335" s="130">
        <v>39.72</v>
      </c>
      <c r="F335" s="2" t="str">
        <f>ROUNDUP(((($E335*'Calculadora de preço'!$B$4)+($E335*#REF!))*100)/(100-'Calculadora de preço'!$B$5), -1)</f>
        <v>#REF!</v>
      </c>
      <c r="G335" s="1">
        <v>1.0</v>
      </c>
    </row>
    <row r="336">
      <c r="A336" s="2" t="s">
        <v>1148</v>
      </c>
      <c r="B336" s="2" t="s">
        <v>1149</v>
      </c>
      <c r="C336" s="2" t="s">
        <v>1150</v>
      </c>
      <c r="D336" s="2">
        <v>89.9</v>
      </c>
      <c r="E336" s="130">
        <v>39.72</v>
      </c>
      <c r="F336" s="2" t="str">
        <f>ROUNDUP(((($E336*'Calculadora de preço'!$B$4)+($E336*#REF!))*100)/(100-'Calculadora de preço'!$B$5), -1)</f>
        <v>#REF!</v>
      </c>
    </row>
    <row r="337">
      <c r="A337" s="2" t="s">
        <v>1153</v>
      </c>
      <c r="B337" s="2" t="s">
        <v>1154</v>
      </c>
      <c r="C337" s="2" t="s">
        <v>1156</v>
      </c>
      <c r="D337" s="2">
        <v>89.9</v>
      </c>
      <c r="E337" s="130">
        <v>39.72</v>
      </c>
      <c r="F337" s="2" t="str">
        <f>ROUNDUP(((($E337*'Calculadora de preço'!$B$4)+($E337*#REF!))*100)/(100-'Calculadora de preço'!$B$5), -1)</f>
        <v>#REF!</v>
      </c>
    </row>
    <row r="338">
      <c r="A338" s="2" t="s">
        <v>1160</v>
      </c>
      <c r="B338" s="2" t="s">
        <v>1161</v>
      </c>
      <c r="C338" s="2" t="s">
        <v>1162</v>
      </c>
      <c r="D338" s="2">
        <v>89.9</v>
      </c>
      <c r="E338" s="130">
        <v>39.72</v>
      </c>
      <c r="F338" s="2" t="str">
        <f>ROUNDUP(((($E338*'Calculadora de preço'!$B$4)+($E338*#REF!))*100)/(100-'Calculadora de preço'!$B$5), -1)</f>
        <v>#REF!</v>
      </c>
    </row>
    <row r="339">
      <c r="A339" s="2" t="s">
        <v>1166</v>
      </c>
      <c r="B339" s="2" t="s">
        <v>1167</v>
      </c>
      <c r="C339" s="2" t="s">
        <v>1168</v>
      </c>
      <c r="D339" s="2">
        <v>89.9</v>
      </c>
      <c r="E339" s="130">
        <v>39.72</v>
      </c>
      <c r="F339" s="2" t="str">
        <f>ROUNDUP(((($E339*'Calculadora de preço'!$B$4)+($E339*#REF!))*100)/(100-'Calculadora de preço'!$B$5), -1)</f>
        <v>#REF!</v>
      </c>
    </row>
    <row r="340">
      <c r="A340" s="2" t="s">
        <v>1172</v>
      </c>
      <c r="B340" s="2" t="s">
        <v>1173</v>
      </c>
      <c r="C340" s="2" t="s">
        <v>1174</v>
      </c>
      <c r="D340" s="2">
        <v>89.9</v>
      </c>
      <c r="E340" s="130">
        <v>39.72</v>
      </c>
      <c r="F340" s="2" t="str">
        <f>ROUNDUP(((($E340*'Calculadora de preço'!$B$4)+($E340*#REF!))*100)/(100-'Calculadora de preço'!$B$5), -1)</f>
        <v>#REF!</v>
      </c>
    </row>
    <row r="341">
      <c r="A341" s="2" t="s">
        <v>1176</v>
      </c>
      <c r="B341" s="2" t="s">
        <v>1177</v>
      </c>
      <c r="C341" s="2" t="s">
        <v>1178</v>
      </c>
      <c r="D341" s="2">
        <v>89.9</v>
      </c>
      <c r="E341" s="130">
        <v>39.72</v>
      </c>
      <c r="F341" s="2" t="str">
        <f>ROUNDUP(((($E341*'Calculadora de preço'!$B$4)+($E341*#REF!))*100)/(100-'Calculadora de preço'!$B$5), -1)</f>
        <v>#REF!</v>
      </c>
    </row>
    <row r="342">
      <c r="A342" s="2" t="s">
        <v>1182</v>
      </c>
      <c r="B342" s="2" t="s">
        <v>1183</v>
      </c>
      <c r="C342" s="2" t="s">
        <v>1184</v>
      </c>
      <c r="D342" s="2">
        <v>89.9</v>
      </c>
      <c r="E342" s="130">
        <v>39.72</v>
      </c>
      <c r="F342" s="2" t="str">
        <f>ROUNDUP(((($E342*'Calculadora de preço'!$B$4)+($E342*#REF!))*100)/(100-'Calculadora de preço'!$B$5), -1)</f>
        <v>#REF!</v>
      </c>
    </row>
    <row r="343">
      <c r="A343" s="2" t="s">
        <v>1188</v>
      </c>
      <c r="B343" s="2" t="s">
        <v>1189</v>
      </c>
      <c r="C343" s="2" t="s">
        <v>1190</v>
      </c>
      <c r="D343" s="2">
        <v>89.9</v>
      </c>
      <c r="E343" s="130">
        <v>39.72</v>
      </c>
      <c r="F343" s="2" t="str">
        <f>ROUNDUP(((($E343*'Calculadora de preço'!$B$4)+($E343*#REF!))*100)/(100-'Calculadora de preço'!$B$5), -1)</f>
        <v>#REF!</v>
      </c>
    </row>
    <row r="344">
      <c r="A344" s="2" t="s">
        <v>1194</v>
      </c>
      <c r="B344" s="2" t="s">
        <v>1195</v>
      </c>
      <c r="C344" s="2" t="s">
        <v>1196</v>
      </c>
      <c r="D344" s="2">
        <v>89.9</v>
      </c>
      <c r="E344" s="130">
        <v>39.72</v>
      </c>
      <c r="F344" s="2" t="str">
        <f>ROUNDUP(((($E344*'Calculadora de preço'!$B$4)+($E344*#REF!))*100)/(100-'Calculadora de preço'!$B$5), -1)</f>
        <v>#REF!</v>
      </c>
    </row>
    <row r="345">
      <c r="A345" s="2" t="s">
        <v>1197</v>
      </c>
      <c r="B345" s="2" t="s">
        <v>1198</v>
      </c>
      <c r="C345" s="2" t="s">
        <v>1199</v>
      </c>
      <c r="D345" s="2">
        <v>89.9</v>
      </c>
      <c r="E345" s="130">
        <v>39.72</v>
      </c>
      <c r="F345" s="2" t="str">
        <f>ROUNDUP(((($E345*'Calculadora de preço'!$B$4)+($E345*#REF!))*100)/(100-'Calculadora de preço'!$B$5), -1)</f>
        <v>#REF!</v>
      </c>
    </row>
    <row r="346">
      <c r="A346" s="2" t="s">
        <v>1202</v>
      </c>
      <c r="B346" s="2" t="s">
        <v>1203</v>
      </c>
      <c r="C346" s="2" t="s">
        <v>1204</v>
      </c>
      <c r="D346" s="2">
        <v>89.9</v>
      </c>
      <c r="E346" s="130">
        <v>39.72</v>
      </c>
      <c r="F346" s="2" t="str">
        <f>ROUNDUP(((($E346*'Calculadora de preço'!$B$4)+($E346*#REF!))*100)/(100-'Calculadora de preço'!$B$5), -1)</f>
        <v>#REF!</v>
      </c>
    </row>
    <row r="347">
      <c r="A347" s="2" t="s">
        <v>1214</v>
      </c>
      <c r="B347" s="2" t="s">
        <v>1215</v>
      </c>
      <c r="C347" s="2" t="s">
        <v>1216</v>
      </c>
      <c r="D347" s="2">
        <v>89.9</v>
      </c>
      <c r="E347" s="130">
        <v>39.72</v>
      </c>
      <c r="F347" s="2" t="str">
        <f>ROUNDUP(((($E347*'Calculadora de preço'!$B$4)+($E347*#REF!))*100)/(100-'Calculadora de preço'!$B$5), -1)</f>
        <v>#REF!</v>
      </c>
    </row>
    <row r="348">
      <c r="A348" s="2" t="s">
        <v>1219</v>
      </c>
      <c r="B348" s="2" t="s">
        <v>1220</v>
      </c>
      <c r="C348" s="2" t="s">
        <v>1221</v>
      </c>
      <c r="D348" s="2">
        <v>89.9</v>
      </c>
      <c r="E348" s="130">
        <v>39.72</v>
      </c>
      <c r="F348" s="2" t="str">
        <f>ROUNDUP(((($E348*'Calculadora de preço'!$B$4)+($E348*#REF!))*100)/(100-'Calculadora de preço'!$B$5), -1)</f>
        <v>#REF!</v>
      </c>
    </row>
    <row r="349">
      <c r="A349" s="2" t="s">
        <v>1223</v>
      </c>
      <c r="B349" s="2" t="s">
        <v>1225</v>
      </c>
      <c r="C349" s="2" t="s">
        <v>1226</v>
      </c>
      <c r="D349" s="2">
        <v>89.9</v>
      </c>
      <c r="E349" s="130">
        <v>39.72</v>
      </c>
      <c r="F349" s="2" t="str">
        <f>ROUNDUP(((($E349*'Calculadora de preço'!$B$4)+($E349*#REF!))*100)/(100-'Calculadora de preço'!$B$5), -1)</f>
        <v>#REF!</v>
      </c>
    </row>
    <row r="350">
      <c r="A350" s="2" t="s">
        <v>1228</v>
      </c>
      <c r="B350" s="2" t="s">
        <v>1229</v>
      </c>
      <c r="C350" s="2" t="s">
        <v>1230</v>
      </c>
      <c r="D350" s="2">
        <v>89.9</v>
      </c>
      <c r="E350" s="130">
        <v>39.72</v>
      </c>
      <c r="F350" s="2" t="str">
        <f>ROUNDUP(((($E350*'Calculadora de preço'!$B$4)+($E350*#REF!))*100)/(100-'Calculadora de preço'!$B$5), -1)</f>
        <v>#REF!</v>
      </c>
    </row>
    <row r="351">
      <c r="A351" s="2" t="s">
        <v>1233</v>
      </c>
      <c r="B351" s="2" t="s">
        <v>1234</v>
      </c>
      <c r="C351" s="2" t="s">
        <v>1235</v>
      </c>
      <c r="D351" s="2">
        <v>89.9</v>
      </c>
      <c r="E351" s="130">
        <v>39.72</v>
      </c>
      <c r="F351" s="2" t="str">
        <f>ROUNDUP(((($E351*'Calculadora de preço'!$B$4)+($E351*#REF!))*100)/(100-'Calculadora de preço'!$B$5), -1)</f>
        <v>#REF!</v>
      </c>
    </row>
    <row r="352">
      <c r="A352" s="2" t="s">
        <v>1238</v>
      </c>
      <c r="B352" s="2" t="s">
        <v>1239</v>
      </c>
      <c r="C352" s="2" t="s">
        <v>1240</v>
      </c>
      <c r="D352" s="2">
        <v>89.9</v>
      </c>
      <c r="E352" s="130">
        <v>39.72</v>
      </c>
      <c r="F352" s="2" t="str">
        <f>ROUNDUP(((($E352*'Calculadora de preço'!$B$4)+($E352*#REF!))*100)/(100-'Calculadora de preço'!$B$5), -1)</f>
        <v>#REF!</v>
      </c>
    </row>
    <row r="353">
      <c r="A353" s="2" t="s">
        <v>1243</v>
      </c>
      <c r="B353" s="2" t="s">
        <v>1244</v>
      </c>
      <c r="C353" s="2" t="s">
        <v>1245</v>
      </c>
      <c r="D353" s="2">
        <v>89.9</v>
      </c>
      <c r="E353" s="130">
        <v>39.72</v>
      </c>
      <c r="F353" s="2" t="str">
        <f>ROUNDUP(((($E353*'Calculadora de preço'!$B$4)+($E353*#REF!))*100)/(100-'Calculadora de preço'!$B$5), -1)</f>
        <v>#REF!</v>
      </c>
    </row>
    <row r="354">
      <c r="A354" s="2" t="s">
        <v>1248</v>
      </c>
      <c r="B354" s="2" t="s">
        <v>1249</v>
      </c>
      <c r="C354" s="2" t="s">
        <v>1250</v>
      </c>
      <c r="D354" s="2">
        <v>89.9</v>
      </c>
      <c r="E354" s="130">
        <v>39.72</v>
      </c>
      <c r="F354" s="2" t="str">
        <f>ROUNDUP(((($E354*'Calculadora de preço'!$B$4)+($E354*#REF!))*100)/(100-'Calculadora de preço'!$B$5), -1)</f>
        <v>#REF!</v>
      </c>
    </row>
    <row r="355">
      <c r="A355" s="2" t="s">
        <v>1254</v>
      </c>
      <c r="B355" s="2" t="s">
        <v>1255</v>
      </c>
      <c r="C355" s="2" t="s">
        <v>1256</v>
      </c>
      <c r="D355" s="2">
        <v>89.9</v>
      </c>
      <c r="E355" s="130">
        <v>39.72</v>
      </c>
      <c r="F355" s="2" t="str">
        <f>ROUNDUP(((($E355*'Calculadora de preço'!$B$4)+($E355*#REF!))*100)/(100-'Calculadora de preço'!$B$5), -1)</f>
        <v>#REF!</v>
      </c>
    </row>
    <row r="356">
      <c r="A356" s="2" t="s">
        <v>1259</v>
      </c>
      <c r="B356" s="2" t="s">
        <v>1260</v>
      </c>
      <c r="C356" s="2" t="s">
        <v>1261</v>
      </c>
      <c r="D356" s="2">
        <v>89.9</v>
      </c>
      <c r="E356" s="130">
        <v>39.72</v>
      </c>
      <c r="F356" s="2" t="str">
        <f>ROUNDUP(((($E356*'Calculadora de preço'!$B$4)+($E356*#REF!))*100)/(100-'Calculadora de preço'!$B$5), -1)</f>
        <v>#REF!</v>
      </c>
    </row>
    <row r="357">
      <c r="A357" s="2" t="s">
        <v>1264</v>
      </c>
      <c r="B357" s="2" t="s">
        <v>1266</v>
      </c>
      <c r="C357" s="2" t="s">
        <v>1267</v>
      </c>
      <c r="D357" s="2">
        <v>89.9</v>
      </c>
      <c r="E357" s="130">
        <v>39.72</v>
      </c>
      <c r="F357" s="2" t="str">
        <f>ROUNDUP(((($E357*'Calculadora de preço'!$B$4)+($E357*#REF!))*100)/(100-'Calculadora de preço'!$B$5), -1)</f>
        <v>#REF!</v>
      </c>
    </row>
    <row r="358">
      <c r="A358" s="2" t="s">
        <v>1270</v>
      </c>
      <c r="B358" s="2" t="s">
        <v>1271</v>
      </c>
      <c r="C358" s="2" t="s">
        <v>1272</v>
      </c>
      <c r="D358" s="2">
        <v>89.9</v>
      </c>
      <c r="E358" s="130">
        <v>39.72</v>
      </c>
      <c r="F358" s="2" t="str">
        <f>ROUNDUP(((($E358*'Calculadora de preço'!$B$4)+($E358*#REF!))*100)/(100-'Calculadora de preço'!$B$5), -1)</f>
        <v>#REF!</v>
      </c>
    </row>
    <row r="359">
      <c r="A359" s="2" t="s">
        <v>1275</v>
      </c>
      <c r="B359" s="2" t="s">
        <v>1276</v>
      </c>
      <c r="C359" s="2" t="s">
        <v>1277</v>
      </c>
      <c r="D359" s="2">
        <v>89.9</v>
      </c>
      <c r="E359" s="130">
        <v>39.72</v>
      </c>
      <c r="F359" s="2" t="str">
        <f>ROUNDUP(((($E359*'Calculadora de preço'!$B$4)+($E359*#REF!))*100)/(100-'Calculadora de preço'!$B$5), -1)</f>
        <v>#REF!</v>
      </c>
    </row>
    <row r="360">
      <c r="A360" s="2" t="s">
        <v>1279</v>
      </c>
      <c r="B360" s="2" t="s">
        <v>1280</v>
      </c>
      <c r="C360" s="2" t="s">
        <v>1281</v>
      </c>
      <c r="D360" s="2">
        <v>69.9</v>
      </c>
      <c r="E360" s="130">
        <v>29.08</v>
      </c>
      <c r="F360" s="2" t="str">
        <f>ROUNDUP(((($E360*'Calculadora de preço'!$B$4)+($E360*#REF!))*100)/(100-'Calculadora de preço'!$B$5), -1)</f>
        <v>#REF!</v>
      </c>
      <c r="G360" s="1">
        <v>1.0</v>
      </c>
    </row>
    <row r="361">
      <c r="A361" s="2" t="s">
        <v>1285</v>
      </c>
      <c r="B361" s="2" t="s">
        <v>1286</v>
      </c>
      <c r="C361" s="2" t="s">
        <v>1287</v>
      </c>
      <c r="D361" s="2">
        <v>69.9</v>
      </c>
      <c r="E361" s="130">
        <v>29.08</v>
      </c>
      <c r="F361" s="2" t="str">
        <f>ROUNDUP(((($E361*'Calculadora de preço'!$B$4)+($E361*#REF!))*100)/(100-'Calculadora de preço'!$B$5), -1)</f>
        <v>#REF!</v>
      </c>
    </row>
    <row r="362">
      <c r="A362" s="2" t="s">
        <v>1290</v>
      </c>
      <c r="B362" s="2" t="s">
        <v>1291</v>
      </c>
      <c r="C362" s="2" t="s">
        <v>1293</v>
      </c>
      <c r="D362" s="2">
        <v>69.9</v>
      </c>
      <c r="E362" s="130">
        <v>29.08</v>
      </c>
      <c r="F362" s="2" t="str">
        <f>ROUNDUP(((($E362*'Calculadora de preço'!$B$4)+($E362*#REF!))*100)/(100-'Calculadora de preço'!$B$5), -1)</f>
        <v>#REF!</v>
      </c>
    </row>
    <row r="363">
      <c r="A363" s="2" t="s">
        <v>1295</v>
      </c>
      <c r="B363" s="2" t="s">
        <v>1296</v>
      </c>
      <c r="C363" s="2" t="s">
        <v>1297</v>
      </c>
      <c r="D363" s="2">
        <v>69.9</v>
      </c>
      <c r="E363" s="130">
        <v>29.08</v>
      </c>
      <c r="F363" s="2" t="str">
        <f>ROUNDUP(((($E363*'Calculadora de preço'!$B$4)+($E363*#REF!))*100)/(100-'Calculadora de preço'!$B$5), -1)</f>
        <v>#REF!</v>
      </c>
    </row>
    <row r="364">
      <c r="A364" s="2" t="s">
        <v>1299</v>
      </c>
      <c r="B364" s="2" t="s">
        <v>1300</v>
      </c>
      <c r="C364" s="2" t="s">
        <v>1301</v>
      </c>
      <c r="D364" s="2">
        <v>69.9</v>
      </c>
      <c r="E364" s="130">
        <v>29.08</v>
      </c>
      <c r="F364" s="2" t="str">
        <f>ROUNDUP(((($E364*'Calculadora de preço'!$B$4)+($E364*#REF!))*100)/(100-'Calculadora de preço'!$B$5), -1)</f>
        <v>#REF!</v>
      </c>
    </row>
    <row r="365">
      <c r="A365" s="2" t="s">
        <v>1305</v>
      </c>
      <c r="B365" s="2" t="s">
        <v>1306</v>
      </c>
      <c r="C365" s="2" t="s">
        <v>1307</v>
      </c>
      <c r="D365" s="2">
        <v>69.9</v>
      </c>
      <c r="E365" s="130">
        <v>29.08</v>
      </c>
      <c r="F365" s="2" t="str">
        <f>ROUNDUP(((($E365*'Calculadora de preço'!$B$4)+($E365*#REF!))*100)/(100-'Calculadora de preço'!$B$5), -1)</f>
        <v>#REF!</v>
      </c>
    </row>
    <row r="366">
      <c r="A366" s="2" t="s">
        <v>1310</v>
      </c>
      <c r="B366" s="2" t="s">
        <v>1311</v>
      </c>
      <c r="C366" s="2" t="s">
        <v>1312</v>
      </c>
      <c r="D366" s="2">
        <v>69.9</v>
      </c>
      <c r="E366" s="130">
        <v>29.08</v>
      </c>
      <c r="F366" s="2" t="str">
        <f>ROUNDUP(((($E366*'Calculadora de preço'!$B$4)+($E366*#REF!))*100)/(100-'Calculadora de preço'!$B$5), -1)</f>
        <v>#REF!</v>
      </c>
    </row>
    <row r="367">
      <c r="A367" s="2" t="s">
        <v>1315</v>
      </c>
      <c r="B367" s="2" t="s">
        <v>1316</v>
      </c>
      <c r="C367" s="2" t="s">
        <v>1317</v>
      </c>
      <c r="D367" s="2">
        <v>69.9</v>
      </c>
      <c r="E367" s="130">
        <v>29.08</v>
      </c>
      <c r="F367" s="2" t="str">
        <f>ROUNDUP(((($E367*'Calculadora de preço'!$B$4)+($E367*#REF!))*100)/(100-'Calculadora de preço'!$B$5), -1)</f>
        <v>#REF!</v>
      </c>
    </row>
    <row r="368">
      <c r="A368" s="2" t="s">
        <v>1320</v>
      </c>
      <c r="B368" s="2" t="s">
        <v>1321</v>
      </c>
      <c r="C368" s="2" t="s">
        <v>1322</v>
      </c>
      <c r="D368" s="2">
        <v>69.9</v>
      </c>
      <c r="E368" s="130">
        <v>29.08</v>
      </c>
      <c r="F368" s="2" t="str">
        <f>ROUNDUP(((($E368*'Calculadora de preço'!$B$4)+($E368*#REF!))*100)/(100-'Calculadora de preço'!$B$5), -1)</f>
        <v>#REF!</v>
      </c>
    </row>
    <row r="369">
      <c r="A369" s="2" t="s">
        <v>1324</v>
      </c>
      <c r="B369" s="2" t="s">
        <v>1325</v>
      </c>
      <c r="C369" s="2" t="s">
        <v>1326</v>
      </c>
      <c r="D369" s="2">
        <v>69.9</v>
      </c>
      <c r="E369" s="130">
        <v>29.08</v>
      </c>
      <c r="F369" s="2" t="str">
        <f>ROUNDUP(((($E369*'Calculadora de preço'!$B$4)+($E369*#REF!))*100)/(100-'Calculadora de preço'!$B$5), -1)</f>
        <v>#REF!</v>
      </c>
    </row>
    <row r="370">
      <c r="A370" s="2" t="s">
        <v>1329</v>
      </c>
      <c r="B370" s="2" t="s">
        <v>1330</v>
      </c>
      <c r="C370" s="2" t="s">
        <v>1331</v>
      </c>
      <c r="D370" s="2">
        <v>69.9</v>
      </c>
      <c r="E370" s="130">
        <v>29.08</v>
      </c>
      <c r="F370" s="2" t="str">
        <f>ROUNDUP(((($E370*'Calculadora de preço'!$B$4)+($E370*#REF!))*100)/(100-'Calculadora de preço'!$B$5), -1)</f>
        <v>#REF!</v>
      </c>
    </row>
    <row r="371">
      <c r="A371" s="2" t="s">
        <v>1335</v>
      </c>
      <c r="B371" s="2" t="s">
        <v>1336</v>
      </c>
      <c r="C371" s="2" t="s">
        <v>1337</v>
      </c>
      <c r="D371" s="2">
        <v>69.9</v>
      </c>
      <c r="E371" s="130">
        <v>29.08</v>
      </c>
      <c r="F371" s="2" t="str">
        <f>ROUNDUP(((($E371*'Calculadora de preço'!$B$4)+($E371*#REF!))*100)/(100-'Calculadora de preço'!$B$5), -1)</f>
        <v>#REF!</v>
      </c>
    </row>
    <row r="372">
      <c r="A372" s="2" t="s">
        <v>1341</v>
      </c>
      <c r="B372" s="2" t="s">
        <v>1342</v>
      </c>
      <c r="C372" s="2" t="s">
        <v>1343</v>
      </c>
      <c r="D372" s="2">
        <v>89.9</v>
      </c>
      <c r="E372" s="130">
        <v>39.72</v>
      </c>
      <c r="F372" s="2" t="str">
        <f>ROUNDUP(((($E372*'Calculadora de preço'!$B$4)+($E372*#REF!))*100)/(100-'Calculadora de preço'!$B$5), -1)</f>
        <v>#REF!</v>
      </c>
      <c r="G372" s="1">
        <v>1.0</v>
      </c>
    </row>
    <row r="373">
      <c r="A373" s="2" t="s">
        <v>1345</v>
      </c>
      <c r="B373" s="2" t="s">
        <v>1346</v>
      </c>
      <c r="C373" s="2" t="s">
        <v>1347</v>
      </c>
      <c r="D373" s="2">
        <v>89.9</v>
      </c>
      <c r="E373" s="130">
        <v>39.72</v>
      </c>
      <c r="F373" s="2" t="str">
        <f>ROUNDUP(((($E373*'Calculadora de preço'!$B$4)+($E373*#REF!))*100)/(100-'Calculadora de preço'!$B$5), -1)</f>
        <v>#REF!</v>
      </c>
    </row>
    <row r="374">
      <c r="A374" s="2" t="s">
        <v>1351</v>
      </c>
      <c r="B374" s="2" t="s">
        <v>1352</v>
      </c>
      <c r="C374" s="2" t="s">
        <v>1354</v>
      </c>
      <c r="D374" s="2">
        <v>89.9</v>
      </c>
      <c r="E374" s="130">
        <v>39.72</v>
      </c>
      <c r="F374" s="2" t="str">
        <f>ROUNDUP(((($E374*'Calculadora de preço'!$B$4)+($E374*#REF!))*100)/(100-'Calculadora de preço'!$B$5), -1)</f>
        <v>#REF!</v>
      </c>
    </row>
    <row r="375">
      <c r="A375" s="2" t="s">
        <v>1357</v>
      </c>
      <c r="B375" s="2" t="s">
        <v>1358</v>
      </c>
      <c r="C375" s="2" t="s">
        <v>1359</v>
      </c>
      <c r="D375" s="2">
        <v>89.9</v>
      </c>
      <c r="E375" s="130">
        <v>39.72</v>
      </c>
      <c r="F375" s="2" t="str">
        <f>ROUNDUP(((($E375*'Calculadora de preço'!$B$4)+($E375*#REF!))*100)/(100-'Calculadora de preço'!$B$5), -1)</f>
        <v>#REF!</v>
      </c>
    </row>
    <row r="376">
      <c r="A376" s="2" t="s">
        <v>1361</v>
      </c>
      <c r="B376" s="2" t="s">
        <v>1362</v>
      </c>
      <c r="C376" s="2" t="s">
        <v>1363</v>
      </c>
      <c r="D376" s="2">
        <v>89.9</v>
      </c>
      <c r="E376" s="130">
        <v>39.72</v>
      </c>
      <c r="F376" s="2" t="str">
        <f>ROUNDUP(((($E376*'Calculadora de preço'!$B$4)+($E376*#REF!))*100)/(100-'Calculadora de preço'!$B$5), -1)</f>
        <v>#REF!</v>
      </c>
    </row>
    <row r="377">
      <c r="A377" s="2" t="s">
        <v>1364</v>
      </c>
      <c r="B377" s="2" t="s">
        <v>1365</v>
      </c>
      <c r="C377" s="2" t="s">
        <v>1366</v>
      </c>
      <c r="D377" s="2">
        <v>89.9</v>
      </c>
      <c r="E377" s="130">
        <v>39.72</v>
      </c>
      <c r="F377" s="2" t="str">
        <f>ROUNDUP(((($E377*'Calculadora de preço'!$B$4)+($E377*#REF!))*100)/(100-'Calculadora de preço'!$B$5), -1)</f>
        <v>#REF!</v>
      </c>
    </row>
    <row r="378">
      <c r="A378" s="2" t="s">
        <v>1367</v>
      </c>
      <c r="B378" s="2" t="s">
        <v>1368</v>
      </c>
      <c r="C378" s="2" t="s">
        <v>1369</v>
      </c>
      <c r="D378" s="2">
        <v>89.9</v>
      </c>
      <c r="E378" s="130">
        <v>39.72</v>
      </c>
      <c r="F378" s="2" t="str">
        <f>ROUNDUP(((($E378*'Calculadora de preço'!$B$4)+($E378*#REF!))*100)/(100-'Calculadora de preço'!$B$5), -1)</f>
        <v>#REF!</v>
      </c>
    </row>
    <row r="379">
      <c r="A379" s="2" t="s">
        <v>1370</v>
      </c>
      <c r="B379" s="2" t="s">
        <v>1371</v>
      </c>
      <c r="C379" s="2" t="s">
        <v>1372</v>
      </c>
      <c r="D379" s="2">
        <v>89.9</v>
      </c>
      <c r="E379" s="130">
        <v>39.72</v>
      </c>
      <c r="F379" s="2" t="str">
        <f>ROUNDUP(((($E379*'Calculadora de preço'!$B$4)+($E379*#REF!))*100)/(100-'Calculadora de preço'!$B$5), -1)</f>
        <v>#REF!</v>
      </c>
    </row>
    <row r="380">
      <c r="A380" s="2" t="s">
        <v>1373</v>
      </c>
      <c r="B380" s="2" t="s">
        <v>1374</v>
      </c>
      <c r="C380" s="2" t="s">
        <v>1375</v>
      </c>
      <c r="D380" s="2">
        <v>89.9</v>
      </c>
      <c r="E380" s="130">
        <v>39.72</v>
      </c>
      <c r="F380" s="2" t="str">
        <f>ROUNDUP(((($E380*'Calculadora de preço'!$B$4)+($E380*#REF!))*100)/(100-'Calculadora de preço'!$B$5), -1)</f>
        <v>#REF!</v>
      </c>
    </row>
    <row r="381">
      <c r="A381" s="2" t="s">
        <v>1376</v>
      </c>
      <c r="B381" s="2" t="s">
        <v>1377</v>
      </c>
      <c r="C381" s="2" t="s">
        <v>1378</v>
      </c>
      <c r="D381" s="2">
        <v>89.9</v>
      </c>
      <c r="E381" s="130">
        <v>39.72</v>
      </c>
      <c r="F381" s="2" t="str">
        <f>ROUNDUP(((($E381*'Calculadora de preço'!$B$4)+($E381*#REF!))*100)/(100-'Calculadora de preço'!$B$5), -1)</f>
        <v>#REF!</v>
      </c>
    </row>
    <row r="382">
      <c r="A382" s="2" t="s">
        <v>1379</v>
      </c>
      <c r="B382" s="2" t="s">
        <v>1380</v>
      </c>
      <c r="C382" s="2" t="s">
        <v>1381</v>
      </c>
      <c r="D382" s="2">
        <v>89.9</v>
      </c>
      <c r="E382" s="130">
        <v>39.72</v>
      </c>
      <c r="F382" s="2" t="str">
        <f>ROUNDUP(((($E382*'Calculadora de preço'!$B$4)+($E382*#REF!))*100)/(100-'Calculadora de preço'!$B$5), -1)</f>
        <v>#REF!</v>
      </c>
    </row>
    <row r="383">
      <c r="A383" s="2" t="s">
        <v>1382</v>
      </c>
      <c r="B383" s="2" t="s">
        <v>1383</v>
      </c>
      <c r="C383" s="2" t="s">
        <v>1384</v>
      </c>
      <c r="D383" s="2">
        <v>89.9</v>
      </c>
      <c r="E383" s="130">
        <v>39.72</v>
      </c>
      <c r="F383" s="2" t="str">
        <f>ROUNDUP(((($E383*'Calculadora de preço'!$B$4)+($E383*#REF!))*100)/(100-'Calculadora de preço'!$B$5), -1)</f>
        <v>#REF!</v>
      </c>
    </row>
    <row r="384">
      <c r="A384" s="2" t="s">
        <v>1385</v>
      </c>
      <c r="B384" s="2" t="s">
        <v>1386</v>
      </c>
      <c r="C384" s="2" t="s">
        <v>1387</v>
      </c>
      <c r="D384" s="2">
        <v>89.9</v>
      </c>
      <c r="E384" s="130">
        <v>39.72</v>
      </c>
      <c r="F384" s="2" t="str">
        <f>ROUNDUP(((($E384*'Calculadora de preço'!$B$4)+($E384*#REF!))*100)/(100-'Calculadora de preço'!$B$5), -1)</f>
        <v>#REF!</v>
      </c>
    </row>
    <row r="385">
      <c r="A385" s="2" t="s">
        <v>1388</v>
      </c>
      <c r="B385" s="2" t="s">
        <v>1389</v>
      </c>
      <c r="C385" s="2" t="s">
        <v>1390</v>
      </c>
      <c r="D385" s="2">
        <v>89.9</v>
      </c>
      <c r="E385" s="130">
        <v>39.72</v>
      </c>
      <c r="F385" s="2" t="str">
        <f>ROUNDUP(((($E385*'Calculadora de preço'!$B$4)+($E385*#REF!))*100)/(100-'Calculadora de preço'!$B$5), -1)</f>
        <v>#REF!</v>
      </c>
    </row>
    <row r="386">
      <c r="A386" s="2" t="s">
        <v>1391</v>
      </c>
      <c r="B386" s="2" t="s">
        <v>1392</v>
      </c>
      <c r="C386" s="2" t="s">
        <v>1393</v>
      </c>
      <c r="D386" s="2">
        <v>89.9</v>
      </c>
      <c r="E386" s="130">
        <v>39.72</v>
      </c>
      <c r="F386" s="2" t="str">
        <f>ROUNDUP(((($E386*'Calculadora de preço'!$B$4)+($E386*#REF!))*100)/(100-'Calculadora de preço'!$B$5), -1)</f>
        <v>#REF!</v>
      </c>
    </row>
    <row r="387">
      <c r="A387" s="2" t="s">
        <v>1394</v>
      </c>
      <c r="B387" s="2" t="s">
        <v>1395</v>
      </c>
      <c r="C387" s="2" t="s">
        <v>1396</v>
      </c>
      <c r="D387" s="2">
        <v>89.9</v>
      </c>
      <c r="E387" s="130">
        <v>39.72</v>
      </c>
      <c r="F387" s="2" t="str">
        <f>ROUNDUP(((($E387*'Calculadora de preço'!$B$4)+($E387*#REF!))*100)/(100-'Calculadora de preço'!$B$5), -1)</f>
        <v>#REF!</v>
      </c>
    </row>
    <row r="388">
      <c r="A388" s="2" t="s">
        <v>1397</v>
      </c>
      <c r="B388" s="2" t="s">
        <v>1398</v>
      </c>
      <c r="C388" s="2" t="s">
        <v>1399</v>
      </c>
      <c r="D388" s="2">
        <v>89.9</v>
      </c>
      <c r="E388" s="130">
        <v>39.72</v>
      </c>
      <c r="F388" s="2" t="str">
        <f>ROUNDUP(((($E388*'Calculadora de preço'!$B$4)+($E388*#REF!))*100)/(100-'Calculadora de preço'!$B$5), -1)</f>
        <v>#REF!</v>
      </c>
    </row>
    <row r="389">
      <c r="A389" s="2" t="s">
        <v>1400</v>
      </c>
      <c r="B389" s="2" t="s">
        <v>1401</v>
      </c>
      <c r="C389" s="2" t="s">
        <v>1402</v>
      </c>
      <c r="D389" s="2">
        <v>89.9</v>
      </c>
      <c r="E389" s="130">
        <v>39.72</v>
      </c>
      <c r="F389" s="2" t="str">
        <f>ROUNDUP(((($E389*'Calculadora de preço'!$B$4)+($E389*#REF!))*100)/(100-'Calculadora de preço'!$B$5), -1)</f>
        <v>#REF!</v>
      </c>
    </row>
    <row r="390">
      <c r="A390" s="2" t="s">
        <v>1403</v>
      </c>
      <c r="B390" s="2" t="s">
        <v>1404</v>
      </c>
      <c r="C390" s="2" t="s">
        <v>1405</v>
      </c>
      <c r="D390" s="2">
        <v>89.9</v>
      </c>
      <c r="E390" s="130">
        <v>39.72</v>
      </c>
      <c r="F390" s="2" t="str">
        <f>ROUNDUP(((($E390*'Calculadora de preço'!$B$4)+($E390*#REF!))*100)/(100-'Calculadora de preço'!$B$5), -1)</f>
        <v>#REF!</v>
      </c>
    </row>
    <row r="391">
      <c r="A391" s="2" t="s">
        <v>1406</v>
      </c>
      <c r="B391" s="2" t="s">
        <v>1407</v>
      </c>
      <c r="C391" s="2" t="s">
        <v>1408</v>
      </c>
      <c r="D391" s="2">
        <v>89.9</v>
      </c>
      <c r="E391" s="130">
        <v>39.72</v>
      </c>
      <c r="F391" s="2" t="str">
        <f>ROUNDUP(((($E391*'Calculadora de preço'!$B$4)+($E391*#REF!))*100)/(100-'Calculadora de preço'!$B$5), -1)</f>
        <v>#REF!</v>
      </c>
    </row>
    <row r="392">
      <c r="A392" s="2" t="s">
        <v>1409</v>
      </c>
      <c r="B392" s="2" t="s">
        <v>1410</v>
      </c>
      <c r="C392" s="2" t="s">
        <v>1411</v>
      </c>
      <c r="D392" s="2">
        <v>89.9</v>
      </c>
      <c r="E392" s="130">
        <v>39.72</v>
      </c>
      <c r="F392" s="2" t="str">
        <f>ROUNDUP(((($E392*'Calculadora de preço'!$B$4)+($E392*#REF!))*100)/(100-'Calculadora de preço'!$B$5), -1)</f>
        <v>#REF!</v>
      </c>
    </row>
    <row r="393">
      <c r="A393" s="2" t="s">
        <v>1412</v>
      </c>
      <c r="B393" s="2" t="s">
        <v>1413</v>
      </c>
      <c r="C393" s="2" t="s">
        <v>1414</v>
      </c>
      <c r="D393" s="2">
        <v>89.9</v>
      </c>
      <c r="E393" s="130">
        <v>39.72</v>
      </c>
      <c r="F393" s="2" t="str">
        <f>ROUNDUP(((($E393*'Calculadora de preço'!$B$4)+($E393*#REF!))*100)/(100-'Calculadora de preço'!$B$5), -1)</f>
        <v>#REF!</v>
      </c>
    </row>
    <row r="394">
      <c r="A394" s="2" t="s">
        <v>1415</v>
      </c>
      <c r="B394" s="2" t="s">
        <v>1416</v>
      </c>
      <c r="C394" s="2" t="s">
        <v>1417</v>
      </c>
      <c r="D394" s="2">
        <v>89.9</v>
      </c>
      <c r="E394" s="130">
        <v>39.72</v>
      </c>
      <c r="F394" s="2" t="str">
        <f>ROUNDUP(((($E394*'Calculadora de preço'!$B$4)+($E394*#REF!))*100)/(100-'Calculadora de preço'!$B$5), -1)</f>
        <v>#REF!</v>
      </c>
    </row>
    <row r="395">
      <c r="A395" s="2" t="s">
        <v>1418</v>
      </c>
      <c r="B395" s="2" t="s">
        <v>1419</v>
      </c>
      <c r="C395" s="2" t="s">
        <v>1420</v>
      </c>
      <c r="D395" s="2">
        <v>89.9</v>
      </c>
      <c r="E395" s="130">
        <v>39.72</v>
      </c>
      <c r="F395" s="2" t="str">
        <f>ROUNDUP(((($E395*'Calculadora de preço'!$B$4)+($E395*#REF!))*100)/(100-'Calculadora de preço'!$B$5), -1)</f>
        <v>#REF!</v>
      </c>
    </row>
    <row r="396">
      <c r="A396" s="2" t="s">
        <v>1421</v>
      </c>
      <c r="B396" s="2" t="s">
        <v>1422</v>
      </c>
      <c r="C396" s="2" t="s">
        <v>1423</v>
      </c>
      <c r="D396" s="2">
        <v>89.9</v>
      </c>
      <c r="E396" s="130">
        <v>39.72</v>
      </c>
      <c r="F396" s="2" t="str">
        <f>ROUNDUP(((($E396*'Calculadora de preço'!$B$4)+($E396*#REF!))*100)/(100-'Calculadora de preço'!$B$5), -1)</f>
        <v>#REF!</v>
      </c>
    </row>
    <row r="397">
      <c r="A397" s="2" t="s">
        <v>1424</v>
      </c>
      <c r="B397" s="2" t="s">
        <v>1425</v>
      </c>
      <c r="D397" s="2">
        <v>50.0</v>
      </c>
      <c r="E397" s="130">
        <v>0.0</v>
      </c>
      <c r="F397" s="2" t="str">
        <f>ROUNDUP(((($E397*'Calculadora de preço'!$B$4)+($E397*#REF!))*100)/(100-'Calculadora de preço'!$B$5), -1)</f>
        <v>#REF!</v>
      </c>
    </row>
    <row r="398">
      <c r="A398" s="2" t="s">
        <v>1426</v>
      </c>
      <c r="B398" s="2" t="s">
        <v>1427</v>
      </c>
      <c r="D398" s="2">
        <v>79.99</v>
      </c>
      <c r="E398" s="130">
        <v>39.99</v>
      </c>
      <c r="F398" s="2" t="str">
        <f>ROUNDUP(((($E398*'Calculadora de preço'!$B$4)+($E398*#REF!))*100)/(100-'Calculadora de preço'!$B$5), -1)</f>
        <v>#REF!</v>
      </c>
      <c r="G398" s="1">
        <v>1.0</v>
      </c>
    </row>
    <row r="399">
      <c r="A399" s="2" t="s">
        <v>1428</v>
      </c>
      <c r="B399" s="2" t="s">
        <v>1252</v>
      </c>
      <c r="C399" s="2" t="s">
        <v>1429</v>
      </c>
      <c r="D399" s="2">
        <v>109.9</v>
      </c>
      <c r="E399" s="130">
        <v>45.0</v>
      </c>
      <c r="F399" s="2" t="str">
        <f>ROUNDUP(((($E399*'Calculadora de preço'!$B$4)+($E399*#REF!))*100)/(100-'Calculadora de preço'!$B$5), -1)</f>
        <v>#REF!</v>
      </c>
      <c r="G399" s="1">
        <v>1.0</v>
      </c>
    </row>
    <row r="400">
      <c r="A400" s="2" t="s">
        <v>1430</v>
      </c>
      <c r="B400" s="2" t="s">
        <v>1431</v>
      </c>
      <c r="D400" s="2">
        <v>99.9</v>
      </c>
      <c r="E400" s="130">
        <v>59.9</v>
      </c>
      <c r="F400" s="2" t="str">
        <f>ROUNDUP(((($E400*'Calculadora de preço'!$B$4)+($E400*#REF!))*100)/(100-'Calculadora de preço'!$B$5), -1)</f>
        <v>#REF!</v>
      </c>
      <c r="G400" s="1">
        <v>1.0</v>
      </c>
    </row>
    <row r="401">
      <c r="A401" s="2" t="s">
        <v>1432</v>
      </c>
      <c r="B401" s="2" t="s">
        <v>1433</v>
      </c>
      <c r="D401" s="2">
        <v>99.9</v>
      </c>
      <c r="E401" s="130">
        <v>59.9</v>
      </c>
      <c r="F401" s="2" t="str">
        <f>ROUNDUP(((($E401*'Calculadora de preço'!$B$4)+($E401*#REF!))*100)/(100-'Calculadora de preço'!$B$5), -1)</f>
        <v>#REF!</v>
      </c>
      <c r="G401" s="1">
        <v>1.0</v>
      </c>
    </row>
    <row r="402">
      <c r="A402" s="2" t="s">
        <v>1434</v>
      </c>
      <c r="B402" s="2" t="s">
        <v>1435</v>
      </c>
      <c r="D402" s="2">
        <v>99.9</v>
      </c>
      <c r="E402" s="130">
        <v>59.9</v>
      </c>
      <c r="F402" s="2" t="str">
        <f>ROUNDUP(((($E402*'Calculadora de preço'!$B$4)+($E402*#REF!))*100)/(100-'Calculadora de preço'!$B$5), -1)</f>
        <v>#REF!</v>
      </c>
      <c r="G402" s="1">
        <v>1.0</v>
      </c>
    </row>
    <row r="403">
      <c r="A403" s="2" t="s">
        <v>1436</v>
      </c>
      <c r="B403" s="2" t="s">
        <v>1437</v>
      </c>
      <c r="D403" s="2">
        <v>89.9</v>
      </c>
      <c r="E403" s="130">
        <v>59.9</v>
      </c>
      <c r="F403" s="2" t="str">
        <f>ROUNDUP(((($E403*'Calculadora de preço'!$B$4)+($E403*#REF!))*100)/(100-'Calculadora de preço'!$B$5), -1)</f>
        <v>#REF!</v>
      </c>
      <c r="G403" s="1">
        <v>1.0</v>
      </c>
    </row>
    <row r="404">
      <c r="A404" s="2" t="s">
        <v>1438</v>
      </c>
      <c r="B404" s="2" t="s">
        <v>1439</v>
      </c>
      <c r="D404" s="2">
        <v>149.9</v>
      </c>
      <c r="E404" s="130">
        <v>89.9</v>
      </c>
      <c r="F404" s="2" t="str">
        <f>ROUNDUP(((($E404*'Calculadora de preço'!$B$4)+($E404*#REF!))*100)/(100-'Calculadora de preço'!$B$5), -1)</f>
        <v>#REF!</v>
      </c>
      <c r="G404" s="1">
        <v>1.0</v>
      </c>
    </row>
    <row r="405">
      <c r="A405" s="2" t="s">
        <v>1440</v>
      </c>
      <c r="B405" s="2" t="s">
        <v>1441</v>
      </c>
      <c r="D405" s="2">
        <v>149.9</v>
      </c>
      <c r="E405" s="130">
        <v>89.9</v>
      </c>
      <c r="F405" s="2" t="str">
        <f>ROUNDUP(((($E405*'Calculadora de preço'!$B$4)+($E405*#REF!))*100)/(100-'Calculadora de preço'!$B$5), -1)</f>
        <v>#REF!</v>
      </c>
      <c r="G405" s="1">
        <v>1.0</v>
      </c>
    </row>
    <row r="406">
      <c r="A406" s="2" t="s">
        <v>1442</v>
      </c>
      <c r="B406" s="2" t="s">
        <v>1443</v>
      </c>
      <c r="D406" s="2">
        <v>129.9</v>
      </c>
      <c r="E406" s="130">
        <v>79.9</v>
      </c>
      <c r="F406" s="2" t="str">
        <f>ROUNDUP(((($E406*'Calculadora de preço'!$B$4)+($E406*#REF!))*100)/(100-'Calculadora de preço'!$B$5), -1)</f>
        <v>#REF!</v>
      </c>
      <c r="G406" s="1">
        <v>1.0</v>
      </c>
    </row>
    <row r="407">
      <c r="A407" s="2" t="s">
        <v>1444</v>
      </c>
      <c r="B407" s="2" t="s">
        <v>1445</v>
      </c>
      <c r="D407" s="2">
        <v>129.9</v>
      </c>
      <c r="E407" s="130">
        <v>79.9</v>
      </c>
      <c r="F407" s="2" t="str">
        <f>ROUNDUP(((($E407*'Calculadora de preço'!$B$4)+($E407*#REF!))*100)/(100-'Calculadora de preço'!$B$5), -1)</f>
        <v>#REF!</v>
      </c>
      <c r="G407" s="1">
        <v>1.0</v>
      </c>
    </row>
    <row r="408">
      <c r="A408" s="2" t="s">
        <v>1446</v>
      </c>
      <c r="B408" s="2" t="s">
        <v>1447</v>
      </c>
      <c r="D408" s="2">
        <v>129.9</v>
      </c>
      <c r="E408" s="130">
        <v>79.9</v>
      </c>
      <c r="F408" s="2" t="str">
        <f>ROUNDUP(((($E408*'Calculadora de preço'!$B$4)+($E408*#REF!))*100)/(100-'Calculadora de preço'!$B$5), -1)</f>
        <v>#REF!</v>
      </c>
      <c r="G408" s="1">
        <v>1.0</v>
      </c>
    </row>
    <row r="409">
      <c r="A409" s="2" t="s">
        <v>1448</v>
      </c>
      <c r="B409" s="2" t="s">
        <v>1449</v>
      </c>
      <c r="D409" s="2">
        <v>129.9</v>
      </c>
      <c r="E409" s="130">
        <v>79.9</v>
      </c>
      <c r="F409" s="2" t="str">
        <f>ROUNDUP(((($E409*'Calculadora de preço'!$B$4)+($E409*#REF!))*100)/(100-'Calculadora de preço'!$B$5), -1)</f>
        <v>#REF!</v>
      </c>
      <c r="G409" s="1">
        <v>1.0</v>
      </c>
    </row>
    <row r="410">
      <c r="A410" s="2" t="s">
        <v>1450</v>
      </c>
      <c r="B410" s="2" t="s">
        <v>1451</v>
      </c>
      <c r="D410" s="2">
        <v>129.9</v>
      </c>
      <c r="E410" s="130">
        <v>79.9</v>
      </c>
      <c r="F410" s="2" t="str">
        <f>ROUNDUP(((($E410*'Calculadora de preço'!$B$4)+($E410*#REF!))*100)/(100-'Calculadora de preço'!$B$5), -1)</f>
        <v>#REF!</v>
      </c>
      <c r="G410" s="1">
        <v>1.0</v>
      </c>
    </row>
    <row r="411">
      <c r="A411" s="2" t="s">
        <v>1452</v>
      </c>
      <c r="B411" s="2" t="s">
        <v>1453</v>
      </c>
      <c r="D411" s="2">
        <v>129.9</v>
      </c>
      <c r="E411" s="130">
        <v>79.9</v>
      </c>
      <c r="F411" s="2" t="str">
        <f>ROUNDUP(((($E411*'Calculadora de preço'!$B$4)+($E411*#REF!))*100)/(100-'Calculadora de preço'!$B$5), -1)</f>
        <v>#REF!</v>
      </c>
      <c r="G411" s="1">
        <v>1.0</v>
      </c>
    </row>
    <row r="412">
      <c r="A412" s="2" t="s">
        <v>1454</v>
      </c>
      <c r="B412" s="2" t="s">
        <v>1455</v>
      </c>
      <c r="D412" s="2">
        <v>129.9</v>
      </c>
      <c r="E412" s="130">
        <v>79.9</v>
      </c>
      <c r="F412" s="2" t="str">
        <f>ROUNDUP(((($E412*'Calculadora de preço'!$B$4)+($E412*#REF!))*100)/(100-'Calculadora de preço'!$B$5), -1)</f>
        <v>#REF!</v>
      </c>
      <c r="G412" s="1">
        <v>1.0</v>
      </c>
    </row>
    <row r="413">
      <c r="A413" s="2" t="s">
        <v>1456</v>
      </c>
      <c r="B413" s="2" t="s">
        <v>1457</v>
      </c>
      <c r="D413" s="2">
        <v>129.9</v>
      </c>
      <c r="E413" s="130">
        <v>79.9</v>
      </c>
      <c r="F413" s="2" t="str">
        <f>ROUNDUP(((($E413*'Calculadora de preço'!$B$4)+($E413*#REF!))*100)/(100-'Calculadora de preço'!$B$5), -1)</f>
        <v>#REF!</v>
      </c>
      <c r="G413" s="1">
        <v>1.0</v>
      </c>
    </row>
    <row r="414">
      <c r="A414" s="2" t="s">
        <v>1458</v>
      </c>
      <c r="B414" s="2" t="s">
        <v>1459</v>
      </c>
      <c r="D414" s="2">
        <v>129.9</v>
      </c>
      <c r="E414" s="130">
        <v>79.9</v>
      </c>
      <c r="F414" s="2" t="str">
        <f>ROUNDUP(((($E414*'Calculadora de preço'!$B$4)+($E414*#REF!))*100)/(100-'Calculadora de preço'!$B$5), -1)</f>
        <v>#REF!</v>
      </c>
      <c r="G414" s="1">
        <v>1.0</v>
      </c>
    </row>
    <row r="415">
      <c r="A415" s="2" t="s">
        <v>1460</v>
      </c>
      <c r="B415" s="2" t="s">
        <v>1461</v>
      </c>
      <c r="D415" s="2">
        <v>119.9</v>
      </c>
      <c r="E415" s="130">
        <v>48.9</v>
      </c>
      <c r="F415" s="2" t="str">
        <f>ROUNDUP(((($E415*'Calculadora de preço'!$B$4)+($E415*#REF!))*100)/(100-'Calculadora de preço'!$B$5), -1)</f>
        <v>#REF!</v>
      </c>
      <c r="G415" s="1">
        <v>1.0</v>
      </c>
    </row>
    <row r="416">
      <c r="A416" s="2" t="s">
        <v>1462</v>
      </c>
      <c r="B416" s="2" t="s">
        <v>1463</v>
      </c>
      <c r="D416" s="2">
        <v>119.9</v>
      </c>
      <c r="E416" s="130">
        <v>48.9</v>
      </c>
      <c r="F416" s="2" t="str">
        <f>ROUNDUP(((($E416*'Calculadora de preço'!$B$4)+($E416*#REF!))*100)/(100-'Calculadora de preço'!$B$5), -1)</f>
        <v>#REF!</v>
      </c>
    </row>
    <row r="417">
      <c r="A417" s="2" t="s">
        <v>1464</v>
      </c>
      <c r="B417" s="2" t="s">
        <v>1465</v>
      </c>
      <c r="D417" s="2">
        <v>119.9</v>
      </c>
      <c r="E417" s="130">
        <v>48.9</v>
      </c>
      <c r="F417" s="2" t="str">
        <f>ROUNDUP(((($E417*'Calculadora de preço'!$B$4)+($E417*#REF!))*100)/(100-'Calculadora de preço'!$B$5), -1)</f>
        <v>#REF!</v>
      </c>
    </row>
    <row r="418">
      <c r="A418" s="2" t="s">
        <v>1466</v>
      </c>
      <c r="B418" s="2" t="s">
        <v>1467</v>
      </c>
      <c r="D418" s="2">
        <v>119.9</v>
      </c>
      <c r="E418" s="130">
        <v>48.9</v>
      </c>
      <c r="F418" s="2" t="str">
        <f>ROUNDUP(((($E418*'Calculadora de preço'!$B$4)+($E418*#REF!))*100)/(100-'Calculadora de preço'!$B$5), -1)</f>
        <v>#REF!</v>
      </c>
    </row>
    <row r="419">
      <c r="A419" s="2" t="s">
        <v>1468</v>
      </c>
      <c r="B419" s="2" t="s">
        <v>1469</v>
      </c>
      <c r="D419" s="2">
        <v>119.9</v>
      </c>
      <c r="E419" s="130">
        <v>48.9</v>
      </c>
      <c r="F419" s="2" t="str">
        <f>ROUNDUP(((($E419*'Calculadora de preço'!$B$4)+($E419*#REF!))*100)/(100-'Calculadora de preço'!$B$5), -1)</f>
        <v>#REF!</v>
      </c>
    </row>
    <row r="420">
      <c r="A420" s="2" t="s">
        <v>1470</v>
      </c>
      <c r="B420" s="2" t="s">
        <v>1471</v>
      </c>
      <c r="D420" s="2">
        <v>119.9</v>
      </c>
      <c r="E420" s="130">
        <v>48.9</v>
      </c>
      <c r="F420" s="2" t="str">
        <f>ROUNDUP(((($E420*'Calculadora de preço'!$B$4)+($E420*#REF!))*100)/(100-'Calculadora de preço'!$B$5), -1)</f>
        <v>#REF!</v>
      </c>
    </row>
    <row r="421">
      <c r="A421" s="2" t="s">
        <v>1472</v>
      </c>
      <c r="B421" s="2" t="s">
        <v>1473</v>
      </c>
      <c r="D421" s="2">
        <v>119.9</v>
      </c>
      <c r="E421" s="130">
        <v>48.9</v>
      </c>
      <c r="F421" s="2" t="str">
        <f>ROUNDUP(((($E421*'Calculadora de preço'!$B$4)+($E421*#REF!))*100)/(100-'Calculadora de preço'!$B$5), -1)</f>
        <v>#REF!</v>
      </c>
    </row>
    <row r="422">
      <c r="A422" s="2" t="s">
        <v>1474</v>
      </c>
      <c r="B422" s="2" t="s">
        <v>1475</v>
      </c>
      <c r="C422" s="2" t="s">
        <v>1476</v>
      </c>
      <c r="D422" s="2">
        <v>89.9</v>
      </c>
      <c r="E422" s="130">
        <v>35.0</v>
      </c>
      <c r="F422" s="2" t="str">
        <f>ROUNDUP(((($E422*'Calculadora de preço'!$B$4)+($E422*#REF!))*100)/(100-'Calculadora de preço'!$B$5), -1)</f>
        <v>#REF!</v>
      </c>
      <c r="G422" s="1">
        <v>1.0</v>
      </c>
    </row>
    <row r="423">
      <c r="A423" s="2" t="s">
        <v>1477</v>
      </c>
      <c r="B423" s="2" t="s">
        <v>1478</v>
      </c>
      <c r="D423" s="2">
        <v>95.9</v>
      </c>
      <c r="E423" s="130">
        <v>39.9</v>
      </c>
      <c r="F423" s="2" t="str">
        <f>ROUNDUP(((($E423*'Calculadora de preço'!$B$4)+($E423*#REF!))*100)/(100-'Calculadora de preço'!$B$5), -1)</f>
        <v>#REF!</v>
      </c>
      <c r="G423" s="1">
        <v>1.0</v>
      </c>
    </row>
    <row r="424">
      <c r="A424" s="2" t="s">
        <v>1479</v>
      </c>
      <c r="B424" s="2" t="s">
        <v>1480</v>
      </c>
      <c r="D424" s="2">
        <v>95.9</v>
      </c>
      <c r="E424" s="130">
        <v>39.9</v>
      </c>
      <c r="F424" s="2" t="str">
        <f>ROUNDUP(((($E424*'Calculadora de preço'!$B$4)+($E424*#REF!))*100)/(100-'Calculadora de preço'!$B$5), -1)</f>
        <v>#REF!</v>
      </c>
    </row>
    <row r="425">
      <c r="A425" s="2" t="s">
        <v>1481</v>
      </c>
      <c r="B425" s="2" t="s">
        <v>1482</v>
      </c>
      <c r="D425" s="2">
        <v>95.9</v>
      </c>
      <c r="E425" s="130">
        <v>39.9</v>
      </c>
      <c r="F425" s="2" t="str">
        <f>ROUNDUP(((($E425*'Calculadora de preço'!$B$4)+($E425*#REF!))*100)/(100-'Calculadora de preço'!$B$5), -1)</f>
        <v>#REF!</v>
      </c>
    </row>
    <row r="426">
      <c r="A426" s="2" t="s">
        <v>1483</v>
      </c>
      <c r="B426" s="2" t="s">
        <v>1484</v>
      </c>
      <c r="D426" s="2">
        <v>95.9</v>
      </c>
      <c r="E426" s="130">
        <v>39.9</v>
      </c>
      <c r="F426" s="2" t="str">
        <f>ROUNDUP(((($E426*'Calculadora de preço'!$B$4)+($E426*#REF!))*100)/(100-'Calculadora de preço'!$B$5), -1)</f>
        <v>#REF!</v>
      </c>
    </row>
    <row r="427">
      <c r="A427" s="2" t="s">
        <v>1485</v>
      </c>
      <c r="B427" s="2" t="s">
        <v>1486</v>
      </c>
      <c r="D427" s="2">
        <v>95.9</v>
      </c>
      <c r="E427" s="130">
        <v>39.9</v>
      </c>
      <c r="F427" s="2" t="str">
        <f>ROUNDUP(((($E427*'Calculadora de preço'!$B$4)+($E427*#REF!))*100)/(100-'Calculadora de preço'!$B$5), -1)</f>
        <v>#REF!</v>
      </c>
    </row>
    <row r="428">
      <c r="A428" s="2" t="s">
        <v>1487</v>
      </c>
      <c r="B428" s="2" t="s">
        <v>1488</v>
      </c>
      <c r="D428" s="2">
        <v>95.9</v>
      </c>
      <c r="E428" s="130">
        <v>39.9</v>
      </c>
      <c r="F428" s="2" t="str">
        <f>ROUNDUP(((($E428*'Calculadora de preço'!$B$4)+($E428*#REF!))*100)/(100-'Calculadora de preço'!$B$5), -1)</f>
        <v>#REF!</v>
      </c>
    </row>
    <row r="429">
      <c r="A429" s="2" t="s">
        <v>1489</v>
      </c>
      <c r="B429" s="2" t="s">
        <v>1490</v>
      </c>
      <c r="D429" s="2">
        <v>95.9</v>
      </c>
      <c r="E429" s="130">
        <v>39.9</v>
      </c>
      <c r="F429" s="2" t="str">
        <f>ROUNDUP(((($E429*'Calculadora de preço'!$B$4)+($E429*#REF!))*100)/(100-'Calculadora de preço'!$B$5), -1)</f>
        <v>#REF!</v>
      </c>
    </row>
    <row r="430">
      <c r="A430" s="2" t="s">
        <v>1491</v>
      </c>
      <c r="B430" s="2" t="s">
        <v>1492</v>
      </c>
      <c r="D430" s="2">
        <v>95.9</v>
      </c>
      <c r="E430" s="130">
        <v>39.9</v>
      </c>
      <c r="F430" s="2" t="str">
        <f>ROUNDUP(((($E430*'Calculadora de preço'!$B$4)+($E430*#REF!))*100)/(100-'Calculadora de preço'!$B$5), -1)</f>
        <v>#REF!</v>
      </c>
    </row>
    <row r="431">
      <c r="A431" s="2" t="s">
        <v>1493</v>
      </c>
      <c r="B431" s="2" t="s">
        <v>1494</v>
      </c>
      <c r="D431" s="2">
        <v>95.9</v>
      </c>
      <c r="E431" s="130">
        <v>39.9</v>
      </c>
      <c r="F431" s="2" t="str">
        <f>ROUNDUP(((($E431*'Calculadora de preço'!$B$4)+($E431*#REF!))*100)/(100-'Calculadora de preço'!$B$5), -1)</f>
        <v>#REF!</v>
      </c>
    </row>
    <row r="432">
      <c r="A432" s="2" t="s">
        <v>1495</v>
      </c>
      <c r="B432" s="2" t="s">
        <v>1496</v>
      </c>
      <c r="D432" s="2">
        <v>95.9</v>
      </c>
      <c r="E432" s="130">
        <v>39.9</v>
      </c>
      <c r="F432" s="2" t="str">
        <f>ROUNDUP(((($E432*'Calculadora de preço'!$B$4)+($E432*#REF!))*100)/(100-'Calculadora de preço'!$B$5), -1)</f>
        <v>#REF!</v>
      </c>
    </row>
    <row r="433">
      <c r="A433" s="2" t="s">
        <v>1497</v>
      </c>
      <c r="B433" s="2" t="s">
        <v>1498</v>
      </c>
      <c r="D433" s="2">
        <v>95.9</v>
      </c>
      <c r="E433" s="130">
        <v>39.9</v>
      </c>
      <c r="F433" s="2" t="str">
        <f>ROUNDUP(((($E433*'Calculadora de preço'!$B$4)+($E433*#REF!))*100)/(100-'Calculadora de preço'!$B$5), -1)</f>
        <v>#REF!</v>
      </c>
    </row>
    <row r="434">
      <c r="A434" s="2" t="s">
        <v>1499</v>
      </c>
      <c r="B434" s="2" t="s">
        <v>1500</v>
      </c>
      <c r="D434" s="2">
        <v>95.9</v>
      </c>
      <c r="E434" s="130">
        <v>39.9</v>
      </c>
      <c r="F434" s="2" t="str">
        <f>ROUNDUP(((($E434*'Calculadora de preço'!$B$4)+($E434*#REF!))*100)/(100-'Calculadora de preço'!$B$5), -1)</f>
        <v>#REF!</v>
      </c>
    </row>
    <row r="435">
      <c r="A435" s="2" t="s">
        <v>1501</v>
      </c>
      <c r="B435" s="2" t="s">
        <v>1502</v>
      </c>
      <c r="D435" s="2">
        <v>129.9</v>
      </c>
      <c r="E435" s="130">
        <v>54.0</v>
      </c>
      <c r="F435" s="2" t="str">
        <f>ROUNDUP(((($E435*'Calculadora de preço'!$B$4)+($E435*#REF!))*100)/(100-'Calculadora de preço'!$B$5), -1)</f>
        <v>#REF!</v>
      </c>
      <c r="G435" s="1">
        <v>1.0</v>
      </c>
    </row>
    <row r="436">
      <c r="A436" s="2" t="s">
        <v>1503</v>
      </c>
      <c r="B436" s="2" t="s">
        <v>1504</v>
      </c>
      <c r="C436" s="2" t="s">
        <v>1505</v>
      </c>
      <c r="D436" s="2">
        <v>109.9</v>
      </c>
      <c r="E436" s="130">
        <v>43.48</v>
      </c>
      <c r="F436" s="2" t="str">
        <f>ROUNDUP(((($E436*'Calculadora de preço'!$B$4)+($E436*#REF!))*100)/(100-'Calculadora de preço'!$B$5), -1)</f>
        <v>#REF!</v>
      </c>
      <c r="G436" s="1">
        <v>1.0</v>
      </c>
    </row>
    <row r="437">
      <c r="A437" s="2" t="s">
        <v>1506</v>
      </c>
      <c r="B437" s="2" t="s">
        <v>1507</v>
      </c>
      <c r="C437" s="2" t="s">
        <v>1508</v>
      </c>
      <c r="D437" s="2">
        <v>99.9</v>
      </c>
      <c r="E437" s="130">
        <v>39.77</v>
      </c>
      <c r="F437" s="2" t="str">
        <f>ROUNDUP(((($E437*'Calculadora de preço'!$B$4)+($E437*#REF!))*100)/(100-'Calculadora de preço'!$B$5), -1)</f>
        <v>#REF!</v>
      </c>
      <c r="G437" s="1">
        <v>1.0</v>
      </c>
    </row>
    <row r="438">
      <c r="A438" s="2" t="s">
        <v>1509</v>
      </c>
      <c r="B438" s="2" t="s">
        <v>1510</v>
      </c>
      <c r="D438" s="2">
        <v>109.9</v>
      </c>
      <c r="E438" s="130">
        <v>44.0</v>
      </c>
      <c r="F438" s="2" t="str">
        <f>ROUNDUP(((($E438*'Calculadora de preço'!$B$4)+($E438*#REF!))*100)/(100-'Calculadora de preço'!$B$5), -1)</f>
        <v>#REF!</v>
      </c>
      <c r="G438" s="1">
        <v>1.0</v>
      </c>
    </row>
    <row r="439">
      <c r="A439" s="2" t="s">
        <v>1511</v>
      </c>
      <c r="B439" s="2" t="s">
        <v>1512</v>
      </c>
      <c r="C439" s="2" t="s">
        <v>1513</v>
      </c>
      <c r="D439" s="2">
        <v>109.9</v>
      </c>
      <c r="E439" s="130">
        <v>43.48</v>
      </c>
      <c r="F439" s="2" t="str">
        <f>ROUNDUP(((($E439*'Calculadora de preço'!$B$4)+($E439*#REF!))*100)/(100-'Calculadora de preço'!$B$5), -1)</f>
        <v>#REF!</v>
      </c>
      <c r="G439" s="1">
        <v>1.0</v>
      </c>
    </row>
    <row r="440">
      <c r="A440" s="2" t="s">
        <v>1514</v>
      </c>
      <c r="B440" s="2" t="s">
        <v>1515</v>
      </c>
      <c r="C440" s="2" t="s">
        <v>1516</v>
      </c>
      <c r="D440" s="2">
        <v>109.9</v>
      </c>
      <c r="E440" s="130">
        <v>45.0</v>
      </c>
      <c r="F440" s="2" t="str">
        <f>ROUNDUP(((($E440*'Calculadora de preço'!$B$4)+($E440*#REF!))*100)/(100-'Calculadora de preço'!$B$5), -1)</f>
        <v>#REF!</v>
      </c>
      <c r="G440" s="1">
        <v>1.0</v>
      </c>
    </row>
    <row r="441">
      <c r="A441" s="2" t="s">
        <v>1517</v>
      </c>
      <c r="B441" s="2" t="s">
        <v>1518</v>
      </c>
      <c r="D441" s="2">
        <v>109.9</v>
      </c>
      <c r="E441" s="130">
        <v>66.9</v>
      </c>
      <c r="F441" s="2" t="str">
        <f>ROUNDUP(((($E441*'Calculadora de preço'!$B$4)+($E441*#REF!))*100)/(100-'Calculadora de preço'!$B$5), -1)</f>
        <v>#REF!</v>
      </c>
      <c r="G441" s="1">
        <v>1.0</v>
      </c>
    </row>
    <row r="442">
      <c r="A442" s="2" t="s">
        <v>1519</v>
      </c>
      <c r="B442" s="2" t="s">
        <v>1520</v>
      </c>
      <c r="D442" s="2">
        <v>109.9</v>
      </c>
      <c r="E442" s="130">
        <v>66.9</v>
      </c>
      <c r="F442" s="2" t="str">
        <f>ROUNDUP(((($E442*'Calculadora de preço'!$B$4)+($E442*#REF!))*100)/(100-'Calculadora de preço'!$B$5), -1)</f>
        <v>#REF!</v>
      </c>
      <c r="G442" s="1">
        <v>1.0</v>
      </c>
    </row>
    <row r="443">
      <c r="A443" s="2" t="s">
        <v>1521</v>
      </c>
      <c r="B443" s="2" t="s">
        <v>1522</v>
      </c>
      <c r="D443" s="2">
        <v>109.9</v>
      </c>
      <c r="E443" s="130">
        <v>66.9</v>
      </c>
      <c r="F443" s="2" t="str">
        <f>ROUNDUP(((($E443*'Calculadora de preço'!$B$4)+($E443*#REF!))*100)/(100-'Calculadora de preço'!$B$5), -1)</f>
        <v>#REF!</v>
      </c>
      <c r="G443" s="1">
        <v>1.0</v>
      </c>
    </row>
    <row r="444">
      <c r="A444" s="2" t="s">
        <v>1523</v>
      </c>
      <c r="B444" s="2" t="s">
        <v>1524</v>
      </c>
      <c r="D444" s="2">
        <v>59.99</v>
      </c>
      <c r="E444" s="130">
        <v>28.64</v>
      </c>
      <c r="F444" s="2" t="str">
        <f>ROUNDUP(((($E444*'Calculadora de preço'!$B$4)+($E444*#REF!))*100)/(100-'Calculadora de preço'!$B$5), -1)</f>
        <v>#REF!</v>
      </c>
      <c r="G444" s="1">
        <v>1.0</v>
      </c>
    </row>
    <row r="445">
      <c r="A445" s="2" t="s">
        <v>1525</v>
      </c>
      <c r="B445" s="2" t="s">
        <v>1526</v>
      </c>
      <c r="D445" s="2">
        <v>119.9</v>
      </c>
      <c r="E445" s="130">
        <v>48.9</v>
      </c>
      <c r="F445" s="2" t="str">
        <f>ROUNDUP(((($E445*'Calculadora de preço'!$B$4)+($E445*#REF!))*100)/(100-'Calculadora de preço'!$B$5), -1)</f>
        <v>#REF!</v>
      </c>
      <c r="G445" s="1">
        <v>1.0</v>
      </c>
    </row>
    <row r="446">
      <c r="A446" s="2" t="s">
        <v>1527</v>
      </c>
      <c r="B446" s="2" t="s">
        <v>1528</v>
      </c>
      <c r="D446" s="2">
        <v>119.9</v>
      </c>
      <c r="E446" s="130">
        <v>48.9</v>
      </c>
      <c r="F446" s="2" t="str">
        <f>ROUNDUP(((($E446*'Calculadora de preço'!$B$4)+($E446*#REF!))*100)/(100-'Calculadora de preço'!$B$5), -1)</f>
        <v>#REF!</v>
      </c>
    </row>
    <row r="447">
      <c r="A447" s="2" t="s">
        <v>1529</v>
      </c>
      <c r="B447" s="2" t="s">
        <v>1530</v>
      </c>
      <c r="D447" s="2">
        <v>119.9</v>
      </c>
      <c r="E447" s="130">
        <v>48.9</v>
      </c>
      <c r="F447" s="2" t="str">
        <f>ROUNDUP(((($E447*'Calculadora de preço'!$B$4)+($E447*#REF!))*100)/(100-'Calculadora de preço'!$B$5), -1)</f>
        <v>#REF!</v>
      </c>
    </row>
    <row r="448">
      <c r="A448" s="2" t="s">
        <v>1531</v>
      </c>
      <c r="B448" s="2" t="s">
        <v>1532</v>
      </c>
      <c r="D448" s="2">
        <v>119.9</v>
      </c>
      <c r="E448" s="130">
        <v>48.9</v>
      </c>
      <c r="F448" s="2" t="str">
        <f>ROUNDUP(((($E448*'Calculadora de preço'!$B$4)+($E448*#REF!))*100)/(100-'Calculadora de preço'!$B$5), -1)</f>
        <v>#REF!</v>
      </c>
    </row>
    <row r="449">
      <c r="A449" s="2" t="s">
        <v>1533</v>
      </c>
      <c r="B449" s="2" t="s">
        <v>1534</v>
      </c>
      <c r="D449" s="2">
        <v>119.9</v>
      </c>
      <c r="E449" s="130">
        <v>48.9</v>
      </c>
      <c r="F449" s="2" t="str">
        <f>ROUNDUP(((($E449*'Calculadora de preço'!$B$4)+($E449*#REF!))*100)/(100-'Calculadora de preço'!$B$5), -1)</f>
        <v>#REF!</v>
      </c>
    </row>
    <row r="450">
      <c r="A450" s="2" t="s">
        <v>1535</v>
      </c>
      <c r="B450" s="2" t="s">
        <v>1536</v>
      </c>
      <c r="D450" s="2">
        <v>119.9</v>
      </c>
      <c r="E450" s="130">
        <v>48.9</v>
      </c>
      <c r="F450" s="2" t="str">
        <f>ROUNDUP(((($E450*'Calculadora de preço'!$B$4)+($E450*#REF!))*100)/(100-'Calculadora de preço'!$B$5), -1)</f>
        <v>#REF!</v>
      </c>
    </row>
    <row r="451">
      <c r="A451" s="2" t="s">
        <v>1537</v>
      </c>
      <c r="B451" s="2" t="s">
        <v>1538</v>
      </c>
      <c r="D451" s="2">
        <v>119.9</v>
      </c>
      <c r="E451" s="130">
        <v>48.9</v>
      </c>
      <c r="F451" s="2" t="str">
        <f>ROUNDUP(((($E451*'Calculadora de preço'!$B$4)+($E451*#REF!))*100)/(100-'Calculadora de preço'!$B$5), -1)</f>
        <v>#REF!</v>
      </c>
    </row>
    <row r="452">
      <c r="A452" s="2" t="s">
        <v>1539</v>
      </c>
      <c r="B452" s="2" t="s">
        <v>1540</v>
      </c>
      <c r="D452" s="2">
        <v>119.9</v>
      </c>
      <c r="E452" s="130">
        <v>48.9</v>
      </c>
      <c r="F452" s="2" t="str">
        <f>ROUNDUP(((($E452*'Calculadora de preço'!$B$4)+($E452*#REF!))*100)/(100-'Calculadora de preço'!$B$5), -1)</f>
        <v>#REF!</v>
      </c>
    </row>
    <row r="453">
      <c r="A453" s="2" t="s">
        <v>1541</v>
      </c>
      <c r="B453" s="2" t="s">
        <v>1542</v>
      </c>
      <c r="D453" s="2">
        <v>119.9</v>
      </c>
      <c r="E453" s="130">
        <v>48.9</v>
      </c>
      <c r="F453" s="2" t="str">
        <f>ROUNDUP(((($E453*'Calculadora de preço'!$B$4)+($E453*#REF!))*100)/(100-'Calculadora de preço'!$B$5), -1)</f>
        <v>#REF!</v>
      </c>
    </row>
    <row r="454">
      <c r="A454" s="2" t="s">
        <v>1543</v>
      </c>
      <c r="B454" s="2" t="s">
        <v>1544</v>
      </c>
      <c r="D454" s="2">
        <v>119.9</v>
      </c>
      <c r="E454" s="130">
        <v>48.9</v>
      </c>
      <c r="F454" s="2" t="str">
        <f>ROUNDUP(((($E454*'Calculadora de preço'!$B$4)+($E454*#REF!))*100)/(100-'Calculadora de preço'!$B$5), -1)</f>
        <v>#REF!</v>
      </c>
    </row>
    <row r="455">
      <c r="A455" s="2" t="s">
        <v>1545</v>
      </c>
      <c r="B455" s="2" t="s">
        <v>1546</v>
      </c>
      <c r="C455" s="2" t="s">
        <v>1547</v>
      </c>
      <c r="D455" s="2">
        <v>129.9</v>
      </c>
      <c r="E455" s="130">
        <v>66.0</v>
      </c>
      <c r="F455" s="2" t="str">
        <f>ROUNDUP(((($E455*'Calculadora de preço'!$B$4)+($E455*#REF!))*100)/(100-'Calculadora de preço'!$B$5), -1)</f>
        <v>#REF!</v>
      </c>
      <c r="G455" s="1">
        <v>1.0</v>
      </c>
    </row>
    <row r="456">
      <c r="A456" s="2" t="s">
        <v>1548</v>
      </c>
      <c r="B456" s="2" t="s">
        <v>1549</v>
      </c>
      <c r="C456" s="2" t="s">
        <v>1550</v>
      </c>
      <c r="D456" s="2">
        <v>129.9</v>
      </c>
      <c r="E456" s="130">
        <v>66.0</v>
      </c>
      <c r="F456" s="2" t="str">
        <f>ROUNDUP(((($E456*'Calculadora de preço'!$B$4)+($E456*#REF!))*100)/(100-'Calculadora de preço'!$B$5), -1)</f>
        <v>#REF!</v>
      </c>
      <c r="G456" s="1">
        <v>1.0</v>
      </c>
    </row>
    <row r="457">
      <c r="A457" s="2" t="s">
        <v>1551</v>
      </c>
      <c r="B457" s="2" t="s">
        <v>1552</v>
      </c>
      <c r="C457" s="2" t="s">
        <v>1553</v>
      </c>
      <c r="D457" s="2">
        <v>129.9</v>
      </c>
      <c r="E457" s="130">
        <v>66.0</v>
      </c>
      <c r="F457" s="2" t="str">
        <f>ROUNDUP(((($E457*'Calculadora de preço'!$B$4)+($E457*#REF!))*100)/(100-'Calculadora de preço'!$B$5), -1)</f>
        <v>#REF!</v>
      </c>
      <c r="G457" s="1">
        <v>1.0</v>
      </c>
    </row>
    <row r="458">
      <c r="A458" s="2" t="s">
        <v>1554</v>
      </c>
      <c r="B458" s="2" t="s">
        <v>1555</v>
      </c>
      <c r="C458" s="2" t="s">
        <v>1556</v>
      </c>
      <c r="D458" s="2">
        <v>139.9</v>
      </c>
      <c r="E458" s="130">
        <v>70.0</v>
      </c>
      <c r="F458" s="2" t="str">
        <f>ROUNDUP(((($E458*'Calculadora de preço'!$B$4)+($E458*#REF!))*100)/(100-'Calculadora de preço'!$B$5), -1)</f>
        <v>#REF!</v>
      </c>
      <c r="G458" s="1">
        <v>1.0</v>
      </c>
    </row>
    <row r="459">
      <c r="A459" s="2" t="s">
        <v>1557</v>
      </c>
      <c r="B459" s="2" t="s">
        <v>1558</v>
      </c>
      <c r="C459" s="2" t="s">
        <v>1559</v>
      </c>
      <c r="D459" s="2">
        <v>139.9</v>
      </c>
      <c r="E459" s="130">
        <v>70.0</v>
      </c>
      <c r="F459" s="2" t="str">
        <f>ROUNDUP(((($E459*'Calculadora de preço'!$B$4)+($E459*#REF!))*100)/(100-'Calculadora de preço'!$B$5), -1)</f>
        <v>#REF!</v>
      </c>
      <c r="G459" s="1">
        <v>1.0</v>
      </c>
    </row>
    <row r="460">
      <c r="A460" s="2" t="s">
        <v>1560</v>
      </c>
      <c r="B460" s="2" t="s">
        <v>1561</v>
      </c>
      <c r="C460" s="2" t="s">
        <v>1562</v>
      </c>
      <c r="D460" s="2">
        <v>149.9</v>
      </c>
      <c r="E460" s="130">
        <v>75.0</v>
      </c>
      <c r="F460" s="2" t="str">
        <f>ROUNDUP(((($E460*'Calculadora de preço'!$B$4)+($E460*#REF!))*100)/(100-'Calculadora de preço'!$B$5), -1)</f>
        <v>#REF!</v>
      </c>
      <c r="G460" s="1">
        <v>1.0</v>
      </c>
    </row>
    <row r="461">
      <c r="A461" s="2" t="s">
        <v>1563</v>
      </c>
      <c r="B461" s="2" t="s">
        <v>1564</v>
      </c>
      <c r="C461" s="2" t="s">
        <v>1565</v>
      </c>
      <c r="D461" s="2">
        <v>149.9</v>
      </c>
      <c r="E461" s="130">
        <v>75.0</v>
      </c>
      <c r="F461" s="2" t="str">
        <f>ROUNDUP(((($E461*'Calculadora de preço'!$B$4)+($E461*#REF!))*100)/(100-'Calculadora de preço'!$B$5), -1)</f>
        <v>#REF!</v>
      </c>
      <c r="G461" s="1">
        <v>1.0</v>
      </c>
    </row>
    <row r="462">
      <c r="A462" s="2" t="s">
        <v>1566</v>
      </c>
      <c r="B462" s="2" t="s">
        <v>1567</v>
      </c>
      <c r="D462" s="2">
        <v>159.9</v>
      </c>
      <c r="E462" s="130">
        <v>88.0</v>
      </c>
      <c r="F462" s="2" t="str">
        <f>ROUNDUP(((($E462*'Calculadora de preço'!$B$4)+($E462*#REF!))*100)/(100-'Calculadora de preço'!$B$5), -1)</f>
        <v>#REF!</v>
      </c>
      <c r="G462" s="1">
        <v>1.0</v>
      </c>
    </row>
    <row r="463">
      <c r="A463" s="2" t="s">
        <v>1568</v>
      </c>
      <c r="B463" s="2" t="s">
        <v>1569</v>
      </c>
      <c r="D463" s="2">
        <v>149.9</v>
      </c>
      <c r="E463" s="130">
        <v>82.5</v>
      </c>
      <c r="F463" s="2" t="str">
        <f>ROUNDUP(((($E463*'Calculadora de preço'!$B$4)+($E463*#REF!))*100)/(100-'Calculadora de preço'!$B$5), -1)</f>
        <v>#REF!</v>
      </c>
      <c r="G463" s="1">
        <v>1.0</v>
      </c>
    </row>
    <row r="464">
      <c r="A464" s="2" t="s">
        <v>1570</v>
      </c>
      <c r="B464" s="2" t="s">
        <v>1571</v>
      </c>
      <c r="C464" s="2" t="s">
        <v>1572</v>
      </c>
      <c r="D464" s="2">
        <v>129.9</v>
      </c>
      <c r="E464" s="130">
        <v>66.0</v>
      </c>
      <c r="F464" s="2" t="str">
        <f>ROUNDUP(((($E464*'Calculadora de preço'!$B$4)+($E464*#REF!))*100)/(100-'Calculadora de preço'!$B$5), -1)</f>
        <v>#REF!</v>
      </c>
      <c r="G464" s="1">
        <v>1.0</v>
      </c>
    </row>
    <row r="465">
      <c r="A465" s="2" t="s">
        <v>1573</v>
      </c>
      <c r="B465" s="2" t="s">
        <v>1574</v>
      </c>
      <c r="C465" s="2" t="s">
        <v>1575</v>
      </c>
      <c r="D465" s="2">
        <v>129.9</v>
      </c>
      <c r="E465" s="130">
        <v>66.0</v>
      </c>
      <c r="F465" s="2" t="str">
        <f>ROUNDUP(((($E465*'Calculadora de preço'!$B$4)+($E465*#REF!))*100)/(100-'Calculadora de preço'!$B$5), -1)</f>
        <v>#REF!</v>
      </c>
      <c r="G465" s="1">
        <v>1.0</v>
      </c>
    </row>
    <row r="466">
      <c r="A466" s="2" t="s">
        <v>1576</v>
      </c>
      <c r="B466" s="2" t="s">
        <v>1577</v>
      </c>
      <c r="C466" s="2" t="s">
        <v>1578</v>
      </c>
      <c r="D466" s="2">
        <v>129.9</v>
      </c>
      <c r="E466" s="130">
        <v>66.0</v>
      </c>
      <c r="F466" s="2" t="str">
        <f>ROUNDUP(((($E466*'Calculadora de preço'!$B$4)+($E466*#REF!))*100)/(100-'Calculadora de preço'!$B$5), -1)</f>
        <v>#REF!</v>
      </c>
      <c r="G466" s="1">
        <v>1.0</v>
      </c>
    </row>
    <row r="467">
      <c r="A467" s="2" t="s">
        <v>1579</v>
      </c>
      <c r="B467" s="2" t="s">
        <v>1580</v>
      </c>
      <c r="D467" s="2">
        <v>129.9</v>
      </c>
      <c r="E467" s="130">
        <v>72.6</v>
      </c>
      <c r="F467" s="2" t="str">
        <f>ROUNDUP(((($E467*'Calculadora de preço'!$B$4)+($E467*#REF!))*100)/(100-'Calculadora de preço'!$B$5), -1)</f>
        <v>#REF!</v>
      </c>
      <c r="G467" s="1">
        <v>1.0</v>
      </c>
    </row>
    <row r="468">
      <c r="A468" s="2" t="s">
        <v>1581</v>
      </c>
      <c r="B468" s="2" t="s">
        <v>1582</v>
      </c>
      <c r="D468" s="2">
        <v>129.9</v>
      </c>
      <c r="E468" s="130">
        <v>72.6</v>
      </c>
      <c r="F468" s="2" t="str">
        <f>ROUNDUP(((($E468*'Calculadora de preço'!$B$4)+($E468*#REF!))*100)/(100-'Calculadora de preço'!$B$5), -1)</f>
        <v>#REF!</v>
      </c>
      <c r="G468" s="1">
        <v>1.0</v>
      </c>
    </row>
    <row r="469">
      <c r="A469" s="2" t="s">
        <v>1583</v>
      </c>
      <c r="B469" s="2" t="s">
        <v>1584</v>
      </c>
      <c r="D469" s="2">
        <v>119.9</v>
      </c>
      <c r="E469" s="130">
        <v>48.9</v>
      </c>
      <c r="F469" s="2" t="str">
        <f>ROUNDUP(((($E469*'Calculadora de preço'!$B$4)+($E469*#REF!))*100)/(100-'Calculadora de preço'!$B$5), -1)</f>
        <v>#REF!</v>
      </c>
    </row>
    <row r="470">
      <c r="A470" s="2" t="s">
        <v>1585</v>
      </c>
      <c r="B470" s="2" t="s">
        <v>1586</v>
      </c>
      <c r="D470" s="2">
        <v>169.9</v>
      </c>
      <c r="E470" s="130">
        <v>66.9</v>
      </c>
      <c r="F470" s="2" t="str">
        <f>ROUNDUP(((($E470*'Calculadora de preço'!$B$4)+($E470*#REF!))*100)/(100-'Calculadora de preço'!$B$5), -1)</f>
        <v>#REF!</v>
      </c>
      <c r="G470" s="1">
        <v>1.0</v>
      </c>
    </row>
    <row r="471">
      <c r="A471" s="2" t="s">
        <v>1587</v>
      </c>
      <c r="B471" s="2" t="s">
        <v>1588</v>
      </c>
      <c r="D471" s="2">
        <v>169.9</v>
      </c>
      <c r="E471" s="130">
        <v>66.9</v>
      </c>
      <c r="F471" s="2" t="str">
        <f>ROUNDUP(((($E471*'Calculadora de preço'!$B$4)+($E471*#REF!))*100)/(100-'Calculadora de preço'!$B$5), -1)</f>
        <v>#REF!</v>
      </c>
    </row>
    <row r="472">
      <c r="A472" s="2" t="s">
        <v>1589</v>
      </c>
      <c r="B472" s="2" t="s">
        <v>1590</v>
      </c>
      <c r="D472" s="2">
        <v>169.9</v>
      </c>
      <c r="E472" s="130">
        <v>66.9</v>
      </c>
      <c r="F472" s="2" t="str">
        <f>ROUNDUP(((($E472*'Calculadora de preço'!$B$4)+($E472*#REF!))*100)/(100-'Calculadora de preço'!$B$5), -1)</f>
        <v>#REF!</v>
      </c>
    </row>
    <row r="473">
      <c r="A473" s="2" t="s">
        <v>1591</v>
      </c>
      <c r="B473" s="2" t="s">
        <v>1592</v>
      </c>
      <c r="D473" s="2">
        <v>169.9</v>
      </c>
      <c r="E473" s="130">
        <v>66.9</v>
      </c>
      <c r="F473" s="2" t="str">
        <f>ROUNDUP(((($E473*'Calculadora de preço'!$B$4)+($E473*#REF!))*100)/(100-'Calculadora de preço'!$B$5), -1)</f>
        <v>#REF!</v>
      </c>
    </row>
    <row r="474">
      <c r="A474" s="2" t="s">
        <v>1593</v>
      </c>
      <c r="B474" s="2" t="s">
        <v>1594</v>
      </c>
      <c r="D474" s="2">
        <v>169.9</v>
      </c>
      <c r="E474" s="130">
        <v>66.9</v>
      </c>
      <c r="F474" s="2" t="str">
        <f>ROUNDUP(((($E474*'Calculadora de preço'!$B$4)+($E474*#REF!))*100)/(100-'Calculadora de preço'!$B$5), -1)</f>
        <v>#REF!</v>
      </c>
    </row>
    <row r="475">
      <c r="A475" s="2" t="s">
        <v>1595</v>
      </c>
      <c r="B475" s="2" t="s">
        <v>1596</v>
      </c>
      <c r="D475" s="2">
        <v>169.9</v>
      </c>
      <c r="E475" s="130">
        <v>66.9</v>
      </c>
      <c r="F475" s="2" t="str">
        <f>ROUNDUP(((($E475*'Calculadora de preço'!$B$4)+($E475*#REF!))*100)/(100-'Calculadora de preço'!$B$5), -1)</f>
        <v>#REF!</v>
      </c>
    </row>
    <row r="476">
      <c r="A476" s="2" t="s">
        <v>1597</v>
      </c>
      <c r="B476" s="2" t="s">
        <v>1598</v>
      </c>
      <c r="D476" s="2">
        <v>169.9</v>
      </c>
      <c r="E476" s="130">
        <v>66.9</v>
      </c>
      <c r="F476" s="2" t="str">
        <f>ROUNDUP(((($E476*'Calculadora de preço'!$B$4)+($E476*#REF!))*100)/(100-'Calculadora de preço'!$B$5), -1)</f>
        <v>#REF!</v>
      </c>
    </row>
    <row r="477">
      <c r="A477" s="2" t="s">
        <v>1599</v>
      </c>
      <c r="B477" s="2" t="s">
        <v>1181</v>
      </c>
      <c r="D477" s="2">
        <v>249.9</v>
      </c>
      <c r="E477" s="130">
        <v>123.17</v>
      </c>
      <c r="F477" s="2" t="str">
        <f>ROUNDUP(((($E477*'Calculadora de preço'!$B$4)+($E477*#REF!))*100)/(100-'Calculadora de preço'!$B$5), -1)</f>
        <v>#REF!</v>
      </c>
      <c r="G477" s="1">
        <v>1.0</v>
      </c>
    </row>
    <row r="478">
      <c r="A478" s="2" t="s">
        <v>1600</v>
      </c>
      <c r="B478" s="2" t="s">
        <v>1601</v>
      </c>
      <c r="D478" s="2">
        <v>249.9</v>
      </c>
      <c r="E478" s="130">
        <v>123.17</v>
      </c>
      <c r="F478" s="2" t="str">
        <f>ROUNDUP(((($E478*'Calculadora de preço'!$B$4)+($E478*#REF!))*100)/(100-'Calculadora de preço'!$B$5), -1)</f>
        <v>#REF!</v>
      </c>
    </row>
    <row r="479">
      <c r="A479" s="2" t="s">
        <v>1602</v>
      </c>
      <c r="B479" s="2" t="s">
        <v>1603</v>
      </c>
      <c r="D479" s="2">
        <v>249.9</v>
      </c>
      <c r="E479" s="130">
        <v>123.17</v>
      </c>
      <c r="F479" s="2" t="str">
        <f>ROUNDUP(((($E479*'Calculadora de preço'!$B$4)+($E479*#REF!))*100)/(100-'Calculadora de preço'!$B$5), -1)</f>
        <v>#REF!</v>
      </c>
    </row>
    <row r="480">
      <c r="A480" s="2" t="s">
        <v>1604</v>
      </c>
      <c r="B480" s="2" t="s">
        <v>1605</v>
      </c>
      <c r="D480" s="2">
        <v>249.9</v>
      </c>
      <c r="E480" s="130">
        <v>123.17</v>
      </c>
      <c r="F480" s="2" t="str">
        <f>ROUNDUP(((($E480*'Calculadora de preço'!$B$4)+($E480*#REF!))*100)/(100-'Calculadora de preço'!$B$5), -1)</f>
        <v>#REF!</v>
      </c>
    </row>
    <row r="481">
      <c r="A481" s="2" t="s">
        <v>1606</v>
      </c>
      <c r="B481" s="2" t="s">
        <v>1607</v>
      </c>
      <c r="D481" s="2">
        <v>249.9</v>
      </c>
      <c r="E481" s="130">
        <v>123.17</v>
      </c>
      <c r="F481" s="2" t="str">
        <f>ROUNDUP(((($E481*'Calculadora de preço'!$B$4)+($E481*#REF!))*100)/(100-'Calculadora de preço'!$B$5), -1)</f>
        <v>#REF!</v>
      </c>
    </row>
    <row r="482">
      <c r="A482" s="2" t="s">
        <v>1608</v>
      </c>
      <c r="B482" s="2" t="s">
        <v>1609</v>
      </c>
      <c r="D482" s="2">
        <v>249.9</v>
      </c>
      <c r="E482" s="130">
        <v>123.17</v>
      </c>
      <c r="F482" s="2" t="str">
        <f>ROUNDUP(((($E482*'Calculadora de preço'!$B$4)+($E482*#REF!))*100)/(100-'Calculadora de preço'!$B$5), -1)</f>
        <v>#REF!</v>
      </c>
    </row>
    <row r="483">
      <c r="A483" s="2" t="s">
        <v>1610</v>
      </c>
      <c r="B483" s="2" t="s">
        <v>1611</v>
      </c>
      <c r="D483" s="2">
        <v>159.9</v>
      </c>
      <c r="E483" s="130">
        <v>96.8</v>
      </c>
      <c r="F483" s="2" t="str">
        <f>ROUNDUP(((($E483*'Calculadora de preço'!$B$4)+($E483*#REF!))*100)/(100-'Calculadora de preço'!$B$5), -1)</f>
        <v>#REF!</v>
      </c>
    </row>
    <row r="484">
      <c r="A484" s="2" t="s">
        <v>1612</v>
      </c>
      <c r="B484" s="2" t="s">
        <v>1613</v>
      </c>
      <c r="D484" s="2">
        <v>159.9</v>
      </c>
      <c r="E484" s="130">
        <v>96.8</v>
      </c>
      <c r="F484" s="2" t="str">
        <f>ROUNDUP(((($E484*'Calculadora de preço'!$B$4)+($E484*#REF!))*100)/(100-'Calculadora de preço'!$B$5), -1)</f>
        <v>#REF!</v>
      </c>
    </row>
    <row r="485">
      <c r="A485" s="2" t="s">
        <v>1614</v>
      </c>
      <c r="B485" s="2" t="s">
        <v>1615</v>
      </c>
      <c r="D485" s="2">
        <v>159.9</v>
      </c>
      <c r="E485" s="130">
        <v>96.8</v>
      </c>
      <c r="F485" s="2" t="str">
        <f>ROUNDUP(((($E485*'Calculadora de preço'!$B$4)+($E485*#REF!))*100)/(100-'Calculadora de preço'!$B$5), -1)</f>
        <v>#REF!</v>
      </c>
    </row>
    <row r="486">
      <c r="A486" s="2" t="s">
        <v>1616</v>
      </c>
      <c r="B486" s="2" t="s">
        <v>1617</v>
      </c>
      <c r="D486" s="2">
        <v>159.9</v>
      </c>
      <c r="E486" s="130">
        <v>96.8</v>
      </c>
      <c r="F486" s="2" t="str">
        <f>ROUNDUP(((($E486*'Calculadora de preço'!$B$4)+($E486*#REF!))*100)/(100-'Calculadora de preço'!$B$5), -1)</f>
        <v>#REF!</v>
      </c>
    </row>
    <row r="487">
      <c r="A487" s="2" t="s">
        <v>1618</v>
      </c>
      <c r="B487" s="2" t="s">
        <v>1303</v>
      </c>
      <c r="D487" s="2">
        <v>119.9</v>
      </c>
      <c r="E487" s="130">
        <v>57.9</v>
      </c>
      <c r="F487" s="2" t="str">
        <f>ROUNDUP(((($E487*'Calculadora de preço'!$B$4)+($E487*#REF!))*100)/(100-'Calculadora de preço'!$B$5), -1)</f>
        <v>#REF!</v>
      </c>
      <c r="G487" s="1">
        <v>1.0</v>
      </c>
    </row>
    <row r="488">
      <c r="A488" s="2" t="s">
        <v>1619</v>
      </c>
      <c r="B488" s="2" t="s">
        <v>1304</v>
      </c>
      <c r="D488" s="2">
        <v>79.9</v>
      </c>
      <c r="E488" s="130">
        <v>39.9</v>
      </c>
      <c r="F488" s="2" t="str">
        <f>ROUNDUP(((($E488*'Calculadora de preço'!$B$4)+($E488*#REF!))*100)/(100-'Calculadora de preço'!$B$5), -1)</f>
        <v>#REF!</v>
      </c>
      <c r="G488" s="1">
        <v>1.0</v>
      </c>
    </row>
    <row r="489">
      <c r="A489" s="2" t="s">
        <v>1620</v>
      </c>
      <c r="B489" s="2" t="s">
        <v>1308</v>
      </c>
      <c r="D489" s="2">
        <v>129.9</v>
      </c>
      <c r="E489" s="130">
        <v>64.9</v>
      </c>
      <c r="F489" s="2" t="str">
        <f>ROUNDUP(((($E489*'Calculadora de preço'!$B$4)+($E489*#REF!))*100)/(100-'Calculadora de preço'!$B$5), -1)</f>
        <v>#REF!</v>
      </c>
      <c r="G489" s="1">
        <v>1.0</v>
      </c>
    </row>
    <row r="490">
      <c r="A490" s="2" t="s">
        <v>1621</v>
      </c>
      <c r="B490" s="2" t="s">
        <v>1622</v>
      </c>
      <c r="D490" s="2">
        <v>159.9</v>
      </c>
      <c r="E490" s="130">
        <v>79.9</v>
      </c>
      <c r="F490" s="2" t="str">
        <f>ROUNDUP(((($E490*'Calculadora de preço'!$B$4)+($E490*#REF!))*100)/(100-'Calculadora de preço'!$B$5), -1)</f>
        <v>#REF!</v>
      </c>
    </row>
    <row r="491">
      <c r="A491" s="2" t="s">
        <v>1623</v>
      </c>
      <c r="B491" s="2" t="s">
        <v>1624</v>
      </c>
      <c r="D491" s="2">
        <v>159.9</v>
      </c>
      <c r="E491" s="130">
        <v>79.9</v>
      </c>
      <c r="F491" s="2" t="str">
        <f>ROUNDUP(((($E491*'Calculadora de preço'!$B$4)+($E491*#REF!))*100)/(100-'Calculadora de preço'!$B$5), -1)</f>
        <v>#REF!</v>
      </c>
    </row>
    <row r="492">
      <c r="A492" s="2" t="s">
        <v>1625</v>
      </c>
      <c r="B492" s="2" t="s">
        <v>1626</v>
      </c>
      <c r="D492" s="2">
        <v>65.9</v>
      </c>
      <c r="E492" s="130">
        <v>33.0</v>
      </c>
      <c r="F492" s="2" t="str">
        <f>ROUNDUP(((($E492*'Calculadora de preço'!$B$4)+($E492*#REF!))*100)/(100-'Calculadora de preço'!$B$5), -1)</f>
        <v>#REF!</v>
      </c>
      <c r="G492" s="1">
        <v>1.0</v>
      </c>
    </row>
    <row r="493">
      <c r="A493" s="2" t="s">
        <v>1627</v>
      </c>
      <c r="B493" s="2" t="s">
        <v>1628</v>
      </c>
      <c r="D493" s="2">
        <v>65.9</v>
      </c>
      <c r="E493" s="130">
        <v>33.0</v>
      </c>
      <c r="F493" s="2" t="str">
        <f>ROUNDUP(((($E493*'Calculadora de preço'!$B$4)+($E493*#REF!))*100)/(100-'Calculadora de preço'!$B$5), -1)</f>
        <v>#REF!</v>
      </c>
      <c r="G493" s="1">
        <v>1.0</v>
      </c>
    </row>
    <row r="494">
      <c r="A494" s="2" t="s">
        <v>1629</v>
      </c>
      <c r="B494" s="2" t="s">
        <v>1630</v>
      </c>
      <c r="D494" s="2">
        <v>69.9</v>
      </c>
      <c r="E494" s="130">
        <v>38.5</v>
      </c>
      <c r="F494" s="2" t="str">
        <f>ROUNDUP(((($E494*'Calculadora de preço'!$B$4)+($E494*#REF!))*100)/(100-'Calculadora de preço'!$B$5), -1)</f>
        <v>#REF!</v>
      </c>
      <c r="G494" s="1">
        <v>1.0</v>
      </c>
    </row>
    <row r="495">
      <c r="A495" s="2" t="s">
        <v>1631</v>
      </c>
      <c r="B495" s="2" t="s">
        <v>1632</v>
      </c>
      <c r="D495" s="2">
        <v>159.9</v>
      </c>
      <c r="E495" s="130">
        <v>98.96</v>
      </c>
      <c r="F495" s="2" t="str">
        <f>ROUNDUP(((($E495*'Calculadora de preço'!$B$4)+($E495*#REF!))*100)/(100-'Calculadora de preço'!$B$5), -1)</f>
        <v>#REF!</v>
      </c>
      <c r="G495" s="1">
        <v>1.0</v>
      </c>
    </row>
    <row r="496">
      <c r="A496" s="2" t="s">
        <v>1633</v>
      </c>
      <c r="B496" s="2" t="s">
        <v>1634</v>
      </c>
      <c r="D496" s="2">
        <v>159.9</v>
      </c>
      <c r="E496" s="130">
        <v>98.96</v>
      </c>
      <c r="F496" s="2" t="str">
        <f>ROUNDUP(((($E496*'Calculadora de preço'!$B$4)+($E496*#REF!))*100)/(100-'Calculadora de preço'!$B$5), -1)</f>
        <v>#REF!</v>
      </c>
    </row>
    <row r="497">
      <c r="A497" s="2" t="s">
        <v>1635</v>
      </c>
      <c r="B497" s="2" t="s">
        <v>1636</v>
      </c>
      <c r="D497" s="2">
        <v>159.9</v>
      </c>
      <c r="E497" s="130">
        <v>98.96</v>
      </c>
      <c r="F497" s="2" t="str">
        <f>ROUNDUP(((($E497*'Calculadora de preço'!$B$4)+($E497*#REF!))*100)/(100-'Calculadora de preço'!$B$5), -1)</f>
        <v>#REF!</v>
      </c>
    </row>
    <row r="498">
      <c r="A498" s="2" t="s">
        <v>1637</v>
      </c>
      <c r="B498" s="2" t="s">
        <v>1638</v>
      </c>
      <c r="D498" s="2">
        <v>159.9</v>
      </c>
      <c r="E498" s="130">
        <v>98.96</v>
      </c>
      <c r="F498" s="2" t="str">
        <f>ROUNDUP(((($E498*'Calculadora de preço'!$B$4)+($E498*#REF!))*100)/(100-'Calculadora de preço'!$B$5), -1)</f>
        <v>#REF!</v>
      </c>
    </row>
    <row r="499">
      <c r="A499" s="2" t="s">
        <v>1639</v>
      </c>
      <c r="B499" s="2" t="s">
        <v>1640</v>
      </c>
      <c r="D499" s="2">
        <v>159.9</v>
      </c>
      <c r="E499" s="130">
        <v>98.96</v>
      </c>
      <c r="F499" s="2" t="str">
        <f>ROUNDUP(((($E499*'Calculadora de preço'!$B$4)+($E499*#REF!))*100)/(100-'Calculadora de preço'!$B$5), -1)</f>
        <v>#REF!</v>
      </c>
    </row>
    <row r="500">
      <c r="A500" s="2" t="s">
        <v>1641</v>
      </c>
      <c r="B500" s="2" t="s">
        <v>1642</v>
      </c>
      <c r="D500" s="2">
        <v>159.9</v>
      </c>
      <c r="E500" s="130">
        <v>98.96</v>
      </c>
      <c r="F500" s="2" t="str">
        <f>ROUNDUP(((($E500*'Calculadora de preço'!$B$4)+($E500*#REF!))*100)/(100-'Calculadora de preço'!$B$5), -1)</f>
        <v>#REF!</v>
      </c>
    </row>
    <row r="501">
      <c r="A501" s="2" t="s">
        <v>1643</v>
      </c>
      <c r="B501" s="2" t="s">
        <v>1332</v>
      </c>
      <c r="D501" s="2">
        <v>99.9</v>
      </c>
      <c r="E501" s="130">
        <v>42.0</v>
      </c>
      <c r="F501" s="2" t="str">
        <f>ROUNDUP(((($E501*'Calculadora de preço'!$B$4)+($E501*#REF!))*100)/(100-'Calculadora de preço'!$B$5), -1)</f>
        <v>#REF!</v>
      </c>
      <c r="G501" s="1">
        <v>1.0</v>
      </c>
    </row>
    <row r="502">
      <c r="A502" s="2" t="s">
        <v>1644</v>
      </c>
      <c r="B502" s="2" t="s">
        <v>1645</v>
      </c>
      <c r="D502" s="2">
        <v>99.9</v>
      </c>
      <c r="E502" s="130">
        <v>42.0</v>
      </c>
      <c r="F502" s="2" t="str">
        <f>ROUNDUP(((($E502*'Calculadora de preço'!$B$4)+($E502*#REF!))*100)/(100-'Calculadora de preço'!$B$5), -1)</f>
        <v>#REF!</v>
      </c>
    </row>
    <row r="503">
      <c r="A503" s="2" t="s">
        <v>1646</v>
      </c>
      <c r="B503" s="2" t="s">
        <v>1647</v>
      </c>
      <c r="D503" s="2">
        <v>99.9</v>
      </c>
      <c r="E503" s="130">
        <v>42.0</v>
      </c>
      <c r="F503" s="2" t="str">
        <f>ROUNDUP(((($E503*'Calculadora de preço'!$B$4)+($E503*#REF!))*100)/(100-'Calculadora de preço'!$B$5), -1)</f>
        <v>#REF!</v>
      </c>
    </row>
    <row r="504">
      <c r="A504" s="2" t="s">
        <v>1648</v>
      </c>
      <c r="B504" s="2" t="s">
        <v>1649</v>
      </c>
      <c r="D504" s="2">
        <v>99.9</v>
      </c>
      <c r="E504" s="130">
        <v>42.0</v>
      </c>
      <c r="F504" s="2" t="str">
        <f>ROUNDUP(((($E504*'Calculadora de preço'!$B$4)+($E504*#REF!))*100)/(100-'Calculadora de preço'!$B$5), -1)</f>
        <v>#REF!</v>
      </c>
    </row>
    <row r="505">
      <c r="A505" s="2" t="s">
        <v>1650</v>
      </c>
      <c r="B505" s="2" t="s">
        <v>1651</v>
      </c>
      <c r="D505" s="2">
        <v>59.99</v>
      </c>
      <c r="E505" s="130">
        <v>30.0</v>
      </c>
      <c r="F505" s="2" t="str">
        <f>ROUNDUP(((($E505*'Calculadora de preço'!$B$4)+($E505*#REF!))*100)/(100-'Calculadora de preço'!$B$5), -1)</f>
        <v>#REF!</v>
      </c>
    </row>
    <row r="506">
      <c r="A506" s="2" t="s">
        <v>1652</v>
      </c>
      <c r="B506" s="2" t="s">
        <v>1653</v>
      </c>
      <c r="C506" s="2" t="s">
        <v>1654</v>
      </c>
      <c r="D506" s="2">
        <v>15.0</v>
      </c>
      <c r="E506" s="130">
        <v>4.55</v>
      </c>
      <c r="F506" s="2" t="str">
        <f>ROUNDUP(((($E506*'Calculadora de preço'!$B$4)+($E506*#REF!))*100)/(100-'Calculadora de preço'!$B$5), -1)</f>
        <v>#REF!</v>
      </c>
    </row>
    <row r="507">
      <c r="A507" s="2" t="s">
        <v>1655</v>
      </c>
      <c r="B507" s="2" t="s">
        <v>1656</v>
      </c>
      <c r="D507" s="2">
        <v>15.9</v>
      </c>
      <c r="E507" s="130">
        <v>5.9</v>
      </c>
      <c r="F507" s="2" t="str">
        <f>ROUNDUP(((($E507*'Calculadora de preço'!$B$4)+($E507*#REF!))*100)/(100-'Calculadora de preço'!$B$5), -1)</f>
        <v>#REF!</v>
      </c>
    </row>
    <row r="508">
      <c r="A508" s="2" t="s">
        <v>1657</v>
      </c>
      <c r="B508" s="2" t="s">
        <v>1658</v>
      </c>
      <c r="D508" s="2">
        <v>25.9</v>
      </c>
      <c r="E508" s="130">
        <v>11.85</v>
      </c>
      <c r="F508" s="2" t="str">
        <f>ROUNDUP(((($E508*'Calculadora de preço'!$B$4)+($E508*#REF!))*100)/(100-'Calculadora de preço'!$B$5), -1)</f>
        <v>#REF!</v>
      </c>
    </row>
    <row r="509">
      <c r="A509" s="2" t="s">
        <v>1659</v>
      </c>
      <c r="B509" s="2" t="s">
        <v>1660</v>
      </c>
      <c r="D509" s="2">
        <v>29.9</v>
      </c>
      <c r="E509" s="130">
        <v>15.08</v>
      </c>
      <c r="F509" s="2" t="str">
        <f>ROUNDUP(((($E509*'Calculadora de preço'!$B$4)+($E509*#REF!))*100)/(100-'Calculadora de preço'!$B$5), -1)</f>
        <v>#REF!</v>
      </c>
    </row>
    <row r="510">
      <c r="A510" s="2" t="s">
        <v>1661</v>
      </c>
      <c r="B510" s="2" t="s">
        <v>1662</v>
      </c>
      <c r="D510" s="2">
        <v>189.9</v>
      </c>
      <c r="E510" s="130">
        <v>103.4</v>
      </c>
      <c r="F510" s="2" t="str">
        <f>ROUNDUP(((($E510*'Calculadora de preço'!$B$4)+($E510*#REF!))*100)/(100-'Calculadora de preço'!$B$5), -1)</f>
        <v>#REF!</v>
      </c>
      <c r="G510" s="1">
        <v>1.0</v>
      </c>
    </row>
    <row r="511">
      <c r="A511" s="2" t="s">
        <v>1663</v>
      </c>
      <c r="B511" s="2" t="s">
        <v>1664</v>
      </c>
      <c r="D511" s="2">
        <v>189.9</v>
      </c>
      <c r="E511" s="130">
        <v>103.4</v>
      </c>
      <c r="F511" s="2" t="str">
        <f>ROUNDUP(((($E511*'Calculadora de preço'!$B$4)+($E511*#REF!))*100)/(100-'Calculadora de preço'!$B$5), -1)</f>
        <v>#REF!</v>
      </c>
    </row>
    <row r="512">
      <c r="A512" s="2" t="s">
        <v>1665</v>
      </c>
      <c r="B512" s="2" t="s">
        <v>1666</v>
      </c>
      <c r="D512" s="2">
        <v>99.9</v>
      </c>
      <c r="E512" s="130">
        <v>49.9</v>
      </c>
      <c r="F512" s="2" t="str">
        <f>ROUNDUP(((($E512*'Calculadora de preço'!$B$4)+($E512*#REF!))*100)/(100-'Calculadora de preço'!$B$5), -1)</f>
        <v>#REF!</v>
      </c>
    </row>
    <row r="513">
      <c r="A513" s="2" t="s">
        <v>1667</v>
      </c>
      <c r="B513" s="2" t="s">
        <v>1668</v>
      </c>
      <c r="D513" s="2">
        <v>49.9</v>
      </c>
      <c r="E513" s="130">
        <v>20.0</v>
      </c>
      <c r="F513" s="2" t="str">
        <f>ROUNDUP(((($E513*'Calculadora de preço'!$B$4)+($E513*#REF!))*100)/(100-'Calculadora de preço'!$B$5), -1)</f>
        <v>#REF!</v>
      </c>
    </row>
    <row r="514">
      <c r="A514" s="2" t="s">
        <v>1670</v>
      </c>
      <c r="B514" s="2" t="s">
        <v>1671</v>
      </c>
      <c r="D514" s="2">
        <v>109.9</v>
      </c>
      <c r="E514" s="130">
        <v>53.73</v>
      </c>
      <c r="F514" s="2" t="str">
        <f>ROUNDUP(((($E514*'Calculadora de preço'!$B$4)+($E514*#REF!))*100)/(100-'Calculadora de preço'!$B$5), -1)</f>
        <v>#REF!</v>
      </c>
      <c r="G514" s="1">
        <v>1.0</v>
      </c>
    </row>
    <row r="515">
      <c r="A515" s="2" t="s">
        <v>1672</v>
      </c>
      <c r="B515" s="2" t="s">
        <v>1673</v>
      </c>
      <c r="C515" s="2" t="s">
        <v>1674</v>
      </c>
      <c r="D515" s="2">
        <v>109.9</v>
      </c>
      <c r="E515" s="130">
        <v>53.0</v>
      </c>
      <c r="F515" s="2" t="str">
        <f>ROUNDUP(((($E515*'Calculadora de preço'!$B$4)+($E515*#REF!))*100)/(100-'Calculadora de preço'!$B$5), -1)</f>
        <v>#REF!</v>
      </c>
    </row>
    <row r="516">
      <c r="A516" s="2" t="s">
        <v>1675</v>
      </c>
      <c r="B516" s="2" t="s">
        <v>1676</v>
      </c>
      <c r="C516" s="2" t="s">
        <v>1677</v>
      </c>
      <c r="D516" s="2">
        <v>109.9</v>
      </c>
      <c r="E516" s="130">
        <v>53.0</v>
      </c>
      <c r="F516" s="2" t="str">
        <f>ROUNDUP(((($E516*'Calculadora de preço'!$B$4)+($E516*#REF!))*100)/(100-'Calculadora de preço'!$B$5), -1)</f>
        <v>#REF!</v>
      </c>
    </row>
    <row r="517">
      <c r="A517" s="2" t="s">
        <v>1678</v>
      </c>
      <c r="B517" s="2" t="s">
        <v>1679</v>
      </c>
      <c r="C517" s="2" t="s">
        <v>1680</v>
      </c>
      <c r="D517" s="2">
        <v>109.9</v>
      </c>
      <c r="E517" s="130">
        <v>53.0</v>
      </c>
      <c r="F517" s="2" t="str">
        <f>ROUNDUP(((($E517*'Calculadora de preço'!$B$4)+($E517*#REF!))*100)/(100-'Calculadora de preço'!$B$5), -1)</f>
        <v>#REF!</v>
      </c>
    </row>
    <row r="518">
      <c r="A518" s="2" t="s">
        <v>1681</v>
      </c>
      <c r="B518" s="2" t="s">
        <v>1682</v>
      </c>
      <c r="C518" s="2" t="s">
        <v>1683</v>
      </c>
      <c r="D518" s="2">
        <v>109.9</v>
      </c>
      <c r="E518" s="130">
        <v>53.0</v>
      </c>
      <c r="F518" s="2" t="str">
        <f>ROUNDUP(((($E518*'Calculadora de preço'!$B$4)+($E518*#REF!))*100)/(100-'Calculadora de preço'!$B$5), -1)</f>
        <v>#REF!</v>
      </c>
    </row>
    <row r="519">
      <c r="A519" s="2" t="s">
        <v>1684</v>
      </c>
      <c r="B519" s="2" t="s">
        <v>1685</v>
      </c>
      <c r="C519" s="2" t="s">
        <v>1686</v>
      </c>
      <c r="D519" s="2">
        <v>109.9</v>
      </c>
      <c r="E519" s="130">
        <v>53.0</v>
      </c>
      <c r="F519" s="2" t="str">
        <f>ROUNDUP(((($E519*'Calculadora de preço'!$B$4)+($E519*#REF!))*100)/(100-'Calculadora de preço'!$B$5), -1)</f>
        <v>#REF!</v>
      </c>
    </row>
    <row r="520">
      <c r="A520" s="2" t="s">
        <v>1687</v>
      </c>
      <c r="B520" s="2" t="s">
        <v>1688</v>
      </c>
      <c r="C520" s="2" t="s">
        <v>1689</v>
      </c>
      <c r="D520" s="2">
        <v>109.9</v>
      </c>
      <c r="E520" s="130">
        <v>53.0</v>
      </c>
      <c r="F520" s="2" t="str">
        <f>ROUNDUP(((($E520*'Calculadora de preço'!$B$4)+($E520*#REF!))*100)/(100-'Calculadora de preço'!$B$5), -1)</f>
        <v>#REF!</v>
      </c>
    </row>
    <row r="521">
      <c r="A521" s="2" t="s">
        <v>1690</v>
      </c>
      <c r="B521" s="2" t="s">
        <v>1691</v>
      </c>
      <c r="C521" s="2" t="s">
        <v>1692</v>
      </c>
      <c r="D521" s="2">
        <v>109.9</v>
      </c>
      <c r="E521" s="130">
        <v>53.0</v>
      </c>
      <c r="F521" s="2" t="str">
        <f>ROUNDUP(((($E521*'Calculadora de preço'!$B$4)+($E521*#REF!))*100)/(100-'Calculadora de preço'!$B$5), -1)</f>
        <v>#REF!</v>
      </c>
    </row>
    <row r="522">
      <c r="A522" s="2" t="s">
        <v>1693</v>
      </c>
      <c r="B522" s="2" t="s">
        <v>1694</v>
      </c>
      <c r="C522" s="2" t="s">
        <v>1695</v>
      </c>
      <c r="D522" s="2">
        <v>109.9</v>
      </c>
      <c r="E522" s="130">
        <v>53.0</v>
      </c>
      <c r="F522" s="2" t="str">
        <f>ROUNDUP(((($E522*'Calculadora de preço'!$B$4)+($E522*#REF!))*100)/(100-'Calculadora de preço'!$B$5), -1)</f>
        <v>#REF!</v>
      </c>
    </row>
    <row r="523">
      <c r="A523" s="2" t="s">
        <v>1696</v>
      </c>
      <c r="B523" s="2" t="s">
        <v>1697</v>
      </c>
      <c r="C523" s="2" t="s">
        <v>1698</v>
      </c>
      <c r="D523" s="2">
        <v>109.9</v>
      </c>
      <c r="E523" s="130">
        <v>47.6</v>
      </c>
      <c r="F523" s="2" t="str">
        <f>ROUNDUP(((($E523*'Calculadora de preço'!$B$4)+($E523*#REF!))*100)/(100-'Calculadora de preço'!$B$5), -1)</f>
        <v>#REF!</v>
      </c>
    </row>
    <row r="524">
      <c r="A524" s="2" t="s">
        <v>1699</v>
      </c>
      <c r="B524" s="2" t="s">
        <v>1700</v>
      </c>
      <c r="C524" s="2" t="s">
        <v>1701</v>
      </c>
      <c r="D524" s="2">
        <v>109.9</v>
      </c>
      <c r="E524" s="130">
        <v>47.6</v>
      </c>
      <c r="F524" s="2" t="str">
        <f>ROUNDUP(((($E524*'Calculadora de preço'!$B$4)+($E524*#REF!))*100)/(100-'Calculadora de preço'!$B$5), -1)</f>
        <v>#REF!</v>
      </c>
    </row>
    <row r="525">
      <c r="A525" s="2" t="s">
        <v>1702</v>
      </c>
      <c r="B525" s="2" t="s">
        <v>1703</v>
      </c>
      <c r="C525" s="2" t="s">
        <v>1704</v>
      </c>
      <c r="D525" s="2">
        <v>109.9</v>
      </c>
      <c r="E525" s="130">
        <v>47.6</v>
      </c>
      <c r="F525" s="2" t="str">
        <f>ROUNDUP(((($E525*'Calculadora de preço'!$B$4)+($E525*#REF!))*100)/(100-'Calculadora de preço'!$B$5), -1)</f>
        <v>#REF!</v>
      </c>
    </row>
    <row r="526">
      <c r="A526" s="2" t="s">
        <v>1705</v>
      </c>
      <c r="B526" s="2" t="s">
        <v>1706</v>
      </c>
      <c r="D526" s="2">
        <v>350.0</v>
      </c>
      <c r="E526" s="130">
        <v>171.9</v>
      </c>
      <c r="F526" s="2" t="str">
        <f>ROUNDUP(((($E526*'Calculadora de preço'!$B$4)+($E526*#REF!))*100)/(100-'Calculadora de preço'!$B$5), -1)</f>
        <v>#REF!</v>
      </c>
    </row>
    <row r="527">
      <c r="A527" s="2" t="s">
        <v>1707</v>
      </c>
      <c r="B527" s="2" t="s">
        <v>1708</v>
      </c>
      <c r="C527" s="2" t="s">
        <v>1709</v>
      </c>
      <c r="D527" s="2">
        <v>99.9</v>
      </c>
      <c r="E527" s="130">
        <v>46.8</v>
      </c>
      <c r="F527" s="2" t="str">
        <f>ROUNDUP(((($E527*'Calculadora de preço'!$B$4)+($E527*#REF!))*100)/(100-'Calculadora de preço'!$B$5), -1)</f>
        <v>#REF!</v>
      </c>
    </row>
    <row r="528">
      <c r="A528" s="2" t="s">
        <v>1710</v>
      </c>
      <c r="B528" s="2" t="s">
        <v>1711</v>
      </c>
      <c r="C528" s="2" t="s">
        <v>1712</v>
      </c>
      <c r="D528" s="2">
        <v>99.9</v>
      </c>
      <c r="E528" s="130">
        <v>49.9</v>
      </c>
      <c r="F528" s="2" t="str">
        <f>ROUNDUP(((($E528*'Calculadora de preço'!$B$4)+($E528*#REF!))*100)/(100-'Calculadora de preço'!$B$5), -1)</f>
        <v>#REF!</v>
      </c>
    </row>
    <row r="529">
      <c r="A529" s="2" t="s">
        <v>1713</v>
      </c>
      <c r="B529" s="2" t="s">
        <v>1714</v>
      </c>
      <c r="D529" s="2">
        <v>49.9</v>
      </c>
      <c r="E529" s="130">
        <v>18.9</v>
      </c>
      <c r="F529" s="2" t="str">
        <f>ROUNDUP(((($E529*'Calculadora de preço'!$B$4)+($E529*#REF!))*100)/(100-'Calculadora de preço'!$B$5), -1)</f>
        <v>#REF!</v>
      </c>
    </row>
    <row r="530">
      <c r="A530" s="2" t="s">
        <v>1715</v>
      </c>
      <c r="B530" s="2" t="s">
        <v>1716</v>
      </c>
      <c r="D530" s="2">
        <v>300.0</v>
      </c>
      <c r="E530" s="130">
        <v>149.9</v>
      </c>
      <c r="F530" s="2" t="str">
        <f>ROUNDUP(((($E530*'Calculadora de preço'!$B$4)+($E530*#REF!))*100)/(100-'Calculadora de preço'!$B$5), -1)</f>
        <v>#REF!</v>
      </c>
    </row>
    <row r="531">
      <c r="A531" s="2" t="s">
        <v>1717</v>
      </c>
      <c r="B531" s="2" t="s">
        <v>1718</v>
      </c>
      <c r="D531" s="2">
        <v>55.9</v>
      </c>
      <c r="E531" s="130">
        <v>22.0</v>
      </c>
      <c r="F531" s="2" t="str">
        <f>ROUNDUP(((($E531*'Calculadora de preço'!$B$4)+($E531*#REF!))*100)/(100-'Calculadora de preço'!$B$5), -1)</f>
        <v>#REF!</v>
      </c>
    </row>
    <row r="532">
      <c r="A532" s="2" t="s">
        <v>1719</v>
      </c>
      <c r="B532" s="2" t="s">
        <v>1720</v>
      </c>
      <c r="D532" s="2">
        <v>139.9</v>
      </c>
      <c r="E532" s="130">
        <v>65.9</v>
      </c>
      <c r="F532" s="2" t="str">
        <f>ROUNDUP(((($E532*'Calculadora de preço'!$B$4)+($E532*#REF!))*100)/(100-'Calculadora de preço'!$B$5), -1)</f>
        <v>#REF!</v>
      </c>
    </row>
    <row r="533">
      <c r="A533" s="2" t="s">
        <v>1721</v>
      </c>
      <c r="B533" s="2" t="s">
        <v>1722</v>
      </c>
      <c r="D533" s="2">
        <v>189.9</v>
      </c>
      <c r="E533" s="130">
        <v>103.4</v>
      </c>
      <c r="F533" s="2" t="str">
        <f>ROUNDUP(((($E533*'Calculadora de preço'!$B$4)+($E533*#REF!))*100)/(100-'Calculadora de preço'!$B$5), -1)</f>
        <v>#REF!</v>
      </c>
    </row>
    <row r="534">
      <c r="A534" s="2" t="s">
        <v>1723</v>
      </c>
      <c r="B534" s="2" t="s">
        <v>1724</v>
      </c>
      <c r="D534" s="2">
        <v>189.9</v>
      </c>
      <c r="E534" s="130">
        <v>103.4</v>
      </c>
      <c r="F534" s="2" t="str">
        <f>ROUNDUP(((($E534*'Calculadora de preço'!$B$4)+($E534*#REF!))*100)/(100-'Calculadora de preço'!$B$5), -1)</f>
        <v>#REF!</v>
      </c>
    </row>
    <row r="535">
      <c r="A535" s="2" t="s">
        <v>1725</v>
      </c>
      <c r="B535" s="2" t="s">
        <v>1726</v>
      </c>
      <c r="D535" s="2">
        <v>189.9</v>
      </c>
      <c r="E535" s="130">
        <v>103.4</v>
      </c>
      <c r="F535" s="2" t="str">
        <f>ROUNDUP(((($E535*'Calculadora de preço'!$B$4)+($E535*#REF!))*100)/(100-'Calculadora de preço'!$B$5), -1)</f>
        <v>#REF!</v>
      </c>
    </row>
    <row r="536">
      <c r="A536" s="2" t="s">
        <v>1727</v>
      </c>
      <c r="B536" s="2" t="s">
        <v>1728</v>
      </c>
      <c r="D536" s="2">
        <v>189.9</v>
      </c>
      <c r="E536" s="130">
        <v>103.4</v>
      </c>
      <c r="F536" s="2" t="str">
        <f>ROUNDUP(((($E536*'Calculadora de preço'!$B$4)+($E536*#REF!))*100)/(100-'Calculadora de preço'!$B$5), -1)</f>
        <v>#REF!</v>
      </c>
    </row>
    <row r="537">
      <c r="A537" s="2" t="s">
        <v>1729</v>
      </c>
      <c r="B537" s="2" t="s">
        <v>1730</v>
      </c>
      <c r="D537" s="2">
        <v>189.9</v>
      </c>
      <c r="E537" s="130">
        <v>103.4</v>
      </c>
      <c r="F537" s="2" t="str">
        <f>ROUNDUP(((($E537*'Calculadora de preço'!$B$4)+($E537*#REF!))*100)/(100-'Calculadora de preço'!$B$5), -1)</f>
        <v>#REF!</v>
      </c>
    </row>
    <row r="538">
      <c r="A538" s="2" t="s">
        <v>1731</v>
      </c>
      <c r="B538" s="2" t="s">
        <v>1732</v>
      </c>
      <c r="D538" s="2">
        <v>179.9</v>
      </c>
      <c r="E538" s="130">
        <v>104.5</v>
      </c>
      <c r="F538" s="2" t="str">
        <f>ROUNDUP(((($E538*'Calculadora de preço'!$B$4)+($E538*#REF!))*100)/(100-'Calculadora de preço'!$B$5), -1)</f>
        <v>#REF!</v>
      </c>
    </row>
    <row r="539">
      <c r="A539" s="2" t="s">
        <v>1733</v>
      </c>
      <c r="B539" s="2" t="s">
        <v>1734</v>
      </c>
      <c r="D539" s="2">
        <v>179.9</v>
      </c>
      <c r="E539" s="130">
        <v>103.4</v>
      </c>
      <c r="F539" s="2" t="str">
        <f>ROUNDUP(((($E539*'Calculadora de preço'!$B$4)+($E539*#REF!))*100)/(100-'Calculadora de preço'!$B$5), -1)</f>
        <v>#REF!</v>
      </c>
    </row>
    <row r="540">
      <c r="A540" s="2" t="s">
        <v>1735</v>
      </c>
      <c r="B540" s="2" t="s">
        <v>1736</v>
      </c>
      <c r="D540" s="2">
        <v>119.9</v>
      </c>
      <c r="E540" s="130">
        <v>66.0</v>
      </c>
      <c r="F540" s="2" t="str">
        <f>ROUNDUP(((($E540*'Calculadora de preço'!$B$4)+($E540*#REF!))*100)/(100-'Calculadora de preço'!$B$5), -1)</f>
        <v>#REF!</v>
      </c>
    </row>
    <row r="541">
      <c r="A541" s="2" t="s">
        <v>1737</v>
      </c>
      <c r="B541" s="2" t="s">
        <v>1738</v>
      </c>
      <c r="D541" s="2">
        <v>15.0</v>
      </c>
      <c r="E541" s="130">
        <v>0.0</v>
      </c>
      <c r="F541" s="2" t="str">
        <f>ROUNDUP(((($E541*'Calculadora de preço'!$B$4)+($E541*#REF!))*100)/(100-'Calculadora de preço'!$B$5), -1)</f>
        <v>#REF!</v>
      </c>
    </row>
    <row r="542">
      <c r="A542" s="2" t="s">
        <v>1739</v>
      </c>
      <c r="B542" s="2" t="s">
        <v>1213</v>
      </c>
      <c r="C542" s="2" t="s">
        <v>1740</v>
      </c>
      <c r="D542" s="2">
        <v>69.9</v>
      </c>
      <c r="E542" s="130">
        <v>34.74</v>
      </c>
      <c r="F542" s="2" t="str">
        <f>ROUNDUP(((($E542*'Calculadora de preço'!$B$4)+($E542*#REF!))*100)/(100-'Calculadora de preço'!$B$5), -1)</f>
        <v>#REF!</v>
      </c>
      <c r="G542" s="1">
        <v>1.0</v>
      </c>
    </row>
    <row r="543">
      <c r="A543" s="2" t="s">
        <v>1741</v>
      </c>
      <c r="B543" s="2" t="s">
        <v>1742</v>
      </c>
      <c r="D543" s="2">
        <v>29.9</v>
      </c>
      <c r="E543" s="130">
        <v>11.9</v>
      </c>
      <c r="F543" s="2" t="str">
        <f>ROUNDUP(((($E543*'Calculadora de preço'!$B$4)+($E543*#REF!))*100)/(100-'Calculadora de preço'!$B$5), -1)</f>
        <v>#REF!</v>
      </c>
    </row>
    <row r="544">
      <c r="A544" s="2" t="s">
        <v>1743</v>
      </c>
      <c r="B544" s="2" t="s">
        <v>1744</v>
      </c>
      <c r="D544" s="2">
        <v>29.9</v>
      </c>
      <c r="E544" s="130">
        <v>11.9</v>
      </c>
      <c r="F544" s="2" t="str">
        <f>ROUNDUP(((($E544*'Calculadora de preço'!$B$4)+($E544*#REF!))*100)/(100-'Calculadora de preço'!$B$5), -1)</f>
        <v>#REF!</v>
      </c>
    </row>
    <row r="545">
      <c r="A545" s="2" t="s">
        <v>1745</v>
      </c>
      <c r="B545" s="2" t="s">
        <v>1746</v>
      </c>
      <c r="D545" s="2">
        <v>29.9</v>
      </c>
      <c r="E545" s="130">
        <v>11.9</v>
      </c>
      <c r="F545" s="2" t="str">
        <f>ROUNDUP(((($E545*'Calculadora de preço'!$B$4)+($E545*#REF!))*100)/(100-'Calculadora de preço'!$B$5), -1)</f>
        <v>#REF!</v>
      </c>
    </row>
    <row r="546">
      <c r="A546" s="2" t="s">
        <v>1747</v>
      </c>
      <c r="B546" s="2" t="s">
        <v>1748</v>
      </c>
      <c r="D546" s="2">
        <v>29.9</v>
      </c>
      <c r="E546" s="130">
        <v>11.9</v>
      </c>
      <c r="F546" s="2" t="str">
        <f>ROUNDUP(((($E546*'Calculadora de preço'!$B$4)+($E546*#REF!))*100)/(100-'Calculadora de preço'!$B$5), -1)</f>
        <v>#REF!</v>
      </c>
    </row>
    <row r="547">
      <c r="A547" s="2" t="s">
        <v>1749</v>
      </c>
      <c r="B547" s="2" t="s">
        <v>1750</v>
      </c>
      <c r="D547" s="2">
        <v>29.9</v>
      </c>
      <c r="E547" s="130">
        <v>11.9</v>
      </c>
      <c r="F547" s="2" t="str">
        <f>ROUNDUP(((($E547*'Calculadora de preço'!$B$4)+($E547*#REF!))*100)/(100-'Calculadora de preço'!$B$5), -1)</f>
        <v>#REF!</v>
      </c>
    </row>
    <row r="548">
      <c r="A548" s="2" t="s">
        <v>1751</v>
      </c>
      <c r="B548" s="2" t="s">
        <v>1752</v>
      </c>
      <c r="D548" s="2">
        <v>29.9</v>
      </c>
      <c r="E548" s="130">
        <v>11.9</v>
      </c>
      <c r="F548" s="2" t="str">
        <f>ROUNDUP(((($E548*'Calculadora de preço'!$B$4)+($E548*#REF!))*100)/(100-'Calculadora de preço'!$B$5), -1)</f>
        <v>#REF!</v>
      </c>
    </row>
    <row r="549">
      <c r="A549" s="2" t="s">
        <v>1753</v>
      </c>
      <c r="B549" s="2" t="s">
        <v>1754</v>
      </c>
      <c r="D549" s="2">
        <v>29.9</v>
      </c>
      <c r="E549" s="130">
        <v>11.9</v>
      </c>
      <c r="F549" s="2" t="str">
        <f>ROUNDUP(((($E549*'Calculadora de preço'!$B$4)+($E549*#REF!))*100)/(100-'Calculadora de preço'!$B$5), -1)</f>
        <v>#REF!</v>
      </c>
    </row>
    <row r="550">
      <c r="A550" s="2" t="s">
        <v>1755</v>
      </c>
      <c r="B550" s="2" t="s">
        <v>1756</v>
      </c>
      <c r="D550" s="2">
        <v>29.9</v>
      </c>
      <c r="E550" s="130">
        <v>11.9</v>
      </c>
      <c r="F550" s="2" t="str">
        <f>ROUNDUP(((($E550*'Calculadora de preço'!$B$4)+($E550*#REF!))*100)/(100-'Calculadora de preço'!$B$5), -1)</f>
        <v>#REF!</v>
      </c>
    </row>
    <row r="551">
      <c r="A551" s="2" t="s">
        <v>1757</v>
      </c>
      <c r="B551" s="2" t="s">
        <v>1758</v>
      </c>
      <c r="D551" s="2">
        <v>29.9</v>
      </c>
      <c r="E551" s="130">
        <v>11.9</v>
      </c>
      <c r="F551" s="2" t="str">
        <f>ROUNDUP(((($E551*'Calculadora de preço'!$B$4)+($E551*#REF!))*100)/(100-'Calculadora de preço'!$B$5), -1)</f>
        <v>#REF!</v>
      </c>
    </row>
    <row r="552">
      <c r="A552" s="2" t="s">
        <v>1759</v>
      </c>
      <c r="B552" s="2" t="s">
        <v>1760</v>
      </c>
      <c r="D552" s="2">
        <v>29.9</v>
      </c>
      <c r="E552" s="130">
        <v>11.9</v>
      </c>
      <c r="F552" s="2" t="str">
        <f>ROUNDUP(((($E552*'Calculadora de preço'!$B$4)+($E552*#REF!))*100)/(100-'Calculadora de preço'!$B$5), -1)</f>
        <v>#REF!</v>
      </c>
    </row>
    <row r="553">
      <c r="A553" s="2" t="s">
        <v>1761</v>
      </c>
      <c r="B553" s="2" t="s">
        <v>1762</v>
      </c>
      <c r="D553" s="2">
        <v>39.99</v>
      </c>
      <c r="E553" s="130">
        <v>18.5</v>
      </c>
      <c r="F553" s="2" t="str">
        <f>ROUNDUP(((($E553*'Calculadora de preço'!$B$4)+($E553*#REF!))*100)/(100-'Calculadora de preço'!$B$5), -1)</f>
        <v>#REF!</v>
      </c>
    </row>
    <row r="554">
      <c r="A554" s="2" t="s">
        <v>1763</v>
      </c>
      <c r="B554" s="2" t="s">
        <v>1764</v>
      </c>
      <c r="D554" s="2">
        <v>149.9</v>
      </c>
      <c r="E554" s="130">
        <v>70.0</v>
      </c>
      <c r="F554" s="2" t="str">
        <f>ROUNDUP(((($E554*'Calculadora de preço'!$B$4)+($E554*#REF!))*100)/(100-'Calculadora de preço'!$B$5), -1)</f>
        <v>#REF!</v>
      </c>
    </row>
    <row r="555">
      <c r="A555" s="2" t="s">
        <v>1765</v>
      </c>
      <c r="B555" s="2" t="s">
        <v>1766</v>
      </c>
      <c r="D555" s="2">
        <v>139.9</v>
      </c>
      <c r="E555" s="130">
        <v>70.0</v>
      </c>
      <c r="F555" s="2" t="str">
        <f>ROUNDUP(((($E555*'Calculadora de preço'!$B$4)+($E555*#REF!))*100)/(100-'Calculadora de preço'!$B$5), -1)</f>
        <v>#REF!</v>
      </c>
    </row>
    <row r="556">
      <c r="A556" s="2" t="s">
        <v>1767</v>
      </c>
      <c r="B556" s="2" t="s">
        <v>1768</v>
      </c>
      <c r="D556" s="2">
        <v>89.99</v>
      </c>
      <c r="E556" s="130">
        <v>44.0</v>
      </c>
      <c r="F556" s="2" t="str">
        <f>ROUNDUP(((($E556*'Calculadora de preço'!$B$4)+($E556*#REF!))*100)/(100-'Calculadora de preço'!$B$5), -1)</f>
        <v>#REF!</v>
      </c>
    </row>
    <row r="557">
      <c r="A557" s="2" t="s">
        <v>1769</v>
      </c>
      <c r="B557" s="2" t="s">
        <v>1770</v>
      </c>
      <c r="D557" s="2">
        <v>119.9</v>
      </c>
      <c r="E557" s="130">
        <v>60.0</v>
      </c>
      <c r="F557" s="2" t="str">
        <f>ROUNDUP(((($E557*'Calculadora de preço'!$B$4)+($E557*#REF!))*100)/(100-'Calculadora de preço'!$B$5), -1)</f>
        <v>#REF!</v>
      </c>
    </row>
    <row r="558">
      <c r="A558" s="2" t="s">
        <v>1771</v>
      </c>
      <c r="B558" s="2" t="s">
        <v>1772</v>
      </c>
      <c r="D558" s="2">
        <v>49.99</v>
      </c>
      <c r="E558" s="130">
        <v>29.0</v>
      </c>
      <c r="F558" s="2" t="str">
        <f>ROUNDUP(((($E558*'Calculadora de preço'!$B$4)+($E558*#REF!))*100)/(100-'Calculadora de preço'!$B$5), -1)</f>
        <v>#REF!</v>
      </c>
    </row>
    <row r="559">
      <c r="A559" s="2" t="s">
        <v>1773</v>
      </c>
      <c r="B559" s="2" t="s">
        <v>1774</v>
      </c>
      <c r="D559" s="2">
        <v>149.99</v>
      </c>
      <c r="E559" s="130">
        <v>72.0</v>
      </c>
      <c r="F559" s="2" t="str">
        <f>ROUNDUP(((($E559*'Calculadora de preço'!$B$4)+($E559*#REF!))*100)/(100-'Calculadora de preço'!$B$5), -1)</f>
        <v>#REF!</v>
      </c>
    </row>
    <row r="560">
      <c r="A560" s="2" t="s">
        <v>1775</v>
      </c>
      <c r="B560" s="2" t="s">
        <v>1776</v>
      </c>
      <c r="D560" s="2">
        <v>159.99</v>
      </c>
      <c r="E560" s="130">
        <v>75.8</v>
      </c>
      <c r="F560" s="2" t="str">
        <f>ROUNDUP(((($E560*'Calculadora de preço'!$B$4)+($E560*#REF!))*100)/(100-'Calculadora de preço'!$B$5), -1)</f>
        <v>#REF!</v>
      </c>
    </row>
    <row r="561">
      <c r="A561" s="2" t="s">
        <v>1777</v>
      </c>
      <c r="B561" s="2" t="s">
        <v>1778</v>
      </c>
      <c r="D561" s="2">
        <v>109.99</v>
      </c>
      <c r="E561" s="130">
        <v>52.0</v>
      </c>
      <c r="F561" s="2" t="str">
        <f>ROUNDUP(((($E561*'Calculadora de preço'!$B$4)+($E561*#REF!))*100)/(100-'Calculadora de preço'!$B$5), -1)</f>
        <v>#REF!</v>
      </c>
    </row>
    <row r="562">
      <c r="A562" s="2" t="s">
        <v>1779</v>
      </c>
      <c r="B562" s="2" t="s">
        <v>1780</v>
      </c>
      <c r="D562" s="2">
        <v>89.99</v>
      </c>
      <c r="E562" s="130">
        <v>42.0</v>
      </c>
      <c r="F562" s="2" t="str">
        <f>ROUNDUP(((($E562*'Calculadora de preço'!$B$4)+($E562*#REF!))*100)/(100-'Calculadora de preço'!$B$5), -1)</f>
        <v>#REF!</v>
      </c>
    </row>
    <row r="563">
      <c r="A563" s="2" t="s">
        <v>1781</v>
      </c>
      <c r="B563" s="2" t="s">
        <v>1782</v>
      </c>
      <c r="D563" s="2">
        <v>99.99</v>
      </c>
      <c r="E563" s="130">
        <v>46.0</v>
      </c>
      <c r="F563" s="2" t="str">
        <f>ROUNDUP(((($E563*'Calculadora de preço'!$B$4)+($E563*#REF!))*100)/(100-'Calculadora de preço'!$B$5), -1)</f>
        <v>#REF!</v>
      </c>
    </row>
    <row r="564">
      <c r="A564" s="2" t="s">
        <v>1783</v>
      </c>
      <c r="B564" s="2" t="s">
        <v>1784</v>
      </c>
      <c r="D564" s="2">
        <v>89.99</v>
      </c>
      <c r="E564" s="130">
        <v>42.0</v>
      </c>
      <c r="F564" s="2" t="str">
        <f>ROUNDUP(((($E564*'Calculadora de preço'!$B$4)+($E564*#REF!))*100)/(100-'Calculadora de preço'!$B$5), -1)</f>
        <v>#REF!</v>
      </c>
    </row>
    <row r="565">
      <c r="A565" s="2" t="s">
        <v>1785</v>
      </c>
      <c r="B565" s="2" t="s">
        <v>1786</v>
      </c>
      <c r="D565" s="2">
        <v>79.9</v>
      </c>
      <c r="E565" s="130">
        <v>36.0</v>
      </c>
      <c r="F565" s="2" t="str">
        <f>ROUNDUP(((($E565*'Calculadora de preço'!$B$4)+($E565*#REF!))*100)/(100-'Calculadora de preço'!$B$5), -1)</f>
        <v>#REF!</v>
      </c>
    </row>
    <row r="566">
      <c r="A566" s="2" t="s">
        <v>1787</v>
      </c>
      <c r="B566" s="2" t="s">
        <v>1788</v>
      </c>
      <c r="D566" s="2">
        <v>79.9</v>
      </c>
      <c r="E566" s="130">
        <v>36.0</v>
      </c>
      <c r="F566" s="2" t="str">
        <f>ROUNDUP(((($E566*'Calculadora de preço'!$B$4)+($E566*#REF!))*100)/(100-'Calculadora de preço'!$B$5), -1)</f>
        <v>#REF!</v>
      </c>
    </row>
    <row r="567">
      <c r="A567" s="2" t="s">
        <v>1789</v>
      </c>
      <c r="B567" s="2" t="s">
        <v>1790</v>
      </c>
      <c r="D567" s="2">
        <v>49.99</v>
      </c>
      <c r="E567" s="130">
        <v>29.0</v>
      </c>
      <c r="F567" s="2" t="str">
        <f>ROUNDUP(((($E567*'Calculadora de preço'!$B$4)+($E567*#REF!))*100)/(100-'Calculadora de preço'!$B$5), -1)</f>
        <v>#REF!</v>
      </c>
    </row>
    <row r="568">
      <c r="A568" s="2" t="s">
        <v>1791</v>
      </c>
      <c r="B568" s="2" t="s">
        <v>1792</v>
      </c>
      <c r="D568" s="2">
        <v>139.9</v>
      </c>
      <c r="E568" s="130">
        <v>70.0</v>
      </c>
      <c r="F568" s="2" t="str">
        <f>ROUNDUP(((($E568*'Calculadora de preço'!$B$4)+($E568*#REF!))*100)/(100-'Calculadora de preço'!$B$5), -1)</f>
        <v>#REF!</v>
      </c>
    </row>
    <row r="569">
      <c r="A569" s="2" t="s">
        <v>1793</v>
      </c>
      <c r="B569" s="2" t="s">
        <v>1794</v>
      </c>
      <c r="D569" s="2">
        <v>129.99</v>
      </c>
      <c r="E569" s="130">
        <v>64.0</v>
      </c>
      <c r="F569" s="2" t="str">
        <f>ROUNDUP(((($E569*'Calculadora de preço'!$B$4)+($E569*#REF!))*100)/(100-'Calculadora de preço'!$B$5), -1)</f>
        <v>#REF!</v>
      </c>
    </row>
    <row r="570">
      <c r="A570" s="2" t="s">
        <v>1795</v>
      </c>
      <c r="B570" s="2" t="s">
        <v>1796</v>
      </c>
      <c r="D570" s="2">
        <v>129.99</v>
      </c>
      <c r="E570" s="130">
        <v>64.0</v>
      </c>
      <c r="F570" s="2" t="str">
        <f>ROUNDUP(((($E570*'Calculadora de preço'!$B$4)+($E570*#REF!))*100)/(100-'Calculadora de preço'!$B$5), -1)</f>
        <v>#REF!</v>
      </c>
    </row>
    <row r="571">
      <c r="A571" s="2" t="s">
        <v>1797</v>
      </c>
      <c r="B571" s="2" t="s">
        <v>1798</v>
      </c>
      <c r="D571" s="2">
        <v>149.99</v>
      </c>
      <c r="E571" s="130">
        <v>70.5</v>
      </c>
      <c r="F571" s="2" t="str">
        <f>ROUNDUP(((($E571*'Calculadora de preço'!$B$4)+($E571*#REF!))*100)/(100-'Calculadora de preço'!$B$5), -1)</f>
        <v>#REF!</v>
      </c>
    </row>
    <row r="572">
      <c r="A572" s="2" t="s">
        <v>1799</v>
      </c>
      <c r="B572" s="2" t="s">
        <v>1800</v>
      </c>
      <c r="D572" s="2">
        <v>149.99</v>
      </c>
      <c r="E572" s="130">
        <v>70.5</v>
      </c>
      <c r="F572" s="2" t="str">
        <f>ROUNDUP(((($E572*'Calculadora de preço'!$B$4)+($E572*#REF!))*100)/(100-'Calculadora de preço'!$B$5), -1)</f>
        <v>#REF!</v>
      </c>
    </row>
    <row r="573">
      <c r="A573" s="2" t="s">
        <v>1801</v>
      </c>
      <c r="B573" s="2" t="s">
        <v>1802</v>
      </c>
      <c r="D573" s="2">
        <v>89.99</v>
      </c>
      <c r="E573" s="130">
        <v>42.0</v>
      </c>
      <c r="F573" s="2" t="str">
        <f>ROUNDUP(((($E573*'Calculadora de preço'!$B$4)+($E573*#REF!))*100)/(100-'Calculadora de preço'!$B$5), -1)</f>
        <v>#REF!</v>
      </c>
    </row>
    <row r="574">
      <c r="A574" s="2" t="s">
        <v>1803</v>
      </c>
      <c r="B574" s="2" t="s">
        <v>1804</v>
      </c>
      <c r="D574" s="2">
        <v>139.9</v>
      </c>
      <c r="E574" s="130">
        <v>70.0</v>
      </c>
      <c r="F574" s="2" t="str">
        <f>ROUNDUP(((($E574*'Calculadora de preço'!$B$4)+($E574*#REF!))*100)/(100-'Calculadora de preço'!$B$5), -1)</f>
        <v>#REF!</v>
      </c>
    </row>
    <row r="575">
      <c r="A575" s="2" t="s">
        <v>1805</v>
      </c>
      <c r="B575" s="2" t="s">
        <v>1806</v>
      </c>
      <c r="D575" s="2">
        <v>159.9</v>
      </c>
      <c r="E575" s="130">
        <v>64.49</v>
      </c>
      <c r="F575" s="2" t="str">
        <f>ROUNDUP(((($E575*'Calculadora de preço'!$B$4)+($E575*#REF!))*100)/(100-'Calculadora de preço'!$B$5), -1)</f>
        <v>#REF!</v>
      </c>
    </row>
    <row r="576">
      <c r="A576" s="2" t="s">
        <v>1807</v>
      </c>
      <c r="B576" s="2" t="s">
        <v>1134</v>
      </c>
      <c r="D576" s="2">
        <v>279.9</v>
      </c>
      <c r="E576" s="130">
        <v>139.9</v>
      </c>
      <c r="F576" s="2" t="str">
        <f>ROUNDUP(((($E576*'Calculadora de preço'!$B$4)+($E576*#REF!))*100)/(100-'Calculadora de preço'!$B$5), -1)</f>
        <v>#REF!</v>
      </c>
      <c r="G576" s="1">
        <v>1.0</v>
      </c>
    </row>
    <row r="577">
      <c r="A577" s="2" t="s">
        <v>1808</v>
      </c>
      <c r="B577" s="2" t="s">
        <v>1809</v>
      </c>
      <c r="D577" s="2">
        <v>79.9</v>
      </c>
      <c r="E577" s="130">
        <v>30.54</v>
      </c>
      <c r="F577" s="2" t="str">
        <f>ROUNDUP(((($E577*'Calculadora de preço'!$B$4)+($E577*#REF!))*100)/(100-'Calculadora de preço'!$B$5), -1)</f>
        <v>#REF!</v>
      </c>
    </row>
    <row r="578">
      <c r="A578" s="2" t="s">
        <v>1810</v>
      </c>
      <c r="B578" s="2" t="s">
        <v>1811</v>
      </c>
      <c r="D578" s="2">
        <v>22.0</v>
      </c>
      <c r="E578" s="130">
        <v>12.9</v>
      </c>
      <c r="F578" s="2" t="str">
        <f>ROUNDUP(((($E578*'Calculadora de preço'!$B$4)+($E578*#REF!))*100)/(100-'Calculadora de preço'!$B$5), -1)</f>
        <v>#REF!</v>
      </c>
    </row>
    <row r="579">
      <c r="A579" s="2" t="s">
        <v>1812</v>
      </c>
      <c r="B579" s="2" t="s">
        <v>1813</v>
      </c>
      <c r="D579" s="2">
        <v>22.0</v>
      </c>
      <c r="E579" s="130">
        <v>13.9</v>
      </c>
      <c r="F579" s="2" t="str">
        <f>ROUNDUP(((($E579*'Calculadora de preço'!$B$4)+($E579*#REF!))*100)/(100-'Calculadora de preço'!$B$5), -1)</f>
        <v>#REF!</v>
      </c>
    </row>
    <row r="580">
      <c r="A580" s="2" t="s">
        <v>1814</v>
      </c>
      <c r="B580" s="2" t="s">
        <v>1815</v>
      </c>
      <c r="D580" s="2">
        <v>15.0</v>
      </c>
      <c r="E580" s="130">
        <v>7.5</v>
      </c>
      <c r="F580" s="2" t="str">
        <f>ROUNDUP(((($E580*'Calculadora de preço'!$B$4)+($E580*#REF!))*100)/(100-'Calculadora de preço'!$B$5), -1)</f>
        <v>#REF!</v>
      </c>
    </row>
    <row r="581">
      <c r="A581" s="2" t="s">
        <v>1816</v>
      </c>
      <c r="B581" s="2" t="s">
        <v>1817</v>
      </c>
      <c r="D581" s="2">
        <v>15.0</v>
      </c>
      <c r="E581" s="130">
        <v>7.5</v>
      </c>
      <c r="F581" s="2" t="str">
        <f>ROUNDUP(((($E581*'Calculadora de preço'!$B$4)+($E581*#REF!))*100)/(100-'Calculadora de preço'!$B$5), -1)</f>
        <v>#REF!</v>
      </c>
    </row>
    <row r="582">
      <c r="A582" s="2" t="s">
        <v>1818</v>
      </c>
      <c r="B582" s="2" t="s">
        <v>1819</v>
      </c>
      <c r="D582" s="2">
        <v>19.99</v>
      </c>
      <c r="E582" s="130">
        <v>7.8</v>
      </c>
      <c r="F582" s="2" t="str">
        <f>ROUNDUP(((($E582*'Calculadora de preço'!$B$4)+($E582*#REF!))*100)/(100-'Calculadora de preço'!$B$5), -1)</f>
        <v>#REF!</v>
      </c>
    </row>
    <row r="583">
      <c r="A583" s="2" t="s">
        <v>1820</v>
      </c>
      <c r="B583" s="2" t="s">
        <v>1821</v>
      </c>
      <c r="D583" s="2">
        <v>28.0</v>
      </c>
      <c r="E583" s="130">
        <v>16.9</v>
      </c>
      <c r="F583" s="2" t="str">
        <f>ROUNDUP(((($E583*'Calculadora de preço'!$B$4)+($E583*#REF!))*100)/(100-'Calculadora de preço'!$B$5), -1)</f>
        <v>#REF!</v>
      </c>
    </row>
    <row r="584">
      <c r="A584" s="2" t="s">
        <v>1822</v>
      </c>
      <c r="B584" s="2" t="s">
        <v>1823</v>
      </c>
      <c r="D584" s="2">
        <v>19.99</v>
      </c>
      <c r="E584" s="130">
        <v>7.8</v>
      </c>
      <c r="F584" s="2" t="str">
        <f>ROUNDUP(((($E584*'Calculadora de preço'!$B$4)+($E584*#REF!))*100)/(100-'Calculadora de preço'!$B$5), -1)</f>
        <v>#REF!</v>
      </c>
    </row>
    <row r="585">
      <c r="A585" s="2" t="s">
        <v>1824</v>
      </c>
      <c r="B585" s="2" t="s">
        <v>1825</v>
      </c>
      <c r="D585" s="2">
        <v>99.99</v>
      </c>
      <c r="E585" s="130">
        <v>54.9</v>
      </c>
      <c r="F585" s="2" t="str">
        <f>ROUNDUP(((($E585*'Calculadora de preço'!$B$4)+($E585*#REF!))*100)/(100-'Calculadora de preço'!$B$5), -1)</f>
        <v>#REF!</v>
      </c>
    </row>
    <row r="586">
      <c r="A586" s="2" t="s">
        <v>1826</v>
      </c>
      <c r="B586" s="2" t="s">
        <v>1827</v>
      </c>
      <c r="D586" s="2">
        <v>89.99</v>
      </c>
      <c r="E586" s="130">
        <v>34.9</v>
      </c>
      <c r="F586" s="2" t="str">
        <f>ROUNDUP(((($E586*'Calculadora de preço'!$B$4)+($E586*#REF!))*100)/(100-'Calculadora de preço'!$B$5), -1)</f>
        <v>#REF!</v>
      </c>
    </row>
    <row r="587">
      <c r="A587" s="2" t="s">
        <v>1828</v>
      </c>
      <c r="B587" s="2" t="s">
        <v>1829</v>
      </c>
      <c r="D587" s="2">
        <v>115.9</v>
      </c>
      <c r="E587" s="130">
        <v>47.44</v>
      </c>
      <c r="F587" s="2" t="str">
        <f>ROUNDUP(((($E587*'Calculadora de preço'!$B$4)+($E587*#REF!))*100)/(100-'Calculadora de preço'!$B$5), -1)</f>
        <v>#REF!</v>
      </c>
    </row>
    <row r="588">
      <c r="A588" s="2" t="s">
        <v>1830</v>
      </c>
      <c r="B588" s="2" t="s">
        <v>1831</v>
      </c>
      <c r="D588" s="2">
        <v>89.99</v>
      </c>
      <c r="E588" s="130">
        <v>39.9</v>
      </c>
      <c r="F588" s="2" t="str">
        <f>ROUNDUP(((($E588*'Calculadora de preço'!$B$4)+($E588*#REF!))*100)/(100-'Calculadora de preço'!$B$5), -1)</f>
        <v>#REF!</v>
      </c>
    </row>
    <row r="589">
      <c r="A589" s="2" t="s">
        <v>1832</v>
      </c>
      <c r="B589" s="2" t="s">
        <v>1833</v>
      </c>
      <c r="D589" s="2">
        <v>19.99</v>
      </c>
      <c r="E589" s="130">
        <v>7.8</v>
      </c>
      <c r="F589" s="2" t="str">
        <f>ROUNDUP(((($E589*'Calculadora de preço'!$B$4)+($E589*#REF!))*100)/(100-'Calculadora de preço'!$B$5), -1)</f>
        <v>#REF!</v>
      </c>
    </row>
    <row r="590">
      <c r="A590" s="2" t="s">
        <v>1834</v>
      </c>
      <c r="B590" s="2" t="s">
        <v>1835</v>
      </c>
      <c r="D590" s="2">
        <v>69.9</v>
      </c>
      <c r="E590" s="130">
        <v>30.0</v>
      </c>
      <c r="F590" s="2" t="str">
        <f>ROUNDUP(((($E590*'Calculadora de preço'!$B$4)+($E590*#REF!))*100)/(100-'Calculadora de preço'!$B$5), -1)</f>
        <v>#REF!</v>
      </c>
    </row>
    <row r="591">
      <c r="A591" s="2" t="s">
        <v>1836</v>
      </c>
      <c r="B591" s="2" t="s">
        <v>1837</v>
      </c>
      <c r="D591" s="2">
        <v>28.0</v>
      </c>
      <c r="E591" s="130">
        <v>16.9</v>
      </c>
      <c r="F591" s="2" t="str">
        <f>ROUNDUP(((($E591*'Calculadora de preço'!$B$4)+($E591*#REF!))*100)/(100-'Calculadora de preço'!$B$5), -1)</f>
        <v>#REF!</v>
      </c>
    </row>
    <row r="592">
      <c r="A592" s="2" t="s">
        <v>1838</v>
      </c>
      <c r="B592" s="2" t="s">
        <v>1839</v>
      </c>
      <c r="D592" s="2">
        <v>28.0</v>
      </c>
      <c r="E592" s="130">
        <v>16.9</v>
      </c>
      <c r="F592" s="2" t="str">
        <f>ROUNDUP(((($E592*'Calculadora de preço'!$B$4)+($E592*#REF!))*100)/(100-'Calculadora de preço'!$B$5), -1)</f>
        <v>#REF!</v>
      </c>
    </row>
    <row r="593">
      <c r="A593" s="2" t="s">
        <v>1840</v>
      </c>
      <c r="B593" s="2" t="s">
        <v>1841</v>
      </c>
      <c r="D593" s="2">
        <v>49.9</v>
      </c>
      <c r="E593" s="130">
        <v>22.62</v>
      </c>
      <c r="F593" s="2" t="str">
        <f>ROUNDUP(((($E593*'Calculadora de preço'!$B$4)+($E593*#REF!))*100)/(100-'Calculadora de preço'!$B$5), -1)</f>
        <v>#REF!</v>
      </c>
    </row>
    <row r="594">
      <c r="A594" s="2" t="s">
        <v>1842</v>
      </c>
      <c r="B594" s="2" t="s">
        <v>1843</v>
      </c>
      <c r="D594" s="2">
        <v>15.99</v>
      </c>
      <c r="E594" s="130">
        <v>6.29</v>
      </c>
      <c r="F594" s="2" t="str">
        <f>ROUNDUP(((($E594*'Calculadora de preço'!$B$4)+($E594*#REF!))*100)/(100-'Calculadora de preço'!$B$5), -1)</f>
        <v>#REF!</v>
      </c>
    </row>
    <row r="595">
      <c r="A595" s="2" t="s">
        <v>1844</v>
      </c>
      <c r="B595" s="2" t="s">
        <v>1135</v>
      </c>
      <c r="D595" s="2">
        <v>79.99</v>
      </c>
      <c r="E595" s="130">
        <v>36.0</v>
      </c>
      <c r="F595" s="2" t="str">
        <f>ROUNDUP(((($E595*'Calculadora de preço'!$B$4)+($E595*#REF!))*100)/(100-'Calculadora de preço'!$B$5), -1)</f>
        <v>#REF!</v>
      </c>
      <c r="G595" s="1">
        <v>1.0</v>
      </c>
    </row>
    <row r="596">
      <c r="A596" s="2" t="s">
        <v>1845</v>
      </c>
      <c r="B596" s="2" t="s">
        <v>1846</v>
      </c>
      <c r="D596" s="2">
        <v>29.99</v>
      </c>
      <c r="E596" s="130">
        <v>12.0</v>
      </c>
      <c r="F596" s="2" t="str">
        <f>ROUNDUP(((($E596*'Calculadora de preço'!$B$4)+($E596*#REF!))*100)/(100-'Calculadora de preço'!$B$5), -1)</f>
        <v>#REF!</v>
      </c>
    </row>
    <row r="597">
      <c r="A597" s="2" t="s">
        <v>1847</v>
      </c>
      <c r="B597" s="2" t="s">
        <v>1185</v>
      </c>
      <c r="D597" s="2">
        <v>369.9</v>
      </c>
      <c r="E597" s="130">
        <v>182.41</v>
      </c>
      <c r="F597" s="2" t="str">
        <f>ROUNDUP(((($E597*'Calculadora de preço'!$B$4)+($E597*#REF!))*100)/(100-'Calculadora de preço'!$B$5), -1)</f>
        <v>#REF!</v>
      </c>
      <c r="G597" s="1">
        <v>1.0</v>
      </c>
    </row>
    <row r="598">
      <c r="A598" s="2" t="s">
        <v>1851</v>
      </c>
      <c r="B598" s="2" t="s">
        <v>1186</v>
      </c>
      <c r="D598" s="2">
        <v>369.9</v>
      </c>
      <c r="E598" s="130">
        <v>182.41</v>
      </c>
      <c r="F598" s="2" t="str">
        <f>ROUNDUP(((($E598*'Calculadora de preço'!$B$4)+($E598*#REF!))*100)/(100-'Calculadora de preço'!$B$5), -1)</f>
        <v>#REF!</v>
      </c>
      <c r="G598" s="1">
        <v>1.0</v>
      </c>
    </row>
    <row r="599">
      <c r="A599" s="2" t="s">
        <v>1855</v>
      </c>
      <c r="B599" s="2" t="s">
        <v>1856</v>
      </c>
      <c r="C599" s="2" t="s">
        <v>1857</v>
      </c>
      <c r="D599" s="2">
        <v>69.9</v>
      </c>
      <c r="E599" s="130">
        <v>39.9</v>
      </c>
      <c r="F599" s="2" t="str">
        <f>ROUNDUP(((($E599*'Calculadora de preço'!$B$4)+($E599*#REF!))*100)/(100-'Calculadora de preço'!$B$5), -1)</f>
        <v>#REF!</v>
      </c>
      <c r="G599" s="1">
        <v>1.0</v>
      </c>
    </row>
    <row r="600">
      <c r="A600" s="2" t="s">
        <v>1858</v>
      </c>
      <c r="B600" s="2" t="s">
        <v>1860</v>
      </c>
      <c r="C600" s="2" t="s">
        <v>1861</v>
      </c>
      <c r="D600" s="2">
        <v>69.9</v>
      </c>
      <c r="E600" s="130">
        <v>39.9</v>
      </c>
      <c r="F600" s="2" t="str">
        <f>ROUNDUP(((($E600*'Calculadora de preço'!$B$4)+($E600*#REF!))*100)/(100-'Calculadora de preço'!$B$5), -1)</f>
        <v>#REF!</v>
      </c>
    </row>
    <row r="601">
      <c r="A601" s="2" t="s">
        <v>1864</v>
      </c>
      <c r="B601" s="2" t="s">
        <v>1865</v>
      </c>
      <c r="C601" s="2" t="s">
        <v>1866</v>
      </c>
      <c r="D601" s="2">
        <v>69.9</v>
      </c>
      <c r="E601" s="130">
        <v>39.9</v>
      </c>
      <c r="F601" s="2" t="str">
        <f>ROUNDUP(((($E601*'Calculadora de preço'!$B$4)+($E601*#REF!))*100)/(100-'Calculadora de preço'!$B$5), -1)</f>
        <v>#REF!</v>
      </c>
    </row>
    <row r="602">
      <c r="A602" s="2" t="s">
        <v>1871</v>
      </c>
      <c r="B602" s="2" t="s">
        <v>1872</v>
      </c>
      <c r="C602" s="2" t="s">
        <v>1873</v>
      </c>
      <c r="D602" s="2">
        <v>69.9</v>
      </c>
      <c r="E602" s="130">
        <v>39.9</v>
      </c>
      <c r="F602" s="2" t="str">
        <f>ROUNDUP(((($E602*'Calculadora de preço'!$B$4)+($E602*#REF!))*100)/(100-'Calculadora de preço'!$B$5), -1)</f>
        <v>#REF!</v>
      </c>
    </row>
    <row r="603">
      <c r="A603" s="2" t="s">
        <v>1875</v>
      </c>
      <c r="B603" s="2" t="s">
        <v>1876</v>
      </c>
      <c r="C603" s="2" t="s">
        <v>1877</v>
      </c>
      <c r="D603" s="2">
        <v>69.9</v>
      </c>
      <c r="E603" s="130">
        <v>39.9</v>
      </c>
      <c r="F603" s="2" t="str">
        <f>ROUNDUP(((($E603*'Calculadora de preço'!$B$4)+($E603*#REF!))*100)/(100-'Calculadora de preço'!$B$5), -1)</f>
        <v>#REF!</v>
      </c>
    </row>
    <row r="604">
      <c r="A604" s="2" t="s">
        <v>1880</v>
      </c>
      <c r="B604" s="2" t="s">
        <v>1881</v>
      </c>
      <c r="C604" s="2" t="s">
        <v>1882</v>
      </c>
      <c r="D604" s="2">
        <v>69.9</v>
      </c>
      <c r="E604" s="130">
        <v>39.9</v>
      </c>
      <c r="F604" s="2" t="str">
        <f>ROUNDUP(((($E604*'Calculadora de preço'!$B$4)+($E604*#REF!))*100)/(100-'Calculadora de preço'!$B$5), -1)</f>
        <v>#REF!</v>
      </c>
    </row>
    <row r="605">
      <c r="A605" s="2" t="s">
        <v>1884</v>
      </c>
      <c r="B605" s="2" t="s">
        <v>1885</v>
      </c>
      <c r="C605" s="2" t="s">
        <v>1886</v>
      </c>
      <c r="D605" s="2">
        <v>69.9</v>
      </c>
      <c r="E605" s="130">
        <v>39.9</v>
      </c>
      <c r="F605" s="2" t="str">
        <f>ROUNDUP(((($E605*'Calculadora de preço'!$B$4)+($E605*#REF!))*100)/(100-'Calculadora de preço'!$B$5), -1)</f>
        <v>#REF!</v>
      </c>
    </row>
    <row r="606">
      <c r="A606" s="2" t="s">
        <v>1889</v>
      </c>
      <c r="B606" s="2" t="s">
        <v>1890</v>
      </c>
      <c r="C606" s="2" t="s">
        <v>1891</v>
      </c>
      <c r="D606" s="2">
        <v>69.9</v>
      </c>
      <c r="E606" s="130">
        <v>39.9</v>
      </c>
      <c r="F606" s="2" t="str">
        <f>ROUNDUP(((($E606*'Calculadora de preço'!$B$4)+($E606*#REF!))*100)/(100-'Calculadora de preço'!$B$5), -1)</f>
        <v>#REF!</v>
      </c>
    </row>
    <row r="607">
      <c r="A607" s="2" t="s">
        <v>1894</v>
      </c>
      <c r="B607" s="2" t="s">
        <v>1895</v>
      </c>
      <c r="C607" s="2" t="s">
        <v>1896</v>
      </c>
      <c r="D607" s="2">
        <v>69.9</v>
      </c>
      <c r="E607" s="130">
        <v>39.9</v>
      </c>
      <c r="F607" s="2" t="str">
        <f>ROUNDUP(((($E607*'Calculadora de preço'!$B$4)+($E607*#REF!))*100)/(100-'Calculadora de preço'!$B$5), -1)</f>
        <v>#REF!</v>
      </c>
    </row>
    <row r="608">
      <c r="A608" s="2" t="s">
        <v>1901</v>
      </c>
      <c r="B608" s="2" t="s">
        <v>1902</v>
      </c>
      <c r="C608" s="2" t="s">
        <v>1903</v>
      </c>
      <c r="D608" s="2">
        <v>69.9</v>
      </c>
      <c r="E608" s="130">
        <v>39.9</v>
      </c>
      <c r="F608" s="2" t="str">
        <f>ROUNDUP(((($E608*'Calculadora de preço'!$B$4)+($E608*#REF!))*100)/(100-'Calculadora de preço'!$B$5), -1)</f>
        <v>#REF!</v>
      </c>
    </row>
    <row r="609">
      <c r="A609" s="2" t="s">
        <v>1904</v>
      </c>
      <c r="B609" s="2" t="s">
        <v>1905</v>
      </c>
      <c r="C609" s="2" t="s">
        <v>1906</v>
      </c>
      <c r="D609" s="2">
        <v>69.9</v>
      </c>
      <c r="E609" s="130">
        <v>39.9</v>
      </c>
      <c r="F609" s="2" t="str">
        <f>ROUNDUP(((($E609*'Calculadora de preço'!$B$4)+($E609*#REF!))*100)/(100-'Calculadora de preço'!$B$5), -1)</f>
        <v>#REF!</v>
      </c>
    </row>
    <row r="610">
      <c r="A610" s="2" t="s">
        <v>1908</v>
      </c>
      <c r="B610" s="2" t="s">
        <v>1909</v>
      </c>
      <c r="C610" s="2" t="s">
        <v>1910</v>
      </c>
      <c r="D610" s="2">
        <v>69.9</v>
      </c>
      <c r="E610" s="130">
        <v>39.9</v>
      </c>
      <c r="F610" s="2" t="str">
        <f>ROUNDUP(((($E610*'Calculadora de preço'!$B$4)+($E610*#REF!))*100)/(100-'Calculadora de preço'!$B$5), -1)</f>
        <v>#REF!</v>
      </c>
    </row>
    <row r="611">
      <c r="A611" s="2" t="s">
        <v>1911</v>
      </c>
      <c r="B611" s="2" t="s">
        <v>1912</v>
      </c>
      <c r="C611" s="2" t="s">
        <v>1913</v>
      </c>
      <c r="D611" s="2">
        <v>69.9</v>
      </c>
      <c r="E611" s="130">
        <v>39.9</v>
      </c>
      <c r="F611" s="2" t="str">
        <f>ROUNDUP(((($E611*'Calculadora de preço'!$B$4)+($E611*#REF!))*100)/(100-'Calculadora de preço'!$B$5), -1)</f>
        <v>#REF!</v>
      </c>
    </row>
    <row r="612">
      <c r="A612" s="2" t="s">
        <v>1914</v>
      </c>
      <c r="B612" s="2" t="s">
        <v>1915</v>
      </c>
      <c r="C612" s="2" t="s">
        <v>1916</v>
      </c>
      <c r="D612" s="2">
        <v>69.9</v>
      </c>
      <c r="E612" s="130">
        <v>39.9</v>
      </c>
      <c r="F612" s="2" t="str">
        <f>ROUNDUP(((($E612*'Calculadora de preço'!$B$4)+($E612*#REF!))*100)/(100-'Calculadora de preço'!$B$5), -1)</f>
        <v>#REF!</v>
      </c>
    </row>
    <row r="613">
      <c r="A613" s="2" t="s">
        <v>1917</v>
      </c>
      <c r="B613" s="2" t="s">
        <v>1918</v>
      </c>
      <c r="C613" s="2" t="s">
        <v>1919</v>
      </c>
      <c r="D613" s="2">
        <v>69.9</v>
      </c>
      <c r="E613" s="130">
        <v>39.9</v>
      </c>
      <c r="F613" s="2" t="str">
        <f>ROUNDUP(((($E613*'Calculadora de preço'!$B$4)+($E613*#REF!))*100)/(100-'Calculadora de preço'!$B$5), -1)</f>
        <v>#REF!</v>
      </c>
    </row>
    <row r="614">
      <c r="A614" s="2" t="s">
        <v>1920</v>
      </c>
      <c r="B614" s="2" t="s">
        <v>1921</v>
      </c>
      <c r="C614" s="2" t="s">
        <v>1922</v>
      </c>
      <c r="D614" s="2">
        <v>69.9</v>
      </c>
      <c r="E614" s="130">
        <v>39.9</v>
      </c>
      <c r="F614" s="2" t="str">
        <f>ROUNDUP(((($E614*'Calculadora de preço'!$B$4)+($E614*#REF!))*100)/(100-'Calculadora de preço'!$B$5), -1)</f>
        <v>#REF!</v>
      </c>
    </row>
    <row r="615">
      <c r="A615" s="2" t="s">
        <v>1923</v>
      </c>
      <c r="B615" s="2" t="s">
        <v>1924</v>
      </c>
      <c r="C615" s="2" t="s">
        <v>1925</v>
      </c>
      <c r="D615" s="2">
        <v>69.9</v>
      </c>
      <c r="E615" s="130">
        <v>39.9</v>
      </c>
      <c r="F615" s="2" t="str">
        <f>ROUNDUP(((($E615*'Calculadora de preço'!$B$4)+($E615*#REF!))*100)/(100-'Calculadora de preço'!$B$5), -1)</f>
        <v>#REF!</v>
      </c>
    </row>
    <row r="616">
      <c r="A616" s="2" t="s">
        <v>1926</v>
      </c>
      <c r="B616" s="2" t="s">
        <v>1927</v>
      </c>
      <c r="C616" s="2" t="s">
        <v>1928</v>
      </c>
      <c r="D616" s="2">
        <v>69.9</v>
      </c>
      <c r="E616" s="130">
        <v>39.9</v>
      </c>
      <c r="F616" s="2" t="str">
        <f>ROUNDUP(((($E616*'Calculadora de preço'!$B$4)+($E616*#REF!))*100)/(100-'Calculadora de preço'!$B$5), -1)</f>
        <v>#REF!</v>
      </c>
    </row>
    <row r="617">
      <c r="A617" s="2" t="s">
        <v>1929</v>
      </c>
      <c r="B617" s="2" t="s">
        <v>1930</v>
      </c>
      <c r="C617" s="2" t="s">
        <v>1931</v>
      </c>
      <c r="D617" s="2">
        <v>69.9</v>
      </c>
      <c r="E617" s="130">
        <v>39.9</v>
      </c>
      <c r="F617" s="2" t="str">
        <f>ROUNDUP(((($E617*'Calculadora de preço'!$B$4)+($E617*#REF!))*100)/(100-'Calculadora de preço'!$B$5), -1)</f>
        <v>#REF!</v>
      </c>
    </row>
    <row r="618">
      <c r="A618" s="2" t="s">
        <v>1932</v>
      </c>
      <c r="B618" s="2" t="s">
        <v>1933</v>
      </c>
      <c r="C618" s="2" t="s">
        <v>1934</v>
      </c>
      <c r="D618" s="2">
        <v>69.9</v>
      </c>
      <c r="E618" s="130">
        <v>39.9</v>
      </c>
      <c r="F618" s="2" t="str">
        <f>ROUNDUP(((($E618*'Calculadora de preço'!$B$4)+($E618*#REF!))*100)/(100-'Calculadora de preço'!$B$5), -1)</f>
        <v>#REF!</v>
      </c>
    </row>
    <row r="619">
      <c r="A619" s="2" t="s">
        <v>1935</v>
      </c>
      <c r="B619" s="2" t="s">
        <v>1936</v>
      </c>
      <c r="C619" s="2" t="s">
        <v>1937</v>
      </c>
      <c r="D619" s="2">
        <v>69.9</v>
      </c>
      <c r="E619" s="130">
        <v>39.9</v>
      </c>
      <c r="F619" s="2" t="str">
        <f>ROUNDUP(((($E619*'Calculadora de preço'!$B$4)+($E619*#REF!))*100)/(100-'Calculadora de preço'!$B$5), -1)</f>
        <v>#REF!</v>
      </c>
    </row>
    <row r="620">
      <c r="A620" s="2" t="s">
        <v>1938</v>
      </c>
      <c r="B620" s="2" t="s">
        <v>1284</v>
      </c>
      <c r="C620" s="2" t="s">
        <v>1939</v>
      </c>
      <c r="D620" s="2">
        <v>69.9</v>
      </c>
      <c r="E620" s="130">
        <v>34.97</v>
      </c>
      <c r="F620" s="2" t="str">
        <f>ROUNDUP(((($E620*'Calculadora de preço'!$B$4)+($E620*#REF!))*100)/(100-'Calculadora de preço'!$B$5), -1)</f>
        <v>#REF!</v>
      </c>
      <c r="G620" s="1">
        <v>1.0</v>
      </c>
    </row>
    <row r="621">
      <c r="A621" s="2" t="s">
        <v>1940</v>
      </c>
      <c r="B621" s="2" t="s">
        <v>1941</v>
      </c>
      <c r="D621" s="2">
        <v>59.9</v>
      </c>
      <c r="E621" s="130">
        <v>25.85</v>
      </c>
      <c r="F621" s="2" t="str">
        <f>ROUNDUP(((($E621*'Calculadora de preço'!$B$4)+($E621*#REF!))*100)/(100-'Calculadora de preço'!$B$5), -1)</f>
        <v>#REF!</v>
      </c>
    </row>
    <row r="622">
      <c r="A622" s="2" t="s">
        <v>1942</v>
      </c>
      <c r="B622" s="2" t="s">
        <v>1943</v>
      </c>
      <c r="D622" s="2">
        <v>59.9</v>
      </c>
      <c r="E622" s="130">
        <v>25.85</v>
      </c>
      <c r="F622" s="2" t="str">
        <f>ROUNDUP(((($E622*'Calculadora de preço'!$B$4)+($E622*#REF!))*100)/(100-'Calculadora de preço'!$B$5), -1)</f>
        <v>#REF!</v>
      </c>
    </row>
    <row r="623">
      <c r="A623" s="2" t="s">
        <v>1944</v>
      </c>
      <c r="B623" s="2" t="s">
        <v>1945</v>
      </c>
      <c r="D623" s="2">
        <v>49.9</v>
      </c>
      <c r="E623" s="130">
        <v>23.7</v>
      </c>
      <c r="F623" s="2" t="str">
        <f>ROUNDUP(((($E623*'Calculadora de preço'!$B$4)+($E623*#REF!))*100)/(100-'Calculadora de preço'!$B$5), -1)</f>
        <v>#REF!</v>
      </c>
    </row>
    <row r="624">
      <c r="A624" s="2" t="s">
        <v>1946</v>
      </c>
      <c r="B624" s="2" t="s">
        <v>1947</v>
      </c>
      <c r="C624" s="2" t="s">
        <v>1948</v>
      </c>
      <c r="D624" s="2">
        <v>59.9</v>
      </c>
      <c r="E624" s="130">
        <v>0.0</v>
      </c>
      <c r="F624" s="2" t="str">
        <f>ROUNDUP(((($E624*'Calculadora de preço'!$B$4)+($E624*#REF!))*100)/(100-'Calculadora de preço'!$B$5), -1)</f>
        <v>#REF!</v>
      </c>
    </row>
    <row r="625">
      <c r="A625" s="2" t="s">
        <v>1949</v>
      </c>
      <c r="B625" s="2" t="s">
        <v>1950</v>
      </c>
      <c r="C625" s="2" t="s">
        <v>1951</v>
      </c>
      <c r="D625" s="2">
        <v>59.9</v>
      </c>
      <c r="E625" s="130">
        <v>24.77</v>
      </c>
      <c r="F625" s="2" t="str">
        <f>ROUNDUP(((($E625*'Calculadora de preço'!$B$4)+($E625*#REF!))*100)/(100-'Calculadora de preço'!$B$5), -1)</f>
        <v>#REF!</v>
      </c>
    </row>
    <row r="626">
      <c r="A626" s="2" t="s">
        <v>1952</v>
      </c>
      <c r="B626" s="2" t="s">
        <v>1953</v>
      </c>
      <c r="C626" s="2" t="s">
        <v>1954</v>
      </c>
      <c r="D626" s="2">
        <v>59.9</v>
      </c>
      <c r="E626" s="130">
        <v>24.77</v>
      </c>
      <c r="F626" s="2" t="str">
        <f>ROUNDUP(((($E626*'Calculadora de preço'!$B$4)+($E626*#REF!))*100)/(100-'Calculadora de preço'!$B$5), -1)</f>
        <v>#REF!</v>
      </c>
    </row>
    <row r="627">
      <c r="A627" s="2" t="s">
        <v>1955</v>
      </c>
      <c r="B627" s="2" t="s">
        <v>1956</v>
      </c>
      <c r="C627" s="2" t="s">
        <v>1957</v>
      </c>
      <c r="D627" s="2">
        <v>59.9</v>
      </c>
      <c r="E627" s="130">
        <v>24.77</v>
      </c>
      <c r="F627" s="2" t="str">
        <f>ROUNDUP(((($E627*'Calculadora de preço'!$B$4)+($E627*#REF!))*100)/(100-'Calculadora de preço'!$B$5), -1)</f>
        <v>#REF!</v>
      </c>
    </row>
    <row r="628">
      <c r="A628" s="2" t="s">
        <v>1958</v>
      </c>
      <c r="B628" s="2" t="s">
        <v>1959</v>
      </c>
      <c r="C628" s="2" t="s">
        <v>1960</v>
      </c>
      <c r="D628" s="2">
        <v>69.9</v>
      </c>
      <c r="E628" s="130">
        <v>39.9</v>
      </c>
      <c r="F628" s="2" t="str">
        <f>ROUNDUP(((($E628*'Calculadora de preço'!$B$4)+($E628*#REF!))*100)/(100-'Calculadora de preço'!$B$5), -1)</f>
        <v>#REF!</v>
      </c>
    </row>
    <row r="629">
      <c r="A629" s="2" t="s">
        <v>1961</v>
      </c>
      <c r="B629" s="2" t="s">
        <v>1962</v>
      </c>
      <c r="C629" s="2" t="s">
        <v>1963</v>
      </c>
      <c r="D629" s="2">
        <v>69.9</v>
      </c>
      <c r="E629" s="130">
        <v>39.9</v>
      </c>
      <c r="F629" s="2" t="str">
        <f>ROUNDUP(((($E629*'Calculadora de preço'!$B$4)+($E629*#REF!))*100)/(100-'Calculadora de preço'!$B$5), -1)</f>
        <v>#REF!</v>
      </c>
    </row>
    <row r="630">
      <c r="A630" s="2" t="s">
        <v>1964</v>
      </c>
      <c r="B630" s="2" t="s">
        <v>1965</v>
      </c>
      <c r="C630" s="2" t="s">
        <v>1966</v>
      </c>
      <c r="D630" s="2">
        <v>69.9</v>
      </c>
      <c r="E630" s="130">
        <v>39.9</v>
      </c>
      <c r="F630" s="2" t="str">
        <f>ROUNDUP(((($E630*'Calculadora de preço'!$B$4)+($E630*#REF!))*100)/(100-'Calculadora de preço'!$B$5), -1)</f>
        <v>#REF!</v>
      </c>
    </row>
    <row r="631">
      <c r="A631" s="2" t="s">
        <v>1967</v>
      </c>
      <c r="B631" s="2" t="s">
        <v>1968</v>
      </c>
      <c r="C631" s="2" t="s">
        <v>1969</v>
      </c>
      <c r="D631" s="2">
        <v>69.9</v>
      </c>
      <c r="E631" s="130">
        <v>39.9</v>
      </c>
      <c r="F631" s="2" t="str">
        <f>ROUNDUP(((($E631*'Calculadora de preço'!$B$4)+($E631*#REF!))*100)/(100-'Calculadora de preço'!$B$5), -1)</f>
        <v>#REF!</v>
      </c>
    </row>
    <row r="632">
      <c r="A632" s="2" t="s">
        <v>1970</v>
      </c>
      <c r="B632" s="2" t="s">
        <v>1971</v>
      </c>
      <c r="C632" s="2" t="s">
        <v>1972</v>
      </c>
      <c r="D632" s="2">
        <v>69.9</v>
      </c>
      <c r="E632" s="130">
        <v>39.9</v>
      </c>
      <c r="F632" s="2" t="str">
        <f>ROUNDUP(((($E632*'Calculadora de preço'!$B$4)+($E632*#REF!))*100)/(100-'Calculadora de preço'!$B$5), -1)</f>
        <v>#REF!</v>
      </c>
    </row>
    <row r="633">
      <c r="A633" s="2" t="s">
        <v>1973</v>
      </c>
      <c r="B633" s="2" t="s">
        <v>1974</v>
      </c>
      <c r="C633" s="2" t="s">
        <v>1975</v>
      </c>
      <c r="D633" s="2">
        <v>69.9</v>
      </c>
      <c r="E633" s="130">
        <v>39.9</v>
      </c>
      <c r="F633" s="2" t="str">
        <f>ROUNDUP(((($E633*'Calculadora de preço'!$B$4)+($E633*#REF!))*100)/(100-'Calculadora de preço'!$B$5), -1)</f>
        <v>#REF!</v>
      </c>
    </row>
    <row r="634">
      <c r="A634" s="2" t="s">
        <v>1976</v>
      </c>
      <c r="B634" s="2" t="s">
        <v>1977</v>
      </c>
      <c r="C634" s="2" t="s">
        <v>1978</v>
      </c>
      <c r="D634" s="2">
        <v>69.9</v>
      </c>
      <c r="E634" s="130">
        <v>39.9</v>
      </c>
      <c r="F634" s="2" t="str">
        <f>ROUNDUP(((($E634*'Calculadora de preço'!$B$4)+($E634*#REF!))*100)/(100-'Calculadora de preço'!$B$5), -1)</f>
        <v>#REF!</v>
      </c>
    </row>
    <row r="635">
      <c r="A635" s="2" t="s">
        <v>1979</v>
      </c>
      <c r="B635" s="2" t="s">
        <v>1980</v>
      </c>
      <c r="D635" s="2">
        <v>49.9</v>
      </c>
      <c r="E635" s="130">
        <v>23.7</v>
      </c>
      <c r="F635" s="2" t="str">
        <f>ROUNDUP(((($E635*'Calculadora de preço'!$B$4)+($E635*#REF!))*100)/(100-'Calculadora de preço'!$B$5), -1)</f>
        <v>#REF!</v>
      </c>
    </row>
    <row r="636">
      <c r="A636" s="2" t="s">
        <v>1981</v>
      </c>
      <c r="B636" s="2" t="s">
        <v>1982</v>
      </c>
      <c r="D636" s="2">
        <v>59.9</v>
      </c>
      <c r="E636" s="130">
        <v>26.93</v>
      </c>
      <c r="F636" s="2" t="str">
        <f>ROUNDUP(((($E636*'Calculadora de preço'!$B$4)+($E636*#REF!))*100)/(100-'Calculadora de preço'!$B$5), -1)</f>
        <v>#REF!</v>
      </c>
    </row>
    <row r="637">
      <c r="A637" s="2" t="s">
        <v>1983</v>
      </c>
      <c r="B637" s="2" t="s">
        <v>1984</v>
      </c>
      <c r="D637" s="2">
        <v>39.9</v>
      </c>
      <c r="E637" s="130">
        <v>19.28</v>
      </c>
      <c r="F637" s="2" t="str">
        <f>ROUNDUP(((($E637*'Calculadora de preço'!$B$4)+($E637*#REF!))*100)/(100-'Calculadora de preço'!$B$5), -1)</f>
        <v>#REF!</v>
      </c>
    </row>
    <row r="638">
      <c r="A638" s="2" t="s">
        <v>1985</v>
      </c>
      <c r="B638" s="2" t="s">
        <v>1288</v>
      </c>
      <c r="D638" s="2">
        <v>79.9</v>
      </c>
      <c r="E638" s="130">
        <v>31.67</v>
      </c>
      <c r="F638" s="2" t="str">
        <f>ROUNDUP(((($E638*'Calculadora de preço'!$B$4)+($E638*#REF!))*100)/(100-'Calculadora de preço'!$B$5), -1)</f>
        <v>#REF!</v>
      </c>
      <c r="G638" s="1">
        <v>1.0</v>
      </c>
    </row>
    <row r="639">
      <c r="A639" s="2" t="s">
        <v>1986</v>
      </c>
      <c r="B639" s="2" t="s">
        <v>1987</v>
      </c>
      <c r="D639" s="2">
        <v>169.9</v>
      </c>
      <c r="E639" s="130">
        <v>66.9</v>
      </c>
      <c r="F639" s="2" t="str">
        <f>ROUNDUP(((($E639*'Calculadora de preço'!$B$4)+($E639*#REF!))*100)/(100-'Calculadora de preço'!$B$5), -1)</f>
        <v>#REF!</v>
      </c>
      <c r="G639" s="1">
        <v>1.0</v>
      </c>
    </row>
    <row r="640">
      <c r="A640" s="2" t="s">
        <v>1988</v>
      </c>
      <c r="B640" s="2" t="s">
        <v>1989</v>
      </c>
      <c r="D640" s="2">
        <v>5.0</v>
      </c>
      <c r="E640" s="130">
        <v>2.15</v>
      </c>
      <c r="F640" s="2" t="str">
        <f>ROUNDUP(((($E640*'Calculadora de preço'!$B$4)+($E640*#REF!))*100)/(100-'Calculadora de preço'!$B$5), -1)</f>
        <v>#REF!</v>
      </c>
    </row>
    <row r="641">
      <c r="A641" s="2" t="s">
        <v>1990</v>
      </c>
      <c r="B641" s="2" t="s">
        <v>1991</v>
      </c>
      <c r="D641" s="2">
        <v>79.9</v>
      </c>
      <c r="E641" s="130">
        <v>49.48</v>
      </c>
      <c r="F641" s="2" t="str">
        <f>ROUNDUP(((($E641*'Calculadora de preço'!$B$4)+($E641*#REF!))*100)/(100-'Calculadora de preço'!$B$5), -1)</f>
        <v>#REF!</v>
      </c>
    </row>
    <row r="642">
      <c r="A642" s="2" t="s">
        <v>1992</v>
      </c>
      <c r="B642" s="2" t="s">
        <v>1993</v>
      </c>
      <c r="D642" s="2">
        <v>79.9</v>
      </c>
      <c r="E642" s="130">
        <v>49.48</v>
      </c>
      <c r="F642" s="2" t="str">
        <f>ROUNDUP(((($E642*'Calculadora de preço'!$B$4)+($E642*#REF!))*100)/(100-'Calculadora de preço'!$B$5), -1)</f>
        <v>#REF!</v>
      </c>
    </row>
    <row r="643">
      <c r="A643" s="2" t="s">
        <v>1994</v>
      </c>
      <c r="B643" s="2" t="s">
        <v>1995</v>
      </c>
      <c r="D643" s="2">
        <v>129.9</v>
      </c>
      <c r="E643" s="130">
        <v>74.79</v>
      </c>
      <c r="F643" s="2" t="str">
        <f>ROUNDUP(((($E643*'Calculadora de preço'!$B$4)+($E643*#REF!))*100)/(100-'Calculadora de preço'!$B$5), -1)</f>
        <v>#REF!</v>
      </c>
    </row>
    <row r="644">
      <c r="A644" s="2" t="s">
        <v>1996</v>
      </c>
      <c r="B644" s="2" t="s">
        <v>1314</v>
      </c>
      <c r="D644" s="2">
        <v>23.99</v>
      </c>
      <c r="E644" s="130">
        <v>14.73</v>
      </c>
      <c r="F644" s="2" t="str">
        <f>ROUNDUP(((($E644*'Calculadora de preço'!$B$4)+($E644*#REF!))*100)/(100-'Calculadora de preço'!$B$5), -1)</f>
        <v>#REF!</v>
      </c>
      <c r="G644" s="1">
        <v>1.0</v>
      </c>
    </row>
    <row r="645">
      <c r="A645" s="2" t="s">
        <v>1997</v>
      </c>
      <c r="B645" s="2" t="s">
        <v>1998</v>
      </c>
      <c r="D645" s="2">
        <v>23.99</v>
      </c>
      <c r="E645" s="130">
        <v>14.94</v>
      </c>
      <c r="F645" s="2" t="str">
        <f>ROUNDUP(((($E645*'Calculadora de preço'!$B$4)+($E645*#REF!))*100)/(100-'Calculadora de preço'!$B$5), -1)</f>
        <v>#REF!</v>
      </c>
    </row>
    <row r="646">
      <c r="A646" s="2" t="s">
        <v>1999</v>
      </c>
      <c r="B646" s="2" t="s">
        <v>2000</v>
      </c>
      <c r="D646" s="2">
        <v>23.99</v>
      </c>
      <c r="E646" s="130">
        <v>14.81</v>
      </c>
      <c r="F646" s="2" t="str">
        <f>ROUNDUP(((($E646*'Calculadora de preço'!$B$4)+($E646*#REF!))*100)/(100-'Calculadora de preço'!$B$5), -1)</f>
        <v>#REF!</v>
      </c>
    </row>
    <row r="647">
      <c r="A647" s="2" t="s">
        <v>2001</v>
      </c>
      <c r="B647" s="2" t="s">
        <v>2002</v>
      </c>
      <c r="D647" s="2">
        <v>23.99</v>
      </c>
      <c r="E647" s="130">
        <v>14.97</v>
      </c>
      <c r="F647" s="2" t="str">
        <f>ROUNDUP(((($E647*'Calculadora de preço'!$B$4)+($E647*#REF!))*100)/(100-'Calculadora de preço'!$B$5), -1)</f>
        <v>#REF!</v>
      </c>
    </row>
    <row r="648">
      <c r="A648" s="2" t="s">
        <v>2003</v>
      </c>
      <c r="B648" s="2" t="s">
        <v>2004</v>
      </c>
      <c r="D648" s="2">
        <v>23.99</v>
      </c>
      <c r="E648" s="130">
        <v>14.94</v>
      </c>
      <c r="F648" s="2" t="str">
        <f>ROUNDUP(((($E648*'Calculadora de preço'!$B$4)+($E648*#REF!))*100)/(100-'Calculadora de preço'!$B$5), -1)</f>
        <v>#REF!</v>
      </c>
    </row>
    <row r="649">
      <c r="A649" s="2" t="s">
        <v>2005</v>
      </c>
      <c r="B649" s="2" t="s">
        <v>2006</v>
      </c>
      <c r="D649" s="2">
        <v>23.99</v>
      </c>
      <c r="E649" s="130">
        <v>14.59</v>
      </c>
      <c r="F649" s="2" t="str">
        <f>ROUNDUP(((($E649*'Calculadora de preço'!$B$4)+($E649*#REF!))*100)/(100-'Calculadora de preço'!$B$5), -1)</f>
        <v>#REF!</v>
      </c>
    </row>
    <row r="650">
      <c r="A650" s="2" t="s">
        <v>2007</v>
      </c>
      <c r="B650" s="2" t="s">
        <v>2008</v>
      </c>
      <c r="D650" s="2">
        <v>23.99</v>
      </c>
      <c r="E650" s="130">
        <v>14.97</v>
      </c>
      <c r="F650" s="2" t="str">
        <f>ROUNDUP(((($E650*'Calculadora de preço'!$B$4)+($E650*#REF!))*100)/(100-'Calculadora de preço'!$B$5), -1)</f>
        <v>#REF!</v>
      </c>
    </row>
    <row r="651">
      <c r="A651" s="2" t="s">
        <v>2009</v>
      </c>
      <c r="B651" s="2" t="s">
        <v>2010</v>
      </c>
      <c r="D651" s="2">
        <v>23.99</v>
      </c>
      <c r="E651" s="130">
        <v>14.94</v>
      </c>
      <c r="F651" s="2" t="str">
        <f>ROUNDUP(((($E651*'Calculadora de preço'!$B$4)+($E651*#REF!))*100)/(100-'Calculadora de preço'!$B$5), -1)</f>
        <v>#REF!</v>
      </c>
    </row>
    <row r="652">
      <c r="A652" s="2" t="s">
        <v>2011</v>
      </c>
      <c r="B652" s="2" t="s">
        <v>2012</v>
      </c>
      <c r="D652" s="2">
        <v>23.99</v>
      </c>
      <c r="E652" s="130">
        <v>14.81</v>
      </c>
      <c r="F652" s="2" t="str">
        <f>ROUNDUP(((($E652*'Calculadora de preço'!$B$4)+($E652*#REF!))*100)/(100-'Calculadora de preço'!$B$5), -1)</f>
        <v>#REF!</v>
      </c>
    </row>
    <row r="653">
      <c r="A653" s="2" t="s">
        <v>2013</v>
      </c>
      <c r="B653" s="2" t="s">
        <v>2014</v>
      </c>
      <c r="D653" s="2">
        <v>23.99</v>
      </c>
      <c r="E653" s="130">
        <v>14.95</v>
      </c>
      <c r="F653" s="2" t="str">
        <f>ROUNDUP(((($E653*'Calculadora de preço'!$B$4)+($E653*#REF!))*100)/(100-'Calculadora de preço'!$B$5), -1)</f>
        <v>#REF!</v>
      </c>
    </row>
    <row r="654">
      <c r="A654" s="2" t="s">
        <v>2015</v>
      </c>
      <c r="B654" s="2" t="s">
        <v>2016</v>
      </c>
      <c r="D654" s="2">
        <v>23.99</v>
      </c>
      <c r="E654" s="130">
        <v>14.95</v>
      </c>
      <c r="F654" s="2" t="str">
        <f>ROUNDUP(((($E654*'Calculadora de preço'!$B$4)+($E654*#REF!))*100)/(100-'Calculadora de preço'!$B$5), -1)</f>
        <v>#REF!</v>
      </c>
    </row>
    <row r="655">
      <c r="A655" s="2" t="s">
        <v>2017</v>
      </c>
      <c r="B655" s="2" t="s">
        <v>2018</v>
      </c>
      <c r="D655" s="2">
        <v>14.0</v>
      </c>
      <c r="E655" s="130">
        <v>12.0</v>
      </c>
      <c r="F655" s="2" t="str">
        <f>ROUNDUP(((($E655*'Calculadora de preço'!$B$4)+($E655*#REF!))*100)/(100-'Calculadora de preço'!$B$5), -1)</f>
        <v>#REF!</v>
      </c>
    </row>
    <row r="656">
      <c r="A656" s="2" t="s">
        <v>2019</v>
      </c>
      <c r="B656" s="2" t="s">
        <v>2020</v>
      </c>
      <c r="D656" s="2">
        <v>8.0</v>
      </c>
      <c r="E656" s="130">
        <v>6.5</v>
      </c>
      <c r="F656" s="2" t="str">
        <f>ROUNDUP(((($E656*'Calculadora de preço'!$B$4)+($E656*#REF!))*100)/(100-'Calculadora de preço'!$B$5), -1)</f>
        <v>#REF!</v>
      </c>
    </row>
    <row r="657">
      <c r="A657" s="2" t="s">
        <v>2021</v>
      </c>
      <c r="B657" s="2" t="s">
        <v>2022</v>
      </c>
      <c r="D657" s="2">
        <v>15.0</v>
      </c>
      <c r="E657" s="130">
        <v>12.5</v>
      </c>
      <c r="F657" s="2" t="str">
        <f>ROUNDUP(((($E657*'Calculadora de preço'!$B$4)+($E657*#REF!))*100)/(100-'Calculadora de preço'!$B$5), -1)</f>
        <v>#REF!</v>
      </c>
    </row>
    <row r="658">
      <c r="A658" s="2" t="s">
        <v>2023</v>
      </c>
      <c r="B658" s="2" t="s">
        <v>2024</v>
      </c>
      <c r="D658" s="2">
        <v>14.0</v>
      </c>
      <c r="E658" s="130">
        <v>12.0</v>
      </c>
      <c r="F658" s="2" t="str">
        <f>ROUNDUP(((($E658*'Calculadora de preço'!$B$4)+($E658*#REF!))*100)/(100-'Calculadora de preço'!$B$5), -1)</f>
        <v>#REF!</v>
      </c>
    </row>
    <row r="659">
      <c r="A659" s="2" t="s">
        <v>2025</v>
      </c>
      <c r="B659" s="2" t="s">
        <v>2026</v>
      </c>
      <c r="D659" s="2">
        <v>16.0</v>
      </c>
      <c r="E659" s="130">
        <v>14.0</v>
      </c>
      <c r="F659" s="2" t="str">
        <f>ROUNDUP(((($E659*'Calculadora de preço'!$B$4)+($E659*#REF!))*100)/(100-'Calculadora de preço'!$B$5), -1)</f>
        <v>#REF!</v>
      </c>
    </row>
    <row r="660">
      <c r="A660" s="2" t="s">
        <v>2027</v>
      </c>
      <c r="B660" s="2" t="s">
        <v>2028</v>
      </c>
      <c r="D660" s="2">
        <v>8.0</v>
      </c>
      <c r="E660" s="130">
        <v>7.0</v>
      </c>
      <c r="F660" s="2" t="str">
        <f>ROUNDUP(((($E660*'Calculadora de preço'!$B$4)+($E660*#REF!))*100)/(100-'Calculadora de preço'!$B$5), -1)</f>
        <v>#REF!</v>
      </c>
    </row>
    <row r="661">
      <c r="A661" s="2" t="s">
        <v>2029</v>
      </c>
      <c r="B661" s="2" t="s">
        <v>2030</v>
      </c>
      <c r="D661" s="2">
        <v>8.0</v>
      </c>
      <c r="E661" s="130">
        <v>7.0</v>
      </c>
      <c r="F661" s="2" t="str">
        <f>ROUNDUP(((($E661*'Calculadora de preço'!$B$4)+($E661*#REF!))*100)/(100-'Calculadora de preço'!$B$5), -1)</f>
        <v>#REF!</v>
      </c>
    </row>
    <row r="662">
      <c r="A662" s="2" t="s">
        <v>2031</v>
      </c>
      <c r="B662" s="2" t="s">
        <v>2032</v>
      </c>
      <c r="D662" s="2">
        <v>8.0</v>
      </c>
      <c r="E662" s="130">
        <v>7.0</v>
      </c>
      <c r="F662" s="2" t="str">
        <f>ROUNDUP(((($E662*'Calculadora de preço'!$B$4)+($E662*#REF!))*100)/(100-'Calculadora de preço'!$B$5), -1)</f>
        <v>#REF!</v>
      </c>
    </row>
    <row r="663">
      <c r="A663" s="2" t="s">
        <v>2033</v>
      </c>
      <c r="B663" s="2" t="s">
        <v>2034</v>
      </c>
      <c r="D663" s="2">
        <v>7.0</v>
      </c>
      <c r="E663" s="130">
        <v>6.0</v>
      </c>
      <c r="F663" s="2" t="str">
        <f>ROUNDUP(((($E663*'Calculadora de preço'!$B$4)+($E663*#REF!))*100)/(100-'Calculadora de preço'!$B$5), -1)</f>
        <v>#REF!</v>
      </c>
    </row>
    <row r="664">
      <c r="A664" s="2" t="s">
        <v>2035</v>
      </c>
      <c r="B664" s="2" t="s">
        <v>2036</v>
      </c>
      <c r="D664" s="2">
        <v>13.0</v>
      </c>
      <c r="E664" s="130">
        <v>10.8</v>
      </c>
      <c r="F664" s="2" t="str">
        <f>ROUNDUP(((($E664*'Calculadora de preço'!$B$4)+($E664*#REF!))*100)/(100-'Calculadora de preço'!$B$5), -1)</f>
        <v>#REF!</v>
      </c>
    </row>
    <row r="665">
      <c r="A665" s="2" t="s">
        <v>2037</v>
      </c>
      <c r="B665" s="2" t="s">
        <v>2038</v>
      </c>
      <c r="D665" s="2">
        <v>8.0</v>
      </c>
      <c r="E665" s="130">
        <v>6.6</v>
      </c>
      <c r="F665" s="2" t="str">
        <f>ROUNDUP(((($E665*'Calculadora de preço'!$B$4)+($E665*#REF!))*100)/(100-'Calculadora de preço'!$B$5), -1)</f>
        <v>#REF!</v>
      </c>
    </row>
    <row r="666">
      <c r="A666" s="2" t="s">
        <v>2039</v>
      </c>
      <c r="B666" s="2" t="s">
        <v>2040</v>
      </c>
      <c r="D666" s="2">
        <v>23.99</v>
      </c>
      <c r="E666" s="130">
        <v>13.5</v>
      </c>
      <c r="F666" s="2" t="str">
        <f>ROUNDUP(((($E666*'Calculadora de preço'!$B$4)+($E666*#REF!))*100)/(100-'Calculadora de preço'!$B$5), -1)</f>
        <v>#REF!</v>
      </c>
      <c r="G666" s="1">
        <v>1.0</v>
      </c>
    </row>
    <row r="667">
      <c r="A667" s="2" t="s">
        <v>2041</v>
      </c>
      <c r="B667" s="2" t="s">
        <v>2042</v>
      </c>
      <c r="D667" s="2">
        <v>23.99</v>
      </c>
      <c r="E667" s="130">
        <v>13.5</v>
      </c>
      <c r="F667" s="2" t="str">
        <f>ROUNDUP(((($E667*'Calculadora de preço'!$B$4)+($E667*#REF!))*100)/(100-'Calculadora de preço'!$B$5), -1)</f>
        <v>#REF!</v>
      </c>
    </row>
    <row r="668">
      <c r="A668" s="2" t="s">
        <v>2043</v>
      </c>
      <c r="B668" s="2" t="s">
        <v>2044</v>
      </c>
      <c r="D668" s="2">
        <v>23.99</v>
      </c>
      <c r="E668" s="130">
        <v>0.01</v>
      </c>
      <c r="F668" s="2" t="str">
        <f>ROUNDUP(((($E668*'Calculadora de preço'!$B$4)+($E668*#REF!))*100)/(100-'Calculadora de preço'!$B$5), -1)</f>
        <v>#REF!</v>
      </c>
    </row>
    <row r="669">
      <c r="A669" s="2" t="s">
        <v>2045</v>
      </c>
      <c r="B669" s="2" t="s">
        <v>2046</v>
      </c>
      <c r="D669" s="2">
        <v>23.99</v>
      </c>
      <c r="E669" s="130">
        <v>13.5</v>
      </c>
      <c r="F669" s="2" t="str">
        <f>ROUNDUP(((($E669*'Calculadora de preço'!$B$4)+($E669*#REF!))*100)/(100-'Calculadora de preço'!$B$5), -1)</f>
        <v>#REF!</v>
      </c>
    </row>
    <row r="670">
      <c r="A670" s="2" t="s">
        <v>2047</v>
      </c>
      <c r="B670" s="2" t="s">
        <v>2048</v>
      </c>
      <c r="D670" s="2">
        <v>23.99</v>
      </c>
      <c r="E670" s="130">
        <v>13.5</v>
      </c>
      <c r="F670" s="2" t="str">
        <f>ROUNDUP(((($E670*'Calculadora de preço'!$B$4)+($E670*#REF!))*100)/(100-'Calculadora de preço'!$B$5), -1)</f>
        <v>#REF!</v>
      </c>
    </row>
    <row r="671">
      <c r="A671" s="2" t="s">
        <v>2049</v>
      </c>
      <c r="B671" s="2" t="s">
        <v>2050</v>
      </c>
      <c r="D671" s="2">
        <v>23.99</v>
      </c>
      <c r="E671" s="130">
        <v>13.5</v>
      </c>
      <c r="F671" s="2" t="str">
        <f>ROUNDUP(((($E671*'Calculadora de preço'!$B$4)+($E671*#REF!))*100)/(100-'Calculadora de preço'!$B$5), -1)</f>
        <v>#REF!</v>
      </c>
    </row>
    <row r="672">
      <c r="A672" s="2" t="s">
        <v>2051</v>
      </c>
      <c r="B672" s="2" t="s">
        <v>2052</v>
      </c>
      <c r="D672" s="2">
        <v>16.0</v>
      </c>
      <c r="E672" s="130">
        <v>12.6</v>
      </c>
      <c r="F672" s="2" t="str">
        <f>ROUNDUP(((($E672*'Calculadora de preço'!$B$4)+($E672*#REF!))*100)/(100-'Calculadora de preço'!$B$5), -1)</f>
        <v>#REF!</v>
      </c>
    </row>
    <row r="673">
      <c r="A673" s="2" t="s">
        <v>2053</v>
      </c>
      <c r="B673" s="2" t="s">
        <v>2054</v>
      </c>
      <c r="D673" s="2">
        <v>16.0</v>
      </c>
      <c r="E673" s="130">
        <v>12.6</v>
      </c>
      <c r="F673" s="2" t="str">
        <f>ROUNDUP(((($E673*'Calculadora de preço'!$B$4)+($E673*#REF!))*100)/(100-'Calculadora de preço'!$B$5), -1)</f>
        <v>#REF!</v>
      </c>
    </row>
    <row r="674">
      <c r="A674" s="2" t="s">
        <v>2055</v>
      </c>
      <c r="B674" s="2" t="s">
        <v>2056</v>
      </c>
      <c r="D674" s="2">
        <v>19.0</v>
      </c>
      <c r="E674" s="130">
        <v>15.6</v>
      </c>
      <c r="F674" s="2" t="str">
        <f>ROUNDUP(((($E674*'Calculadora de preço'!$B$4)+($E674*#REF!))*100)/(100-'Calculadora de preço'!$B$5), -1)</f>
        <v>#REF!</v>
      </c>
    </row>
    <row r="675">
      <c r="A675" s="2" t="s">
        <v>2057</v>
      </c>
      <c r="B675" s="2" t="s">
        <v>2058</v>
      </c>
      <c r="D675" s="2">
        <v>16.0</v>
      </c>
      <c r="E675" s="130">
        <v>12.6</v>
      </c>
      <c r="F675" s="2" t="str">
        <f>ROUNDUP(((($E675*'Calculadora de preço'!$B$4)+($E675*#REF!))*100)/(100-'Calculadora de preço'!$B$5), -1)</f>
        <v>#REF!</v>
      </c>
    </row>
    <row r="676">
      <c r="A676" s="2" t="s">
        <v>2059</v>
      </c>
      <c r="B676" s="2" t="s">
        <v>2060</v>
      </c>
      <c r="D676" s="2">
        <v>16.0</v>
      </c>
      <c r="E676" s="130">
        <v>12.6</v>
      </c>
      <c r="F676" s="2" t="str">
        <f>ROUNDUP(((($E676*'Calculadora de preço'!$B$4)+($E676*#REF!))*100)/(100-'Calculadora de preço'!$B$5), -1)</f>
        <v>#REF!</v>
      </c>
    </row>
    <row r="677">
      <c r="A677" s="2" t="s">
        <v>2061</v>
      </c>
      <c r="B677" s="2" t="s">
        <v>2062</v>
      </c>
      <c r="D677" s="2">
        <v>12.0</v>
      </c>
      <c r="E677" s="130">
        <v>9.8</v>
      </c>
      <c r="F677" s="2" t="str">
        <f>ROUNDUP(((($E677*'Calculadora de preço'!$B$4)+($E677*#REF!))*100)/(100-'Calculadora de preço'!$B$5), -1)</f>
        <v>#REF!</v>
      </c>
    </row>
    <row r="678">
      <c r="A678" s="2" t="s">
        <v>2063</v>
      </c>
      <c r="B678" s="2" t="s">
        <v>2064</v>
      </c>
      <c r="D678" s="2">
        <v>13.0</v>
      </c>
      <c r="E678" s="130">
        <v>10.8</v>
      </c>
      <c r="F678" s="2" t="str">
        <f>ROUNDUP(((($E678*'Calculadora de preço'!$B$4)+($E678*#REF!))*100)/(100-'Calculadora de preço'!$B$5), -1)</f>
        <v>#REF!</v>
      </c>
    </row>
    <row r="679">
      <c r="A679" s="2" t="s">
        <v>2065</v>
      </c>
      <c r="B679" s="2" t="s">
        <v>2066</v>
      </c>
      <c r="D679" s="2">
        <v>8.0</v>
      </c>
      <c r="E679" s="130">
        <v>6.6</v>
      </c>
      <c r="F679" s="2" t="str">
        <f>ROUNDUP(((($E679*'Calculadora de preço'!$B$4)+($E679*#REF!))*100)/(100-'Calculadora de preço'!$B$5), -1)</f>
        <v>#REF!</v>
      </c>
    </row>
    <row r="680">
      <c r="A680" s="2" t="s">
        <v>2067</v>
      </c>
      <c r="B680" s="2" t="s">
        <v>2068</v>
      </c>
      <c r="D680" s="2">
        <v>16.0</v>
      </c>
      <c r="E680" s="130">
        <v>14.0</v>
      </c>
      <c r="F680" s="2" t="str">
        <f>ROUNDUP(((($E680*'Calculadora de preço'!$B$4)+($E680*#REF!))*100)/(100-'Calculadora de preço'!$B$5), -1)</f>
        <v>#REF!</v>
      </c>
    </row>
    <row r="681">
      <c r="A681" s="2" t="s">
        <v>2069</v>
      </c>
      <c r="B681" s="2" t="s">
        <v>2070</v>
      </c>
      <c r="D681" s="2">
        <v>19.0</v>
      </c>
      <c r="E681" s="130">
        <v>15.6</v>
      </c>
      <c r="F681" s="2" t="str">
        <f>ROUNDUP(((($E681*'Calculadora de preço'!$B$4)+($E681*#REF!))*100)/(100-'Calculadora de preço'!$B$5), -1)</f>
        <v>#REF!</v>
      </c>
    </row>
    <row r="682">
      <c r="A682" s="2" t="s">
        <v>2071</v>
      </c>
      <c r="B682" s="2" t="s">
        <v>2072</v>
      </c>
      <c r="D682" s="2">
        <v>10.0</v>
      </c>
      <c r="E682" s="130">
        <v>9.87</v>
      </c>
      <c r="F682" s="2" t="str">
        <f>ROUNDUP(((($E682*'Calculadora de preço'!$B$4)+($E682*#REF!))*100)/(100-'Calculadora de preço'!$B$5), -1)</f>
        <v>#REF!</v>
      </c>
    </row>
    <row r="683">
      <c r="A683" s="2" t="s">
        <v>2073</v>
      </c>
      <c r="B683" s="2" t="s">
        <v>2074</v>
      </c>
      <c r="D683" s="2">
        <v>12.0</v>
      </c>
      <c r="E683" s="130">
        <v>9.87</v>
      </c>
      <c r="F683" s="2" t="str">
        <f>ROUNDUP(((($E683*'Calculadora de preço'!$B$4)+($E683*#REF!))*100)/(100-'Calculadora de preço'!$B$5), -1)</f>
        <v>#REF!</v>
      </c>
    </row>
    <row r="684">
      <c r="A684" s="2" t="s">
        <v>2075</v>
      </c>
      <c r="B684" s="2" t="s">
        <v>2076</v>
      </c>
      <c r="D684" s="2">
        <v>11.0</v>
      </c>
      <c r="E684" s="130">
        <v>9.87</v>
      </c>
      <c r="F684" s="2" t="str">
        <f>ROUNDUP(((($E684*'Calculadora de preço'!$B$4)+($E684*#REF!))*100)/(100-'Calculadora de preço'!$B$5), -1)</f>
        <v>#REF!</v>
      </c>
    </row>
    <row r="685">
      <c r="A685" s="2" t="s">
        <v>2077</v>
      </c>
      <c r="B685" s="2" t="s">
        <v>2078</v>
      </c>
      <c r="D685" s="2">
        <v>39.9</v>
      </c>
      <c r="E685" s="130">
        <v>20.4</v>
      </c>
      <c r="F685" s="2" t="str">
        <f>ROUNDUP(((($E685*'Calculadora de preço'!$B$4)+($E685*#REF!))*100)/(100-'Calculadora de preço'!$B$5), -1)</f>
        <v>#REF!</v>
      </c>
    </row>
    <row r="686">
      <c r="A686" s="2" t="s">
        <v>2079</v>
      </c>
      <c r="B686" s="2" t="s">
        <v>2080</v>
      </c>
      <c r="D686" s="2">
        <v>99.9</v>
      </c>
      <c r="E686" s="130">
        <v>54.0</v>
      </c>
      <c r="F686" s="2" t="str">
        <f>ROUNDUP(((($E686*'Calculadora de preço'!$B$4)+($E686*#REF!))*100)/(100-'Calculadora de preço'!$B$5), -1)</f>
        <v>#REF!</v>
      </c>
    </row>
    <row r="687">
      <c r="A687" s="2" t="s">
        <v>2081</v>
      </c>
      <c r="B687" s="2" t="s">
        <v>2082</v>
      </c>
      <c r="D687" s="2">
        <v>109.99</v>
      </c>
      <c r="E687" s="130">
        <v>50.78</v>
      </c>
      <c r="F687" s="2" t="str">
        <f>ROUNDUP(((($E687*'Calculadora de preço'!$B$4)+($E687*#REF!))*100)/(100-'Calculadora de preço'!$B$5), -1)</f>
        <v>#REF!</v>
      </c>
    </row>
    <row r="688">
      <c r="A688" s="2" t="s">
        <v>2083</v>
      </c>
      <c r="B688" s="2" t="s">
        <v>2084</v>
      </c>
      <c r="D688" s="2">
        <v>89.9</v>
      </c>
      <c r="E688" s="130">
        <v>48.0</v>
      </c>
      <c r="F688" s="2" t="str">
        <f>ROUNDUP(((($E688*'Calculadora de preço'!$B$4)+($E688*#REF!))*100)/(100-'Calculadora de preço'!$B$5), -1)</f>
        <v>#REF!</v>
      </c>
    </row>
    <row r="689">
      <c r="A689" s="2" t="s">
        <v>2085</v>
      </c>
      <c r="B689" s="2" t="s">
        <v>2086</v>
      </c>
      <c r="D689" s="2">
        <v>69.9</v>
      </c>
      <c r="E689" s="130">
        <v>39.0</v>
      </c>
      <c r="F689" s="2" t="str">
        <f>ROUNDUP(((($E689*'Calculadora de preço'!$B$4)+($E689*#REF!))*100)/(100-'Calculadora de preço'!$B$5), -1)</f>
        <v>#REF!</v>
      </c>
    </row>
    <row r="690">
      <c r="A690" s="2" t="s">
        <v>2087</v>
      </c>
      <c r="B690" s="2" t="s">
        <v>2088</v>
      </c>
      <c r="D690" s="2">
        <v>15.9</v>
      </c>
      <c r="E690" s="130">
        <v>7.92</v>
      </c>
      <c r="F690" s="2" t="str">
        <f>ROUNDUP(((($E690*'Calculadora de preço'!$B$4)+($E690*#REF!))*100)/(100-'Calculadora de preço'!$B$5), -1)</f>
        <v>#REF!</v>
      </c>
    </row>
    <row r="691">
      <c r="A691" s="2" t="s">
        <v>2089</v>
      </c>
      <c r="B691" s="2" t="s">
        <v>1309</v>
      </c>
      <c r="D691" s="2">
        <v>239.9</v>
      </c>
      <c r="E691" s="130">
        <v>99.9</v>
      </c>
      <c r="F691" s="2" t="str">
        <f>ROUNDUP(((($E691*'Calculadora de preço'!$B$4)+($E691*#REF!))*100)/(100-'Calculadora de preço'!$B$5), -1)</f>
        <v>#REF!</v>
      </c>
      <c r="G691" s="1">
        <v>1.0</v>
      </c>
    </row>
    <row r="692">
      <c r="A692" s="2" t="s">
        <v>2090</v>
      </c>
      <c r="B692" s="2" t="s">
        <v>2091</v>
      </c>
      <c r="D692" s="2">
        <v>59.9</v>
      </c>
      <c r="E692" s="130">
        <v>25.0</v>
      </c>
      <c r="F692" s="2" t="str">
        <f>ROUNDUP(((($E692*'Calculadora de preço'!$B$4)+($E692*#REF!))*100)/(100-'Calculadora de preço'!$B$5), -1)</f>
        <v>#REF!</v>
      </c>
    </row>
    <row r="693">
      <c r="A693" s="2" t="s">
        <v>2092</v>
      </c>
      <c r="B693" s="2" t="s">
        <v>2093</v>
      </c>
      <c r="D693" s="2">
        <v>2.5</v>
      </c>
      <c r="E693" s="130">
        <v>1.25</v>
      </c>
      <c r="F693" s="2" t="str">
        <f>ROUNDUP(((($E693*'Calculadora de preço'!$B$4)+($E693*#REF!))*100)/(100-'Calculadora de preço'!$B$5), -1)</f>
        <v>#REF!</v>
      </c>
    </row>
    <row r="694">
      <c r="A694" s="2" t="s">
        <v>2094</v>
      </c>
      <c r="B694" s="2" t="s">
        <v>2095</v>
      </c>
      <c r="D694" s="2">
        <v>105.9</v>
      </c>
      <c r="E694" s="130">
        <v>44.3</v>
      </c>
      <c r="F694" s="2" t="str">
        <f>ROUNDUP(((($E694*'Calculadora de preço'!$B$4)+($E694*#REF!))*100)/(100-'Calculadora de preço'!$B$5), -1)</f>
        <v>#REF!</v>
      </c>
    </row>
    <row r="695">
      <c r="A695" s="2" t="s">
        <v>2096</v>
      </c>
      <c r="B695" s="2" t="s">
        <v>2095</v>
      </c>
      <c r="D695" s="2">
        <v>49.9</v>
      </c>
      <c r="E695" s="130">
        <v>20.3</v>
      </c>
      <c r="F695" s="2" t="str">
        <f>ROUNDUP(((($E695*'Calculadora de preço'!$B$4)+($E695*#REF!))*100)/(100-'Calculadora de preço'!$B$5), -1)</f>
        <v>#REF!</v>
      </c>
    </row>
    <row r="696">
      <c r="A696" s="2" t="s">
        <v>2097</v>
      </c>
      <c r="B696" s="2" t="s">
        <v>2095</v>
      </c>
      <c r="D696" s="2">
        <v>49.9</v>
      </c>
      <c r="E696" s="130">
        <v>20.3</v>
      </c>
      <c r="F696" s="2" t="str">
        <f>ROUNDUP(((($E696*'Calculadora de preço'!$B$4)+($E696*#REF!))*100)/(100-'Calculadora de preço'!$B$5), -1)</f>
        <v>#REF!</v>
      </c>
    </row>
    <row r="697">
      <c r="A697" s="2" t="s">
        <v>2098</v>
      </c>
      <c r="B697" s="2" t="s">
        <v>2099</v>
      </c>
      <c r="D697" s="2">
        <v>199.9</v>
      </c>
      <c r="E697" s="130">
        <v>132.0</v>
      </c>
      <c r="F697" s="2" t="str">
        <f>ROUNDUP(((($E697*'Calculadora de preço'!$B$4)+($E697*#REF!))*100)/(100-'Calculadora de preço'!$B$5), -1)</f>
        <v>#REF!</v>
      </c>
    </row>
    <row r="698">
      <c r="A698" s="2" t="s">
        <v>2100</v>
      </c>
      <c r="B698" s="2" t="s">
        <v>2101</v>
      </c>
      <c r="D698" s="2">
        <v>199.9</v>
      </c>
      <c r="E698" s="130">
        <v>132.0</v>
      </c>
      <c r="F698" s="2" t="str">
        <f>ROUNDUP(((($E698*'Calculadora de preço'!$B$4)+($E698*#REF!))*100)/(100-'Calculadora de preço'!$B$5), -1)</f>
        <v>#REF!</v>
      </c>
    </row>
    <row r="699">
      <c r="A699" s="2" t="s">
        <v>2102</v>
      </c>
      <c r="B699" s="2" t="s">
        <v>2103</v>
      </c>
      <c r="D699" s="2">
        <v>199.9</v>
      </c>
      <c r="E699" s="130">
        <v>132.0</v>
      </c>
      <c r="F699" s="2" t="str">
        <f>ROUNDUP(((($E699*'Calculadora de preço'!$B$4)+($E699*#REF!))*100)/(100-'Calculadora de preço'!$B$5), -1)</f>
        <v>#REF!</v>
      </c>
    </row>
    <row r="700">
      <c r="A700" s="2" t="s">
        <v>2104</v>
      </c>
      <c r="B700" s="2" t="s">
        <v>2105</v>
      </c>
      <c r="D700" s="2">
        <v>39.99</v>
      </c>
      <c r="E700" s="130">
        <v>18.0</v>
      </c>
      <c r="F700" s="2" t="str">
        <f>ROUNDUP(((($E700*'Calculadora de preço'!$B$4)+($E700*#REF!))*100)/(100-'Calculadora de preço'!$B$5), -1)</f>
        <v>#REF!</v>
      </c>
    </row>
    <row r="701">
      <c r="A701" s="2" t="s">
        <v>2106</v>
      </c>
      <c r="B701" s="2" t="s">
        <v>2107</v>
      </c>
      <c r="D701" s="2">
        <v>59.99</v>
      </c>
      <c r="E701" s="130">
        <v>21.0</v>
      </c>
      <c r="F701" s="2" t="str">
        <f>ROUNDUP(((($E701*'Calculadora de preço'!$B$4)+($E701*#REF!))*100)/(100-'Calculadora de preço'!$B$5), -1)</f>
        <v>#REF!</v>
      </c>
    </row>
    <row r="702">
      <c r="A702" s="2" t="s">
        <v>2108</v>
      </c>
      <c r="B702" s="2" t="s">
        <v>2109</v>
      </c>
      <c r="D702" s="2">
        <v>29.99</v>
      </c>
      <c r="E702" s="130">
        <v>12.0</v>
      </c>
      <c r="F702" s="2" t="str">
        <f>ROUNDUP(((($E702*'Calculadora de preço'!$B$4)+($E702*#REF!))*100)/(100-'Calculadora de preço'!$B$5), -1)</f>
        <v>#REF!</v>
      </c>
    </row>
    <row r="703">
      <c r="A703" s="2" t="s">
        <v>2110</v>
      </c>
      <c r="B703" s="2" t="s">
        <v>2111</v>
      </c>
      <c r="D703" s="2">
        <v>29.99</v>
      </c>
      <c r="E703" s="130">
        <v>12.0</v>
      </c>
      <c r="F703" s="2" t="str">
        <f>ROUNDUP(((($E703*'Calculadora de preço'!$B$4)+($E703*#REF!))*100)/(100-'Calculadora de preço'!$B$5), -1)</f>
        <v>#REF!</v>
      </c>
    </row>
    <row r="704">
      <c r="A704" s="2" t="s">
        <v>2112</v>
      </c>
      <c r="B704" s="2" t="s">
        <v>2113</v>
      </c>
      <c r="D704" s="2">
        <v>29.99</v>
      </c>
      <c r="E704" s="130">
        <v>12.0</v>
      </c>
      <c r="F704" s="2" t="str">
        <f>ROUNDUP(((($E704*'Calculadora de preço'!$B$4)+($E704*#REF!))*100)/(100-'Calculadora de preço'!$B$5), -1)</f>
        <v>#REF!</v>
      </c>
    </row>
    <row r="705">
      <c r="A705" s="2" t="s">
        <v>2114</v>
      </c>
      <c r="B705" s="2" t="s">
        <v>2115</v>
      </c>
      <c r="D705" s="2">
        <v>59.99</v>
      </c>
      <c r="E705" s="130">
        <v>19.0</v>
      </c>
      <c r="F705" s="2" t="str">
        <f>ROUNDUP(((($E705*'Calculadora de preço'!$B$4)+($E705*#REF!))*100)/(100-'Calculadora de preço'!$B$5), -1)</f>
        <v>#REF!</v>
      </c>
    </row>
    <row r="706">
      <c r="A706" s="2" t="s">
        <v>2116</v>
      </c>
      <c r="B706" s="2" t="s">
        <v>2117</v>
      </c>
      <c r="D706" s="2">
        <v>99.99</v>
      </c>
      <c r="E706" s="130">
        <v>46.14</v>
      </c>
      <c r="F706" s="2" t="str">
        <f>ROUNDUP(((($E706*'Calculadora de preço'!$B$4)+($E706*#REF!))*100)/(100-'Calculadora de preço'!$B$5), -1)</f>
        <v>#REF!</v>
      </c>
    </row>
    <row r="707">
      <c r="A707" s="2" t="s">
        <v>2118</v>
      </c>
      <c r="B707" s="2" t="s">
        <v>2119</v>
      </c>
      <c r="D707" s="2">
        <v>99.99</v>
      </c>
      <c r="E707" s="130">
        <v>46.14</v>
      </c>
      <c r="F707" s="2" t="str">
        <f>ROUNDUP(((($E707*'Calculadora de preço'!$B$4)+($E707*#REF!))*100)/(100-'Calculadora de preço'!$B$5), -1)</f>
        <v>#REF!</v>
      </c>
    </row>
    <row r="708">
      <c r="A708" s="2" t="s">
        <v>2120</v>
      </c>
      <c r="B708" s="2" t="s">
        <v>2121</v>
      </c>
      <c r="D708" s="2">
        <v>89.9</v>
      </c>
      <c r="E708" s="130">
        <v>48.9</v>
      </c>
      <c r="F708" s="2" t="str">
        <f>ROUNDUP(((($E708*'Calculadora de preço'!$B$4)+($E708*#REF!))*100)/(100-'Calculadora de preço'!$B$5), -1)</f>
        <v>#REF!</v>
      </c>
    </row>
    <row r="709">
      <c r="A709" s="2" t="s">
        <v>2122</v>
      </c>
      <c r="B709" s="2" t="s">
        <v>2123</v>
      </c>
      <c r="D709" s="2">
        <v>89.9</v>
      </c>
      <c r="E709" s="130">
        <v>51.66</v>
      </c>
      <c r="F709" s="2" t="str">
        <f>ROUNDUP(((($E709*'Calculadora de preço'!$B$4)+($E709*#REF!))*100)/(100-'Calculadora de preço'!$B$5), -1)</f>
        <v>#REF!</v>
      </c>
    </row>
    <row r="710">
      <c r="A710" s="2" t="s">
        <v>2124</v>
      </c>
      <c r="B710" s="2" t="s">
        <v>2125</v>
      </c>
      <c r="D710" s="2">
        <v>89.9</v>
      </c>
      <c r="E710" s="130">
        <v>51.64</v>
      </c>
      <c r="F710" s="2" t="str">
        <f>ROUNDUP(((($E710*'Calculadora de preço'!$B$4)+($E710*#REF!))*100)/(100-'Calculadora de preço'!$B$5), -1)</f>
        <v>#REF!</v>
      </c>
    </row>
    <row r="711">
      <c r="A711" s="2" t="s">
        <v>2126</v>
      </c>
      <c r="B711" s="2" t="s">
        <v>2127</v>
      </c>
      <c r="D711" s="2">
        <v>89.9</v>
      </c>
      <c r="E711" s="130">
        <v>48.9</v>
      </c>
      <c r="F711" s="2" t="str">
        <f>ROUNDUP(((($E711*'Calculadora de preço'!$B$4)+($E711*#REF!))*100)/(100-'Calculadora de preço'!$B$5), -1)</f>
        <v>#REF!</v>
      </c>
    </row>
    <row r="712">
      <c r="A712" s="2" t="s">
        <v>2128</v>
      </c>
      <c r="B712" s="2" t="s">
        <v>2129</v>
      </c>
      <c r="D712" s="2">
        <v>89.9</v>
      </c>
      <c r="E712" s="130">
        <v>51.64</v>
      </c>
      <c r="F712" s="2" t="str">
        <f>ROUNDUP(((($E712*'Calculadora de preço'!$B$4)+($E712*#REF!))*100)/(100-'Calculadora de preço'!$B$5), -1)</f>
        <v>#REF!</v>
      </c>
    </row>
    <row r="713">
      <c r="A713" s="2" t="s">
        <v>2130</v>
      </c>
      <c r="B713" s="2" t="s">
        <v>2131</v>
      </c>
      <c r="C713" s="2" t="s">
        <v>2132</v>
      </c>
      <c r="D713" s="2">
        <v>89.9</v>
      </c>
      <c r="E713" s="130">
        <v>36.42</v>
      </c>
      <c r="F713" s="2" t="str">
        <f>ROUNDUP(((($E713*'Calculadora de preço'!$B$4)+($E713*#REF!))*100)/(100-'Calculadora de preço'!$B$5), -1)</f>
        <v>#REF!</v>
      </c>
    </row>
    <row r="714">
      <c r="A714" s="2" t="s">
        <v>2133</v>
      </c>
      <c r="B714" s="2" t="s">
        <v>2134</v>
      </c>
      <c r="C714" s="2" t="s">
        <v>2135</v>
      </c>
      <c r="D714" s="2">
        <v>89.9</v>
      </c>
      <c r="E714" s="130">
        <v>36.42</v>
      </c>
      <c r="F714" s="2" t="str">
        <f>ROUNDUP(((($E714*'Calculadora de preço'!$B$4)+($E714*#REF!))*100)/(100-'Calculadora de preço'!$B$5), -1)</f>
        <v>#REF!</v>
      </c>
    </row>
    <row r="715">
      <c r="A715" s="2" t="s">
        <v>2136</v>
      </c>
      <c r="B715" s="2" t="s">
        <v>2137</v>
      </c>
      <c r="C715" s="2" t="s">
        <v>2138</v>
      </c>
      <c r="D715" s="2">
        <v>89.9</v>
      </c>
      <c r="E715" s="130">
        <v>36.42</v>
      </c>
      <c r="F715" s="2" t="str">
        <f>ROUNDUP(((($E715*'Calculadora de preço'!$B$4)+($E715*#REF!))*100)/(100-'Calculadora de preço'!$B$5), -1)</f>
        <v>#REF!</v>
      </c>
    </row>
    <row r="716">
      <c r="A716" s="2" t="s">
        <v>2139</v>
      </c>
      <c r="B716" s="2" t="s">
        <v>2140</v>
      </c>
      <c r="C716" s="2" t="s">
        <v>2141</v>
      </c>
      <c r="D716" s="2">
        <v>89.9</v>
      </c>
      <c r="E716" s="130">
        <v>36.42</v>
      </c>
      <c r="F716" s="2" t="str">
        <f>ROUNDUP(((($E716*'Calculadora de preço'!$B$4)+($E716*#REF!))*100)/(100-'Calculadora de preço'!$B$5), -1)</f>
        <v>#REF!</v>
      </c>
    </row>
    <row r="717">
      <c r="A717" s="2" t="s">
        <v>2142</v>
      </c>
      <c r="B717" s="2" t="s">
        <v>2143</v>
      </c>
      <c r="D717" s="2">
        <v>219.9</v>
      </c>
      <c r="E717" s="130">
        <v>87.79</v>
      </c>
      <c r="F717" s="2" t="str">
        <f>ROUNDUP(((($E717*'Calculadora de preço'!$B$4)+($E717*#REF!))*100)/(100-'Calculadora de preço'!$B$5), -1)</f>
        <v>#REF!</v>
      </c>
    </row>
    <row r="718">
      <c r="A718" s="2" t="s">
        <v>2144</v>
      </c>
      <c r="B718" s="2" t="s">
        <v>2145</v>
      </c>
      <c r="D718" s="2">
        <v>189.9</v>
      </c>
      <c r="E718" s="130">
        <v>76.95</v>
      </c>
      <c r="F718" s="2" t="str">
        <f>ROUNDUP(((($E718*'Calculadora de preço'!$B$4)+($E718*#REF!))*100)/(100-'Calculadora de preço'!$B$5), -1)</f>
        <v>#REF!</v>
      </c>
    </row>
    <row r="719">
      <c r="A719" s="2" t="s">
        <v>2146</v>
      </c>
      <c r="B719" s="2" t="s">
        <v>2147</v>
      </c>
      <c r="D719" s="2">
        <v>49.9</v>
      </c>
      <c r="E719" s="130">
        <v>15.98</v>
      </c>
      <c r="F719" s="2" t="str">
        <f>ROUNDUP(((($E719*'Calculadora de preço'!$B$4)+($E719*#REF!))*100)/(100-'Calculadora de preço'!$B$5), -1)</f>
        <v>#REF!</v>
      </c>
    </row>
    <row r="720">
      <c r="A720" s="2" t="s">
        <v>2148</v>
      </c>
      <c r="B720" s="2" t="s">
        <v>2149</v>
      </c>
      <c r="D720" s="2">
        <v>149.9</v>
      </c>
      <c r="E720" s="130">
        <v>64.0</v>
      </c>
      <c r="F720" s="2" t="str">
        <f>ROUNDUP(((($E720*'Calculadora de preço'!$B$4)+($E720*#REF!))*100)/(100-'Calculadora de preço'!$B$5), -1)</f>
        <v>#REF!</v>
      </c>
    </row>
    <row r="721">
      <c r="A721" s="2" t="s">
        <v>2150</v>
      </c>
      <c r="B721" s="2" t="s">
        <v>2151</v>
      </c>
      <c r="D721" s="2">
        <v>179.9</v>
      </c>
      <c r="E721" s="130">
        <v>76.0</v>
      </c>
      <c r="F721" s="2" t="str">
        <f>ROUNDUP(((($E721*'Calculadora de preço'!$B$4)+($E721*#REF!))*100)/(100-'Calculadora de preço'!$B$5), -1)</f>
        <v>#REF!</v>
      </c>
    </row>
    <row r="722">
      <c r="A722" s="2" t="s">
        <v>2152</v>
      </c>
      <c r="B722" s="2" t="s">
        <v>2153</v>
      </c>
      <c r="D722" s="2">
        <v>179.9</v>
      </c>
      <c r="E722" s="130">
        <v>76.0</v>
      </c>
      <c r="F722" s="2" t="str">
        <f>ROUNDUP(((($E722*'Calculadora de preço'!$B$4)+($E722*#REF!))*100)/(100-'Calculadora de preço'!$B$5), -1)</f>
        <v>#REF!</v>
      </c>
    </row>
    <row r="723">
      <c r="A723" s="2" t="s">
        <v>2154</v>
      </c>
      <c r="B723" s="2" t="s">
        <v>2155</v>
      </c>
      <c r="D723" s="2">
        <v>159.9</v>
      </c>
      <c r="E723" s="130">
        <v>68.0</v>
      </c>
      <c r="F723" s="2" t="str">
        <f>ROUNDUP(((($E723*'Calculadora de preço'!$B$4)+($E723*#REF!))*100)/(100-'Calculadora de preço'!$B$5), -1)</f>
        <v>#REF!</v>
      </c>
    </row>
    <row r="724">
      <c r="A724" s="2" t="s">
        <v>2156</v>
      </c>
      <c r="B724" s="2" t="s">
        <v>2157</v>
      </c>
      <c r="D724" s="2">
        <v>109.9</v>
      </c>
      <c r="E724" s="130">
        <v>46.0</v>
      </c>
      <c r="F724" s="2" t="str">
        <f>ROUNDUP(((($E724*'Calculadora de preço'!$B$4)+($E724*#REF!))*100)/(100-'Calculadora de preço'!$B$5), -1)</f>
        <v>#REF!</v>
      </c>
    </row>
    <row r="725">
      <c r="A725" s="2" t="s">
        <v>2158</v>
      </c>
      <c r="B725" s="2" t="s">
        <v>2159</v>
      </c>
      <c r="D725" s="2">
        <v>239.9</v>
      </c>
      <c r="E725" s="130">
        <v>116.53</v>
      </c>
      <c r="F725" s="2" t="str">
        <f>ROUNDUP(((($E725*'Calculadora de preço'!$B$4)+($E725*#REF!))*100)/(100-'Calculadora de preço'!$B$5), -1)</f>
        <v>#REF!</v>
      </c>
      <c r="G725" s="1">
        <v>1.0</v>
      </c>
    </row>
    <row r="726">
      <c r="A726" s="2" t="s">
        <v>2160</v>
      </c>
      <c r="B726" s="2" t="s">
        <v>2159</v>
      </c>
      <c r="D726" s="2">
        <v>189.9</v>
      </c>
      <c r="E726" s="130">
        <v>117.01</v>
      </c>
      <c r="F726" s="2" t="str">
        <f>ROUNDUP(((($E726*'Calculadora de preço'!$B$4)+($E726*#REF!))*100)/(100-'Calculadora de preço'!$B$5), -1)</f>
        <v>#REF!</v>
      </c>
    </row>
    <row r="727">
      <c r="A727" s="2" t="s">
        <v>2161</v>
      </c>
      <c r="B727" s="2" t="s">
        <v>2162</v>
      </c>
      <c r="D727" s="2">
        <v>239.9</v>
      </c>
      <c r="E727" s="130">
        <v>116.53</v>
      </c>
      <c r="F727" s="2" t="str">
        <f>ROUNDUP(((($E727*'Calculadora de preço'!$B$4)+($E727*#REF!))*100)/(100-'Calculadora de preço'!$B$5), -1)</f>
        <v>#REF!</v>
      </c>
    </row>
    <row r="728">
      <c r="A728" s="2" t="s">
        <v>2163</v>
      </c>
      <c r="B728" s="2" t="s">
        <v>2162</v>
      </c>
      <c r="D728" s="2">
        <v>239.9</v>
      </c>
      <c r="E728" s="130">
        <v>116.53</v>
      </c>
      <c r="F728" s="2" t="str">
        <f>ROUNDUP(((($E728*'Calculadora de preço'!$B$4)+($E728*#REF!))*100)/(100-'Calculadora de preço'!$B$5), -1)</f>
        <v>#REF!</v>
      </c>
    </row>
    <row r="729">
      <c r="A729" s="2" t="s">
        <v>2164</v>
      </c>
      <c r="B729" s="2" t="s">
        <v>2165</v>
      </c>
      <c r="D729" s="2">
        <v>239.9</v>
      </c>
      <c r="E729" s="130">
        <v>116.53</v>
      </c>
      <c r="F729" s="2" t="str">
        <f>ROUNDUP(((($E729*'Calculadora de preço'!$B$4)+($E729*#REF!))*100)/(100-'Calculadora de preço'!$B$5), -1)</f>
        <v>#REF!</v>
      </c>
    </row>
    <row r="730">
      <c r="A730" s="2" t="s">
        <v>2166</v>
      </c>
      <c r="B730" s="2" t="s">
        <v>2165</v>
      </c>
      <c r="D730" s="2">
        <v>239.9</v>
      </c>
      <c r="E730" s="130">
        <v>116.53</v>
      </c>
      <c r="F730" s="2" t="str">
        <f>ROUNDUP(((($E730*'Calculadora de preço'!$B$4)+($E730*#REF!))*100)/(100-'Calculadora de preço'!$B$5), -1)</f>
        <v>#REF!</v>
      </c>
    </row>
    <row r="731">
      <c r="A731" s="2" t="s">
        <v>2167</v>
      </c>
      <c r="B731" s="2" t="s">
        <v>2168</v>
      </c>
      <c r="D731" s="2">
        <v>239.9</v>
      </c>
      <c r="E731" s="130">
        <v>116.53</v>
      </c>
      <c r="F731" s="2" t="str">
        <f>ROUNDUP(((($E731*'Calculadora de preço'!$B$4)+($E731*#REF!))*100)/(100-'Calculadora de preço'!$B$5), -1)</f>
        <v>#REF!</v>
      </c>
    </row>
    <row r="732">
      <c r="A732" s="2" t="s">
        <v>2169</v>
      </c>
      <c r="B732" s="2" t="s">
        <v>2168</v>
      </c>
      <c r="D732" s="2">
        <v>239.9</v>
      </c>
      <c r="E732" s="130">
        <v>116.61</v>
      </c>
      <c r="F732" s="2" t="str">
        <f>ROUNDUP(((($E732*'Calculadora de preço'!$B$4)+($E732*#REF!))*100)/(100-'Calculadora de preço'!$B$5), -1)</f>
        <v>#REF!</v>
      </c>
    </row>
    <row r="733">
      <c r="A733" s="2" t="s">
        <v>2170</v>
      </c>
      <c r="B733" s="2" t="s">
        <v>2171</v>
      </c>
      <c r="D733" s="2">
        <v>239.9</v>
      </c>
      <c r="E733" s="130">
        <v>116.53</v>
      </c>
      <c r="F733" s="2" t="str">
        <f>ROUNDUP(((($E733*'Calculadora de preço'!$B$4)+($E733*#REF!))*100)/(100-'Calculadora de preço'!$B$5), -1)</f>
        <v>#REF!</v>
      </c>
    </row>
    <row r="734">
      <c r="A734" s="2" t="s">
        <v>2172</v>
      </c>
      <c r="B734" s="2" t="s">
        <v>2173</v>
      </c>
      <c r="D734" s="2">
        <v>189.9</v>
      </c>
      <c r="E734" s="130">
        <v>117.01</v>
      </c>
      <c r="F734" s="2" t="str">
        <f>ROUNDUP(((($E734*'Calculadora de preço'!$B$4)+($E734*#REF!))*100)/(100-'Calculadora de preço'!$B$5), -1)</f>
        <v>#REF!</v>
      </c>
    </row>
    <row r="735">
      <c r="A735" s="2" t="s">
        <v>2174</v>
      </c>
      <c r="B735" s="2" t="s">
        <v>2173</v>
      </c>
      <c r="D735" s="2">
        <v>239.9</v>
      </c>
      <c r="E735" s="130">
        <v>116.53</v>
      </c>
      <c r="F735" s="2" t="str">
        <f>ROUNDUP(((($E735*'Calculadora de preço'!$B$4)+($E735*#REF!))*100)/(100-'Calculadora de preço'!$B$5), -1)</f>
        <v>#REF!</v>
      </c>
    </row>
    <row r="736">
      <c r="A736" s="2" t="s">
        <v>2175</v>
      </c>
      <c r="B736" s="2" t="s">
        <v>2176</v>
      </c>
      <c r="D736" s="2">
        <v>239.9</v>
      </c>
      <c r="E736" s="130">
        <v>116.53</v>
      </c>
      <c r="F736" s="2" t="str">
        <f>ROUNDUP(((($E736*'Calculadora de preço'!$B$4)+($E736*#REF!))*100)/(100-'Calculadora de preço'!$B$5), -1)</f>
        <v>#REF!</v>
      </c>
    </row>
    <row r="737">
      <c r="A737" s="2" t="s">
        <v>2177</v>
      </c>
      <c r="B737" s="2" t="s">
        <v>2176</v>
      </c>
      <c r="D737" s="2">
        <v>239.9</v>
      </c>
      <c r="E737" s="130">
        <v>116.53</v>
      </c>
      <c r="F737" s="2" t="str">
        <f>ROUNDUP(((($E737*'Calculadora de preço'!$B$4)+($E737*#REF!))*100)/(100-'Calculadora de preço'!$B$5), -1)</f>
        <v>#REF!</v>
      </c>
    </row>
    <row r="738">
      <c r="A738" s="2" t="s">
        <v>2178</v>
      </c>
      <c r="B738" s="2" t="s">
        <v>2179</v>
      </c>
      <c r="D738" s="2">
        <v>239.9</v>
      </c>
      <c r="E738" s="130">
        <v>116.53</v>
      </c>
      <c r="F738" s="2" t="str">
        <f>ROUNDUP(((($E738*'Calculadora de preço'!$B$4)+($E738*#REF!))*100)/(100-'Calculadora de preço'!$B$5), -1)</f>
        <v>#REF!</v>
      </c>
    </row>
    <row r="739">
      <c r="A739" s="2" t="s">
        <v>2180</v>
      </c>
      <c r="B739" s="2" t="s">
        <v>2179</v>
      </c>
      <c r="D739" s="2">
        <v>239.9</v>
      </c>
      <c r="E739" s="130">
        <v>116.53</v>
      </c>
      <c r="F739" s="2" t="str">
        <f>ROUNDUP(((($E739*'Calculadora de preço'!$B$4)+($E739*#REF!))*100)/(100-'Calculadora de preço'!$B$5), -1)</f>
        <v>#REF!</v>
      </c>
    </row>
    <row r="740">
      <c r="A740" s="2" t="s">
        <v>2181</v>
      </c>
      <c r="B740" s="2" t="s">
        <v>2179</v>
      </c>
      <c r="D740" s="2">
        <v>239.9</v>
      </c>
      <c r="E740" s="130">
        <v>116.53</v>
      </c>
      <c r="F740" s="2" t="str">
        <f>ROUNDUP(((($E740*'Calculadora de preço'!$B$4)+($E740*#REF!))*100)/(100-'Calculadora de preço'!$B$5), -1)</f>
        <v>#REF!</v>
      </c>
    </row>
    <row r="741">
      <c r="A741" s="2" t="s">
        <v>2182</v>
      </c>
      <c r="B741" s="2" t="s">
        <v>2183</v>
      </c>
      <c r="D741" s="2">
        <v>189.9</v>
      </c>
      <c r="E741" s="130">
        <v>118.45</v>
      </c>
      <c r="F741" s="2" t="str">
        <f>ROUNDUP(((($E741*'Calculadora de preço'!$B$4)+($E741*#REF!))*100)/(100-'Calculadora de preço'!$B$5), -1)</f>
        <v>#REF!</v>
      </c>
    </row>
    <row r="742">
      <c r="A742" s="2" t="s">
        <v>2184</v>
      </c>
      <c r="B742" s="2" t="s">
        <v>2185</v>
      </c>
      <c r="D742" s="2">
        <v>189.9</v>
      </c>
      <c r="E742" s="130">
        <v>118.45</v>
      </c>
      <c r="F742" s="2" t="str">
        <f>ROUNDUP(((($E742*'Calculadora de preço'!$B$4)+($E742*#REF!))*100)/(100-'Calculadora de preço'!$B$5), -1)</f>
        <v>#REF!</v>
      </c>
    </row>
    <row r="743">
      <c r="A743" s="2" t="s">
        <v>2186</v>
      </c>
      <c r="B743" s="2" t="s">
        <v>2187</v>
      </c>
      <c r="D743" s="2">
        <v>189.9</v>
      </c>
      <c r="E743" s="130">
        <v>118.45</v>
      </c>
      <c r="F743" s="2" t="str">
        <f>ROUNDUP(((($E743*'Calculadora de preço'!$B$4)+($E743*#REF!))*100)/(100-'Calculadora de preço'!$B$5), -1)</f>
        <v>#REF!</v>
      </c>
    </row>
    <row r="744">
      <c r="A744" s="2" t="s">
        <v>2188</v>
      </c>
      <c r="B744" s="2" t="s">
        <v>2189</v>
      </c>
      <c r="D744" s="2">
        <v>239.9</v>
      </c>
      <c r="E744" s="130">
        <v>116.53</v>
      </c>
      <c r="F744" s="2" t="str">
        <f>ROUNDUP(((($E744*'Calculadora de preço'!$B$4)+($E744*#REF!))*100)/(100-'Calculadora de preço'!$B$5), -1)</f>
        <v>#REF!</v>
      </c>
    </row>
    <row r="745">
      <c r="A745" s="2" t="s">
        <v>2190</v>
      </c>
      <c r="B745" s="2" t="s">
        <v>2189</v>
      </c>
      <c r="D745" s="2">
        <v>189.9</v>
      </c>
      <c r="E745" s="130">
        <v>117.17</v>
      </c>
      <c r="F745" s="2" t="str">
        <f>ROUNDUP(((($E745*'Calculadora de preço'!$B$4)+($E745*#REF!))*100)/(100-'Calculadora de preço'!$B$5), -1)</f>
        <v>#REF!</v>
      </c>
    </row>
    <row r="746">
      <c r="A746" s="2" t="s">
        <v>2191</v>
      </c>
      <c r="B746" s="2" t="s">
        <v>2192</v>
      </c>
      <c r="D746" s="2">
        <v>239.9</v>
      </c>
      <c r="E746" s="130">
        <v>116.53</v>
      </c>
      <c r="F746" s="2" t="str">
        <f>ROUNDUP(((($E746*'Calculadora de preço'!$B$4)+($E746*#REF!))*100)/(100-'Calculadora de preço'!$B$5), -1)</f>
        <v>#REF!</v>
      </c>
    </row>
    <row r="747">
      <c r="A747" s="2" t="s">
        <v>2193</v>
      </c>
      <c r="B747" s="2" t="s">
        <v>2192</v>
      </c>
      <c r="D747" s="2">
        <v>189.9</v>
      </c>
      <c r="E747" s="130">
        <v>117.01</v>
      </c>
      <c r="F747" s="2" t="str">
        <f>ROUNDUP(((($E747*'Calculadora de preço'!$B$4)+($E747*#REF!))*100)/(100-'Calculadora de preço'!$B$5), -1)</f>
        <v>#REF!</v>
      </c>
    </row>
    <row r="748">
      <c r="A748" s="2" t="s">
        <v>2194</v>
      </c>
      <c r="B748" s="2" t="s">
        <v>2195</v>
      </c>
      <c r="D748" s="2">
        <v>239.9</v>
      </c>
      <c r="E748" s="130">
        <v>116.53</v>
      </c>
      <c r="F748" s="2" t="str">
        <f>ROUNDUP(((($E748*'Calculadora de preço'!$B$4)+($E748*#REF!))*100)/(100-'Calculadora de preço'!$B$5), -1)</f>
        <v>#REF!</v>
      </c>
    </row>
    <row r="749">
      <c r="A749" s="2" t="s">
        <v>2196</v>
      </c>
      <c r="B749" s="2" t="s">
        <v>2195</v>
      </c>
      <c r="D749" s="2">
        <v>239.9</v>
      </c>
      <c r="E749" s="130">
        <v>116.53</v>
      </c>
      <c r="F749" s="2" t="str">
        <f>ROUNDUP(((($E749*'Calculadora de preço'!$B$4)+($E749*#REF!))*100)/(100-'Calculadora de preço'!$B$5), -1)</f>
        <v>#REF!</v>
      </c>
    </row>
    <row r="750">
      <c r="A750" s="2" t="s">
        <v>2197</v>
      </c>
      <c r="B750" s="2" t="s">
        <v>2198</v>
      </c>
      <c r="D750" s="2">
        <v>239.9</v>
      </c>
      <c r="E750" s="130">
        <v>116.53</v>
      </c>
      <c r="F750" s="2" t="str">
        <f>ROUNDUP(((($E750*'Calculadora de preço'!$B$4)+($E750*#REF!))*100)/(100-'Calculadora de preço'!$B$5), -1)</f>
        <v>#REF!</v>
      </c>
    </row>
    <row r="751">
      <c r="A751" s="2" t="s">
        <v>2199</v>
      </c>
      <c r="B751" s="2" t="s">
        <v>2198</v>
      </c>
      <c r="D751" s="2">
        <v>239.9</v>
      </c>
      <c r="E751" s="130">
        <v>116.53</v>
      </c>
      <c r="F751" s="2" t="str">
        <f>ROUNDUP(((($E751*'Calculadora de preço'!$B$4)+($E751*#REF!))*100)/(100-'Calculadora de preço'!$B$5), -1)</f>
        <v>#REF!</v>
      </c>
    </row>
    <row r="752">
      <c r="A752" s="2" t="s">
        <v>2200</v>
      </c>
      <c r="B752" s="2" t="s">
        <v>1139</v>
      </c>
      <c r="D752" s="2">
        <v>359.9</v>
      </c>
      <c r="E752" s="130">
        <v>179.9</v>
      </c>
      <c r="F752" s="2" t="str">
        <f>ROUNDUP(((($E752*'Calculadora de preço'!$B$4)+($E752*#REF!))*100)/(100-'Calculadora de preço'!$B$5), -1)</f>
        <v>#REF!</v>
      </c>
      <c r="G752" s="1">
        <v>1.0</v>
      </c>
    </row>
    <row r="753">
      <c r="A753" s="2" t="s">
        <v>2201</v>
      </c>
      <c r="B753" s="2" t="s">
        <v>2202</v>
      </c>
      <c r="D753" s="2">
        <v>55.0</v>
      </c>
      <c r="E753" s="130">
        <v>55.0</v>
      </c>
      <c r="F753" s="2" t="str">
        <f>ROUNDUP(((($E753*'Calculadora de preço'!$B$4)+($E753*#REF!))*100)/(100-'Calculadora de preço'!$B$5), -1)</f>
        <v>#REF!</v>
      </c>
    </row>
    <row r="754">
      <c r="A754" s="2" t="s">
        <v>2203</v>
      </c>
      <c r="B754" s="2" t="s">
        <v>2204</v>
      </c>
      <c r="D754" s="2">
        <v>139.9</v>
      </c>
      <c r="E754" s="130">
        <v>86.3</v>
      </c>
      <c r="F754" s="2" t="str">
        <f>ROUNDUP(((($E754*'Calculadora de preço'!$B$4)+($E754*#REF!))*100)/(100-'Calculadora de preço'!$B$5), -1)</f>
        <v>#REF!</v>
      </c>
    </row>
    <row r="755">
      <c r="A755" s="2" t="s">
        <v>2205</v>
      </c>
      <c r="B755" s="2" t="s">
        <v>2206</v>
      </c>
      <c r="D755" s="2">
        <v>24.99</v>
      </c>
      <c r="E755" s="130">
        <v>12.5</v>
      </c>
      <c r="F755" s="2" t="str">
        <f>ROUNDUP(((($E755*'Calculadora de preço'!$B$4)+($E755*#REF!))*100)/(100-'Calculadora de preço'!$B$5), -1)</f>
        <v>#REF!</v>
      </c>
    </row>
    <row r="756">
      <c r="A756" s="2" t="s">
        <v>2207</v>
      </c>
      <c r="B756" s="2" t="s">
        <v>2208</v>
      </c>
      <c r="D756" s="2">
        <v>39.99</v>
      </c>
      <c r="E756" s="130">
        <v>19.9</v>
      </c>
      <c r="F756" s="2" t="str">
        <f>ROUNDUP(((($E756*'Calculadora de preço'!$B$4)+($E756*#REF!))*100)/(100-'Calculadora de preço'!$B$5), -1)</f>
        <v>#REF!</v>
      </c>
    </row>
    <row r="757">
      <c r="A757" s="2" t="s">
        <v>2209</v>
      </c>
      <c r="B757" s="2" t="s">
        <v>2210</v>
      </c>
      <c r="D757" s="2">
        <v>34.99</v>
      </c>
      <c r="E757" s="130">
        <v>16.5</v>
      </c>
      <c r="F757" s="2" t="str">
        <f>ROUNDUP(((($E757*'Calculadora de preço'!$B$4)+($E757*#REF!))*100)/(100-'Calculadora de preço'!$B$5), -1)</f>
        <v>#REF!</v>
      </c>
    </row>
    <row r="758">
      <c r="A758" s="2" t="s">
        <v>2211</v>
      </c>
      <c r="B758" s="2" t="s">
        <v>2212</v>
      </c>
      <c r="D758" s="2">
        <v>29.99</v>
      </c>
      <c r="E758" s="130">
        <v>15.5</v>
      </c>
      <c r="F758" s="2" t="str">
        <f>ROUNDUP(((($E758*'Calculadora de preço'!$B$4)+($E758*#REF!))*100)/(100-'Calculadora de preço'!$B$5), -1)</f>
        <v>#REF!</v>
      </c>
    </row>
    <row r="759">
      <c r="A759" s="2" t="s">
        <v>2213</v>
      </c>
      <c r="B759" s="2" t="s">
        <v>2214</v>
      </c>
      <c r="D759" s="2">
        <v>29.9</v>
      </c>
      <c r="E759" s="130">
        <v>9.95</v>
      </c>
      <c r="F759" s="2" t="str">
        <f>ROUNDUP(((($E759*'Calculadora de preço'!$B$4)+($E759*#REF!))*100)/(100-'Calculadora de preço'!$B$5), -1)</f>
        <v>#REF!</v>
      </c>
    </row>
    <row r="760">
      <c r="A760" s="2" t="s">
        <v>2215</v>
      </c>
      <c r="B760" s="2" t="s">
        <v>2216</v>
      </c>
      <c r="D760" s="2">
        <v>129.9</v>
      </c>
      <c r="E760" s="130">
        <v>63.29</v>
      </c>
      <c r="F760" s="2" t="str">
        <f>ROUNDUP(((($E760*'Calculadora de preço'!$B$4)+($E760*#REF!))*100)/(100-'Calculadora de preço'!$B$5), -1)</f>
        <v>#REF!</v>
      </c>
    </row>
    <row r="761">
      <c r="A761" s="2" t="s">
        <v>2217</v>
      </c>
      <c r="B761" s="2" t="s">
        <v>2218</v>
      </c>
      <c r="D761" s="2">
        <v>199.9</v>
      </c>
      <c r="E761" s="130">
        <v>138.72</v>
      </c>
      <c r="F761" s="2" t="str">
        <f>ROUNDUP(((($E761*'Calculadora de preço'!$B$4)+($E761*#REF!))*100)/(100-'Calculadora de preço'!$B$5), -1)</f>
        <v>#REF!</v>
      </c>
    </row>
    <row r="762">
      <c r="A762" s="2" t="s">
        <v>2219</v>
      </c>
      <c r="B762" s="2" t="s">
        <v>2220</v>
      </c>
      <c r="D762" s="2">
        <v>42.0</v>
      </c>
      <c r="E762" s="130">
        <v>29.92</v>
      </c>
      <c r="F762" s="2" t="str">
        <f>ROUNDUP(((($E762*'Calculadora de preço'!$B$4)+($E762*#REF!))*100)/(100-'Calculadora de preço'!$B$5), -1)</f>
        <v>#REF!</v>
      </c>
    </row>
    <row r="763">
      <c r="A763" s="2" t="s">
        <v>2221</v>
      </c>
      <c r="B763" s="2" t="s">
        <v>2222</v>
      </c>
      <c r="D763" s="2">
        <v>42.0</v>
      </c>
      <c r="E763" s="130">
        <v>29.91</v>
      </c>
      <c r="F763" s="2" t="str">
        <f>ROUNDUP(((($E763*'Calculadora de preço'!$B$4)+($E763*#REF!))*100)/(100-'Calculadora de preço'!$B$5), -1)</f>
        <v>#REF!</v>
      </c>
    </row>
    <row r="764">
      <c r="A764" s="2" t="s">
        <v>2223</v>
      </c>
      <c r="B764" s="2" t="s">
        <v>2224</v>
      </c>
      <c r="D764" s="2">
        <v>42.0</v>
      </c>
      <c r="E764" s="130">
        <v>30.66</v>
      </c>
      <c r="F764" s="2" t="str">
        <f>ROUNDUP(((($E764*'Calculadora de preço'!$B$4)+($E764*#REF!))*100)/(100-'Calculadora de preço'!$B$5), -1)</f>
        <v>#REF!</v>
      </c>
    </row>
    <row r="765">
      <c r="A765" s="2" t="s">
        <v>2225</v>
      </c>
      <c r="B765" s="2" t="s">
        <v>2226</v>
      </c>
      <c r="D765" s="2">
        <v>42.0</v>
      </c>
      <c r="E765" s="130">
        <v>30.12</v>
      </c>
      <c r="F765" s="2" t="str">
        <f>ROUNDUP(((($E765*'Calculadora de preço'!$B$4)+($E765*#REF!))*100)/(100-'Calculadora de preço'!$B$5), -1)</f>
        <v>#REF!</v>
      </c>
    </row>
    <row r="766">
      <c r="A766" s="2" t="s">
        <v>2227</v>
      </c>
      <c r="B766" s="2" t="s">
        <v>2228</v>
      </c>
      <c r="D766" s="2">
        <v>50.0</v>
      </c>
      <c r="E766" s="130">
        <v>22.0</v>
      </c>
      <c r="F766" s="2" t="str">
        <f>ROUNDUP(((($E766*'Calculadora de preço'!$B$4)+($E766*#REF!))*100)/(100-'Calculadora de preço'!$B$5), -1)</f>
        <v>#REF!</v>
      </c>
    </row>
    <row r="767">
      <c r="A767" s="2" t="s">
        <v>2229</v>
      </c>
      <c r="B767" s="2" t="s">
        <v>2230</v>
      </c>
      <c r="D767" s="2">
        <v>50.0</v>
      </c>
      <c r="E767" s="130">
        <v>22.0</v>
      </c>
      <c r="F767" s="2" t="str">
        <f>ROUNDUP(((($E767*'Calculadora de preço'!$B$4)+($E767*#REF!))*100)/(100-'Calculadora de preço'!$B$5), -1)</f>
        <v>#REF!</v>
      </c>
    </row>
    <row r="768">
      <c r="A768" s="2" t="s">
        <v>2231</v>
      </c>
      <c r="B768" s="2" t="s">
        <v>2232</v>
      </c>
      <c r="D768" s="2">
        <v>50.0</v>
      </c>
      <c r="E768" s="130">
        <v>22.0</v>
      </c>
      <c r="F768" s="2" t="str">
        <f>ROUNDUP(((($E768*'Calculadora de preço'!$B$4)+($E768*#REF!))*100)/(100-'Calculadora de preço'!$B$5), -1)</f>
        <v>#REF!</v>
      </c>
    </row>
    <row r="769">
      <c r="A769" s="2" t="s">
        <v>2233</v>
      </c>
      <c r="B769" s="2" t="s">
        <v>2234</v>
      </c>
      <c r="D769" s="2">
        <v>40.0</v>
      </c>
      <c r="E769" s="130">
        <v>18.0</v>
      </c>
      <c r="F769" s="2" t="str">
        <f>ROUNDUP(((($E769*'Calculadora de preço'!$B$4)+($E769*#REF!))*100)/(100-'Calculadora de preço'!$B$5), -1)</f>
        <v>#REF!</v>
      </c>
    </row>
    <row r="770">
      <c r="A770" s="2" t="s">
        <v>2235</v>
      </c>
      <c r="B770" s="2" t="s">
        <v>2236</v>
      </c>
      <c r="D770" s="2">
        <v>40.0</v>
      </c>
      <c r="E770" s="130">
        <v>18.0</v>
      </c>
      <c r="F770" s="2" t="str">
        <f>ROUNDUP(((($E770*'Calculadora de preço'!$B$4)+($E770*#REF!))*100)/(100-'Calculadora de preço'!$B$5), -1)</f>
        <v>#REF!</v>
      </c>
    </row>
    <row r="771">
      <c r="A771" s="2" t="s">
        <v>2237</v>
      </c>
      <c r="B771" s="2" t="s">
        <v>2238</v>
      </c>
      <c r="D771" s="2">
        <v>20.0</v>
      </c>
      <c r="E771" s="130">
        <v>10.0</v>
      </c>
      <c r="F771" s="2" t="str">
        <f>ROUNDUP(((($E771*'Calculadora de preço'!$B$4)+($E771*#REF!))*100)/(100-'Calculadora de preço'!$B$5), -1)</f>
        <v>#REF!</v>
      </c>
    </row>
    <row r="772">
      <c r="A772" s="2" t="s">
        <v>2239</v>
      </c>
      <c r="B772" s="2" t="s">
        <v>2240</v>
      </c>
      <c r="D772" s="2">
        <v>20.0</v>
      </c>
      <c r="E772" s="130">
        <v>10.0</v>
      </c>
      <c r="F772" s="2" t="str">
        <f>ROUNDUP(((($E772*'Calculadora de preço'!$B$4)+($E772*#REF!))*100)/(100-'Calculadora de preço'!$B$5), -1)</f>
        <v>#REF!</v>
      </c>
    </row>
    <row r="773">
      <c r="A773" s="2" t="s">
        <v>2241</v>
      </c>
      <c r="B773" s="2" t="s">
        <v>2242</v>
      </c>
      <c r="D773" s="2">
        <v>149.9</v>
      </c>
      <c r="E773" s="130">
        <v>74.46</v>
      </c>
      <c r="F773" s="2" t="str">
        <f>ROUNDUP(((($E773*'Calculadora de preço'!$B$4)+($E773*#REF!))*100)/(100-'Calculadora de preço'!$B$5), -1)</f>
        <v>#REF!</v>
      </c>
      <c r="G773" s="1">
        <v>1.0</v>
      </c>
    </row>
    <row r="774">
      <c r="A774" s="2" t="s">
        <v>2243</v>
      </c>
      <c r="B774" s="2" t="s">
        <v>2244</v>
      </c>
      <c r="D774" s="2">
        <v>149.9</v>
      </c>
      <c r="E774" s="130">
        <v>74.46</v>
      </c>
      <c r="F774" s="2" t="str">
        <f>ROUNDUP(((($E774*'Calculadora de preço'!$B$4)+($E774*#REF!))*100)/(100-'Calculadora de preço'!$B$5), -1)</f>
        <v>#REF!</v>
      </c>
      <c r="G774" s="1">
        <v>1.0</v>
      </c>
    </row>
    <row r="775">
      <c r="A775" s="2" t="s">
        <v>2245</v>
      </c>
      <c r="B775" s="2" t="s">
        <v>2246</v>
      </c>
      <c r="D775" s="2">
        <v>259.9</v>
      </c>
      <c r="E775" s="130">
        <v>150.77</v>
      </c>
      <c r="F775" s="2" t="str">
        <f>ROUNDUP(((($E775*'Calculadora de preço'!$B$4)+($E775*#REF!))*100)/(100-'Calculadora de preço'!$B$5), -1)</f>
        <v>#REF!</v>
      </c>
    </row>
    <row r="776">
      <c r="A776" s="2" t="s">
        <v>2247</v>
      </c>
      <c r="B776" s="2" t="s">
        <v>2248</v>
      </c>
      <c r="D776" s="2">
        <v>169.9</v>
      </c>
      <c r="E776" s="130">
        <v>98.38</v>
      </c>
      <c r="F776" s="2" t="str">
        <f>ROUNDUP(((($E776*'Calculadora de preço'!$B$4)+($E776*#REF!))*100)/(100-'Calculadora de preço'!$B$5), -1)</f>
        <v>#REF!</v>
      </c>
    </row>
    <row r="777">
      <c r="A777" s="2" t="s">
        <v>2249</v>
      </c>
      <c r="B777" s="2" t="s">
        <v>2250</v>
      </c>
      <c r="D777" s="2">
        <v>9.9</v>
      </c>
      <c r="E777" s="130">
        <v>2.9</v>
      </c>
      <c r="F777" s="2" t="str">
        <f>ROUNDUP(((($E777*'Calculadora de preço'!$B$4)+($E777*#REF!))*100)/(100-'Calculadora de preço'!$B$5), -1)</f>
        <v>#REF!</v>
      </c>
    </row>
    <row r="778">
      <c r="A778" s="2" t="s">
        <v>2251</v>
      </c>
      <c r="B778" s="2" t="s">
        <v>2252</v>
      </c>
      <c r="D778" s="2">
        <v>9.9</v>
      </c>
      <c r="E778" s="130">
        <v>2.9</v>
      </c>
      <c r="F778" s="2" t="str">
        <f>ROUNDUP(((($E778*'Calculadora de preço'!$B$4)+($E778*#REF!))*100)/(100-'Calculadora de preço'!$B$5), -1)</f>
        <v>#REF!</v>
      </c>
    </row>
    <row r="779">
      <c r="A779" s="2" t="s">
        <v>2253</v>
      </c>
      <c r="B779" s="2" t="s">
        <v>2254</v>
      </c>
      <c r="D779" s="2">
        <v>9.9</v>
      </c>
      <c r="E779" s="130">
        <v>2.9</v>
      </c>
      <c r="F779" s="2" t="str">
        <f>ROUNDUP(((($E779*'Calculadora de preço'!$B$4)+($E779*#REF!))*100)/(100-'Calculadora de preço'!$B$5), -1)</f>
        <v>#REF!</v>
      </c>
    </row>
    <row r="780">
      <c r="A780" s="2" t="s">
        <v>2255</v>
      </c>
      <c r="B780" s="2" t="s">
        <v>2256</v>
      </c>
      <c r="D780" s="2">
        <v>9.9</v>
      </c>
      <c r="E780" s="130">
        <v>2.9</v>
      </c>
      <c r="F780" s="2" t="str">
        <f>ROUNDUP(((($E780*'Calculadora de preço'!$B$4)+($E780*#REF!))*100)/(100-'Calculadora de preço'!$B$5), -1)</f>
        <v>#REF!</v>
      </c>
    </row>
    <row r="781">
      <c r="A781" s="2" t="s">
        <v>2257</v>
      </c>
      <c r="B781" s="2" t="s">
        <v>2258</v>
      </c>
      <c r="D781" s="2">
        <v>9.9</v>
      </c>
      <c r="E781" s="130">
        <v>2.9</v>
      </c>
      <c r="F781" s="2" t="str">
        <f>ROUNDUP(((($E781*'Calculadora de preço'!$B$4)+($E781*#REF!))*100)/(100-'Calculadora de preço'!$B$5), -1)</f>
        <v>#REF!</v>
      </c>
    </row>
    <row r="782">
      <c r="A782" s="2" t="s">
        <v>2259</v>
      </c>
      <c r="B782" s="2" t="s">
        <v>2260</v>
      </c>
      <c r="D782" s="2">
        <v>9.9</v>
      </c>
      <c r="E782" s="130">
        <v>2.9</v>
      </c>
      <c r="F782" s="2" t="str">
        <f>ROUNDUP(((($E782*'Calculadora de preço'!$B$4)+($E782*#REF!))*100)/(100-'Calculadora de preço'!$B$5), -1)</f>
        <v>#REF!</v>
      </c>
    </row>
    <row r="783">
      <c r="A783" s="2" t="s">
        <v>2261</v>
      </c>
      <c r="B783" s="2" t="s">
        <v>2262</v>
      </c>
      <c r="D783" s="2">
        <v>9.9</v>
      </c>
      <c r="E783" s="130">
        <v>2.9</v>
      </c>
      <c r="F783" s="2" t="str">
        <f>ROUNDUP(((($E783*'Calculadora de preço'!$B$4)+($E783*#REF!))*100)/(100-'Calculadora de preço'!$B$5), -1)</f>
        <v>#REF!</v>
      </c>
    </row>
    <row r="784">
      <c r="A784" s="2" t="s">
        <v>2263</v>
      </c>
      <c r="B784" s="2" t="s">
        <v>2264</v>
      </c>
      <c r="D784" s="2">
        <v>9.9</v>
      </c>
      <c r="E784" s="130">
        <v>2.9</v>
      </c>
      <c r="F784" s="2" t="str">
        <f>ROUNDUP(((($E784*'Calculadora de preço'!$B$4)+($E784*#REF!))*100)/(100-'Calculadora de preço'!$B$5), -1)</f>
        <v>#REF!</v>
      </c>
    </row>
    <row r="785">
      <c r="A785" s="2" t="s">
        <v>2265</v>
      </c>
      <c r="B785" s="2" t="s">
        <v>2266</v>
      </c>
      <c r="D785" s="2">
        <v>9.9</v>
      </c>
      <c r="E785" s="130">
        <v>2.9</v>
      </c>
      <c r="F785" s="2" t="str">
        <f>ROUNDUP(((($E785*'Calculadora de preço'!$B$4)+($E785*#REF!))*100)/(100-'Calculadora de preço'!$B$5), -1)</f>
        <v>#REF!</v>
      </c>
    </row>
    <row r="786">
      <c r="A786" s="2" t="s">
        <v>2267</v>
      </c>
      <c r="B786" s="2" t="s">
        <v>2268</v>
      </c>
      <c r="D786" s="2">
        <v>9.9</v>
      </c>
      <c r="E786" s="130">
        <v>2.9</v>
      </c>
      <c r="F786" s="2" t="str">
        <f>ROUNDUP(((($E786*'Calculadora de preço'!$B$4)+($E786*#REF!))*100)/(100-'Calculadora de preço'!$B$5), -1)</f>
        <v>#REF!</v>
      </c>
    </row>
    <row r="787">
      <c r="A787" s="2" t="s">
        <v>2269</v>
      </c>
      <c r="B787" s="2" t="s">
        <v>2270</v>
      </c>
      <c r="D787" s="2">
        <v>9.9</v>
      </c>
      <c r="E787" s="130">
        <v>2.9</v>
      </c>
      <c r="F787" s="2" t="str">
        <f>ROUNDUP(((($E787*'Calculadora de preço'!$B$4)+($E787*#REF!))*100)/(100-'Calculadora de preço'!$B$5), -1)</f>
        <v>#REF!</v>
      </c>
    </row>
    <row r="788">
      <c r="A788" s="2" t="s">
        <v>2271</v>
      </c>
      <c r="B788" s="2" t="s">
        <v>2272</v>
      </c>
      <c r="D788" s="2">
        <v>9.9</v>
      </c>
      <c r="E788" s="130">
        <v>2.9</v>
      </c>
      <c r="F788" s="2" t="str">
        <f>ROUNDUP(((($E788*'Calculadora de preço'!$B$4)+($E788*#REF!))*100)/(100-'Calculadora de preço'!$B$5), -1)</f>
        <v>#REF!</v>
      </c>
    </row>
    <row r="789">
      <c r="A789" s="2" t="s">
        <v>2273</v>
      </c>
      <c r="B789" s="2" t="s">
        <v>2274</v>
      </c>
      <c r="D789" s="2">
        <v>9.9</v>
      </c>
      <c r="E789" s="130">
        <v>2.9</v>
      </c>
      <c r="F789" s="2" t="str">
        <f>ROUNDUP(((($E789*'Calculadora de preço'!$B$4)+($E789*#REF!))*100)/(100-'Calculadora de preço'!$B$5), -1)</f>
        <v>#REF!</v>
      </c>
    </row>
    <row r="790">
      <c r="A790" s="2" t="s">
        <v>2275</v>
      </c>
      <c r="B790" s="2" t="s">
        <v>2276</v>
      </c>
      <c r="D790" s="2">
        <v>139.9</v>
      </c>
      <c r="E790" s="130">
        <v>65.0</v>
      </c>
      <c r="F790" s="2" t="str">
        <f>ROUNDUP(((($E790*'Calculadora de preço'!$B$4)+($E790*#REF!))*100)/(100-'Calculadora de preço'!$B$5), -1)</f>
        <v>#REF!</v>
      </c>
      <c r="G790" s="1">
        <v>1.0</v>
      </c>
    </row>
    <row r="791">
      <c r="A791" s="2" t="s">
        <v>2277</v>
      </c>
      <c r="B791" s="2" t="s">
        <v>2278</v>
      </c>
      <c r="D791" s="2">
        <v>139.9</v>
      </c>
      <c r="E791" s="130">
        <v>65.0</v>
      </c>
      <c r="F791" s="2" t="str">
        <f>ROUNDUP(((($E791*'Calculadora de preço'!$B$4)+($E791*#REF!))*100)/(100-'Calculadora de preço'!$B$5), -1)</f>
        <v>#REF!</v>
      </c>
      <c r="G791" s="1">
        <v>1.0</v>
      </c>
    </row>
    <row r="792">
      <c r="A792" s="2" t="s">
        <v>2279</v>
      </c>
      <c r="B792" s="2" t="s">
        <v>2280</v>
      </c>
      <c r="D792" s="2">
        <v>119.9</v>
      </c>
      <c r="E792" s="130">
        <v>55.9</v>
      </c>
      <c r="F792" s="2" t="str">
        <f>ROUNDUP(((($E792*'Calculadora de preço'!$B$4)+($E792*#REF!))*100)/(100-'Calculadora de preço'!$B$5), -1)</f>
        <v>#REF!</v>
      </c>
      <c r="G792" s="1">
        <v>1.0</v>
      </c>
    </row>
    <row r="793">
      <c r="A793" s="2" t="s">
        <v>2281</v>
      </c>
      <c r="B793" s="2" t="s">
        <v>1294</v>
      </c>
      <c r="C793" s="2" t="s">
        <v>2282</v>
      </c>
      <c r="D793" s="2">
        <v>79.9</v>
      </c>
      <c r="E793" s="130">
        <v>25.0</v>
      </c>
      <c r="F793" s="2" t="str">
        <f>ROUNDUP(((($E793*'Calculadora de preço'!$B$4)+($E793*#REF!))*100)/(100-'Calculadora de preço'!$B$5), -1)</f>
        <v>#REF!</v>
      </c>
      <c r="G793" s="1">
        <v>1.0</v>
      </c>
    </row>
    <row r="794">
      <c r="A794" s="2" t="s">
        <v>2283</v>
      </c>
      <c r="B794" s="2" t="s">
        <v>2284</v>
      </c>
      <c r="C794" s="2" t="s">
        <v>2285</v>
      </c>
      <c r="D794" s="2">
        <v>69.9</v>
      </c>
      <c r="E794" s="130">
        <v>23.57</v>
      </c>
      <c r="F794" s="2" t="str">
        <f>ROUNDUP(((($E794*'Calculadora de preço'!$B$4)+($E794*#REF!))*100)/(100-'Calculadora de preço'!$B$5), -1)</f>
        <v>#REF!</v>
      </c>
      <c r="G794" s="1">
        <v>1.0</v>
      </c>
    </row>
    <row r="795">
      <c r="A795" s="2" t="s">
        <v>2286</v>
      </c>
      <c r="B795" s="2" t="s">
        <v>2287</v>
      </c>
      <c r="C795" s="2" t="s">
        <v>2288</v>
      </c>
      <c r="D795" s="2">
        <v>69.9</v>
      </c>
      <c r="E795" s="130">
        <v>27.49</v>
      </c>
      <c r="F795" s="2" t="str">
        <f>ROUNDUP(((($E795*'Calculadora de preço'!$B$4)+($E795*#REF!))*100)/(100-'Calculadora de preço'!$B$5), -1)</f>
        <v>#REF!</v>
      </c>
      <c r="G795" s="1">
        <v>1.0</v>
      </c>
    </row>
    <row r="796">
      <c r="A796" s="2" t="s">
        <v>2289</v>
      </c>
      <c r="B796" s="2" t="s">
        <v>2290</v>
      </c>
      <c r="D796" s="2">
        <v>5.0</v>
      </c>
      <c r="E796" s="130">
        <v>2.5</v>
      </c>
      <c r="F796" s="2" t="str">
        <f>ROUNDUP(((($E796*'Calculadora de preço'!$B$4)+($E796*#REF!))*100)/(100-'Calculadora de preço'!$B$5), -1)</f>
        <v>#REF!</v>
      </c>
    </row>
    <row r="797">
      <c r="A797" s="2" t="s">
        <v>2291</v>
      </c>
      <c r="B797" s="2" t="s">
        <v>2292</v>
      </c>
      <c r="D797" s="2">
        <v>4.0</v>
      </c>
      <c r="E797" s="130">
        <v>2.1</v>
      </c>
      <c r="F797" s="2" t="str">
        <f>ROUNDUP(((($E797*'Calculadora de preço'!$B$4)+($E797*#REF!))*100)/(100-'Calculadora de preço'!$B$5), -1)</f>
        <v>#REF!</v>
      </c>
    </row>
    <row r="798">
      <c r="A798" s="2" t="s">
        <v>2293</v>
      </c>
      <c r="B798" s="2" t="s">
        <v>2294</v>
      </c>
      <c r="D798" s="2">
        <v>4.0</v>
      </c>
      <c r="E798" s="130">
        <v>2.1</v>
      </c>
      <c r="F798" s="2" t="str">
        <f>ROUNDUP(((($E798*'Calculadora de preço'!$B$4)+($E798*#REF!))*100)/(100-'Calculadora de preço'!$B$5), -1)</f>
        <v>#REF!</v>
      </c>
    </row>
    <row r="799">
      <c r="A799" s="2" t="s">
        <v>2295</v>
      </c>
      <c r="B799" s="2" t="s">
        <v>2296</v>
      </c>
      <c r="D799" s="2">
        <v>4.0</v>
      </c>
      <c r="E799" s="130">
        <v>2.1</v>
      </c>
      <c r="F799" s="2" t="str">
        <f>ROUNDUP(((($E799*'Calculadora de preço'!$B$4)+($E799*#REF!))*100)/(100-'Calculadora de preço'!$B$5), -1)</f>
        <v>#REF!</v>
      </c>
    </row>
    <row r="800">
      <c r="A800" s="2" t="s">
        <v>2297</v>
      </c>
      <c r="B800" s="2" t="s">
        <v>2298</v>
      </c>
      <c r="D800" s="2">
        <v>4.0</v>
      </c>
      <c r="E800" s="130">
        <v>2.1</v>
      </c>
      <c r="F800" s="2" t="str">
        <f>ROUNDUP(((($E800*'Calculadora de preço'!$B$4)+($E800*#REF!))*100)/(100-'Calculadora de preço'!$B$5), -1)</f>
        <v>#REF!</v>
      </c>
    </row>
    <row r="801">
      <c r="A801" s="2" t="s">
        <v>2299</v>
      </c>
      <c r="B801" s="2" t="s">
        <v>2300</v>
      </c>
      <c r="D801" s="2">
        <v>4.0</v>
      </c>
      <c r="E801" s="130">
        <v>2.1</v>
      </c>
      <c r="F801" s="2" t="str">
        <f>ROUNDUP(((($E801*'Calculadora de preço'!$B$4)+($E801*#REF!))*100)/(100-'Calculadora de preço'!$B$5), -1)</f>
        <v>#REF!</v>
      </c>
    </row>
    <row r="802">
      <c r="A802" s="2" t="s">
        <v>2301</v>
      </c>
      <c r="B802" s="2" t="s">
        <v>2302</v>
      </c>
      <c r="D802" s="2">
        <v>219.9</v>
      </c>
      <c r="E802" s="130">
        <v>116.5</v>
      </c>
      <c r="F802" s="2" t="str">
        <f>ROUNDUP(((($E802*'Calculadora de preço'!$B$4)+($E802*#REF!))*100)/(100-'Calculadora de preço'!$B$5), -1)</f>
        <v>#REF!</v>
      </c>
      <c r="G802" s="1">
        <v>1.0</v>
      </c>
    </row>
    <row r="803">
      <c r="A803" s="2" t="s">
        <v>2303</v>
      </c>
      <c r="B803" s="2" t="s">
        <v>2304</v>
      </c>
      <c r="D803" s="2">
        <v>219.9</v>
      </c>
      <c r="E803" s="130">
        <v>116.5</v>
      </c>
      <c r="F803" s="2" t="str">
        <f>ROUNDUP(((($E803*'Calculadora de preço'!$B$4)+($E803*#REF!))*100)/(100-'Calculadora de preço'!$B$5), -1)</f>
        <v>#REF!</v>
      </c>
    </row>
    <row r="804">
      <c r="A804" s="2" t="s">
        <v>2305</v>
      </c>
      <c r="B804" s="2" t="s">
        <v>2306</v>
      </c>
      <c r="D804" s="2">
        <v>219.9</v>
      </c>
      <c r="E804" s="130">
        <v>116.5</v>
      </c>
      <c r="F804" s="2" t="str">
        <f>ROUNDUP(((($E804*'Calculadora de preço'!$B$4)+($E804*#REF!))*100)/(100-'Calculadora de preço'!$B$5), -1)</f>
        <v>#REF!</v>
      </c>
    </row>
    <row r="805">
      <c r="A805" s="2" t="s">
        <v>2307</v>
      </c>
      <c r="B805" s="2" t="s">
        <v>2308</v>
      </c>
      <c r="C805" s="2" t="s">
        <v>2309</v>
      </c>
      <c r="D805" s="2">
        <v>189.9</v>
      </c>
      <c r="E805" s="130">
        <v>89.0</v>
      </c>
      <c r="F805" s="2" t="str">
        <f>ROUNDUP(((($E805*'Calculadora de preço'!$B$4)+($E805*#REF!))*100)/(100-'Calculadora de preço'!$B$5), -1)</f>
        <v>#REF!</v>
      </c>
      <c r="G805" s="1">
        <v>1.0</v>
      </c>
    </row>
    <row r="806">
      <c r="A806" s="2" t="s">
        <v>2310</v>
      </c>
      <c r="B806" s="2" t="s">
        <v>2311</v>
      </c>
      <c r="D806" s="2">
        <v>219.9</v>
      </c>
      <c r="E806" s="130">
        <v>116.5</v>
      </c>
      <c r="F806" s="2" t="str">
        <f>ROUNDUP(((($E806*'Calculadora de preço'!$B$4)+($E806*#REF!))*100)/(100-'Calculadora de preço'!$B$5), -1)</f>
        <v>#REF!</v>
      </c>
      <c r="G806" s="1">
        <v>1.0</v>
      </c>
    </row>
    <row r="807">
      <c r="A807" s="2" t="s">
        <v>2312</v>
      </c>
      <c r="B807" s="2" t="s">
        <v>2313</v>
      </c>
      <c r="D807" s="2">
        <v>219.9</v>
      </c>
      <c r="E807" s="130">
        <v>116.5</v>
      </c>
      <c r="F807" s="2" t="str">
        <f>ROUNDUP(((($E807*'Calculadora de preço'!$B$4)+($E807*#REF!))*100)/(100-'Calculadora de preço'!$B$5), -1)</f>
        <v>#REF!</v>
      </c>
    </row>
    <row r="808">
      <c r="A808" s="2" t="s">
        <v>2314</v>
      </c>
      <c r="B808" s="2" t="s">
        <v>2315</v>
      </c>
      <c r="D808" s="2">
        <v>219.9</v>
      </c>
      <c r="E808" s="130">
        <v>116.5</v>
      </c>
      <c r="F808" s="2" t="str">
        <f>ROUNDUP(((($E808*'Calculadora de preço'!$B$4)+($E808*#REF!))*100)/(100-'Calculadora de preço'!$B$5), -1)</f>
        <v>#REF!</v>
      </c>
    </row>
    <row r="809">
      <c r="A809" s="2" t="s">
        <v>2316</v>
      </c>
      <c r="B809" s="2" t="s">
        <v>2317</v>
      </c>
      <c r="D809" s="2">
        <v>219.9</v>
      </c>
      <c r="E809" s="130">
        <v>116.5</v>
      </c>
      <c r="F809" s="2" t="str">
        <f>ROUNDUP(((($E809*'Calculadora de preço'!$B$4)+($E809*#REF!))*100)/(100-'Calculadora de preço'!$B$5), -1)</f>
        <v>#REF!</v>
      </c>
      <c r="G809" s="1">
        <v>1.0</v>
      </c>
    </row>
    <row r="810">
      <c r="A810" s="2" t="s">
        <v>2318</v>
      </c>
      <c r="B810" s="2" t="s">
        <v>2319</v>
      </c>
      <c r="D810" s="2">
        <v>219.9</v>
      </c>
      <c r="E810" s="130">
        <v>116.5</v>
      </c>
      <c r="F810" s="2" t="str">
        <f>ROUNDUP(((($E810*'Calculadora de preço'!$B$4)+($E810*#REF!))*100)/(100-'Calculadora de preço'!$B$5), -1)</f>
        <v>#REF!</v>
      </c>
    </row>
    <row r="811">
      <c r="A811" s="2" t="s">
        <v>2320</v>
      </c>
      <c r="B811" s="2" t="s">
        <v>2321</v>
      </c>
      <c r="D811" s="2">
        <v>219.9</v>
      </c>
      <c r="E811" s="130">
        <v>116.2</v>
      </c>
      <c r="F811" s="2" t="str">
        <f>ROUNDUP(((($E811*'Calculadora de preço'!$B$4)+($E811*#REF!))*100)/(100-'Calculadora de preço'!$B$5), -1)</f>
        <v>#REF!</v>
      </c>
    </row>
    <row r="812">
      <c r="A812" s="2" t="s">
        <v>2322</v>
      </c>
      <c r="B812" s="2" t="s">
        <v>2323</v>
      </c>
      <c r="C812" s="2" t="s">
        <v>2324</v>
      </c>
      <c r="D812" s="2">
        <v>189.9</v>
      </c>
      <c r="E812" s="130">
        <v>89.0</v>
      </c>
      <c r="F812" s="2" t="str">
        <f>ROUNDUP(((($E812*'Calculadora de preço'!$B$4)+($E812*#REF!))*100)/(100-'Calculadora de preço'!$B$5), -1)</f>
        <v>#REF!</v>
      </c>
      <c r="G812" s="1">
        <v>1.0</v>
      </c>
    </row>
    <row r="813">
      <c r="A813" s="2" t="s">
        <v>2325</v>
      </c>
      <c r="B813" s="2" t="s">
        <v>1151</v>
      </c>
      <c r="C813" s="2" t="s">
        <v>2326</v>
      </c>
      <c r="D813" s="2">
        <v>169.9</v>
      </c>
      <c r="E813" s="130">
        <v>69.0</v>
      </c>
      <c r="F813" s="2" t="str">
        <f>ROUNDUP(((($E813*'Calculadora de preço'!$B$4)+($E813*#REF!))*100)/(100-'Calculadora de preço'!$B$5), -1)</f>
        <v>#REF!</v>
      </c>
      <c r="G813" s="1">
        <v>1.0</v>
      </c>
    </row>
    <row r="814">
      <c r="A814" s="2" t="s">
        <v>2327</v>
      </c>
      <c r="B814" s="2" t="s">
        <v>2328</v>
      </c>
      <c r="D814" s="2">
        <v>12.0</v>
      </c>
      <c r="E814" s="130">
        <v>9.0</v>
      </c>
      <c r="F814" s="2" t="str">
        <f>ROUNDUP(((($E814*'Calculadora de preço'!$B$4)+($E814*#REF!))*100)/(100-'Calculadora de preço'!$B$5), -1)</f>
        <v>#REF!</v>
      </c>
    </row>
    <row r="815">
      <c r="A815" s="2" t="s">
        <v>2329</v>
      </c>
      <c r="B815" s="2" t="s">
        <v>2330</v>
      </c>
      <c r="D815" s="2">
        <v>39.9</v>
      </c>
      <c r="E815" s="130">
        <v>19.89</v>
      </c>
      <c r="F815" s="2" t="str">
        <f>ROUNDUP(((($E815*'Calculadora de preço'!$B$4)+($E815*#REF!))*100)/(100-'Calculadora de preço'!$B$5), -1)</f>
        <v>#REF!</v>
      </c>
    </row>
    <row r="816">
      <c r="A816" s="2" t="s">
        <v>2331</v>
      </c>
      <c r="B816" s="2" t="s">
        <v>2332</v>
      </c>
      <c r="D816" s="2">
        <v>19.9</v>
      </c>
      <c r="E816" s="130">
        <v>10.0</v>
      </c>
      <c r="F816" s="2" t="str">
        <f>ROUNDUP(((($E816*'Calculadora de preço'!$B$4)+($E816*#REF!))*100)/(100-'Calculadora de preço'!$B$5), -1)</f>
        <v>#REF!</v>
      </c>
    </row>
    <row r="817">
      <c r="A817" s="2" t="s">
        <v>2333</v>
      </c>
      <c r="B817" s="2" t="s">
        <v>2334</v>
      </c>
      <c r="D817" s="2">
        <v>299.9</v>
      </c>
      <c r="E817" s="130">
        <v>192.78</v>
      </c>
      <c r="F817" s="2" t="str">
        <f>ROUNDUP(((($E817*'Calculadora de preço'!$B$4)+($E817*#REF!))*100)/(100-'Calculadora de preço'!$B$5), -1)</f>
        <v>#REF!</v>
      </c>
    </row>
    <row r="818">
      <c r="A818" s="2" t="s">
        <v>2335</v>
      </c>
      <c r="B818" s="2" t="s">
        <v>1333</v>
      </c>
      <c r="D818" s="2">
        <v>39.9</v>
      </c>
      <c r="E818" s="130">
        <v>21.02</v>
      </c>
      <c r="F818" s="2" t="str">
        <f>ROUNDUP(((($E818*'Calculadora de preço'!$B$4)+($E818*#REF!))*100)/(100-'Calculadora de preço'!$B$5), -1)</f>
        <v>#REF!</v>
      </c>
      <c r="G818" s="1">
        <v>1.0</v>
      </c>
    </row>
    <row r="819">
      <c r="A819" s="2" t="s">
        <v>2336</v>
      </c>
      <c r="B819" s="2" t="s">
        <v>2337</v>
      </c>
      <c r="D819" s="2">
        <v>189.9</v>
      </c>
      <c r="E819" s="130">
        <v>79.9</v>
      </c>
      <c r="F819" s="2" t="str">
        <f>ROUNDUP(((($E819*'Calculadora de preço'!$B$4)+($E819*#REF!))*100)/(100-'Calculadora de preço'!$B$5), -1)</f>
        <v>#REF!</v>
      </c>
      <c r="G819" s="1">
        <v>1.0</v>
      </c>
    </row>
    <row r="820">
      <c r="A820" s="2" t="s">
        <v>2338</v>
      </c>
      <c r="B820" s="2" t="s">
        <v>2339</v>
      </c>
      <c r="D820" s="2">
        <v>129.9</v>
      </c>
      <c r="E820" s="130">
        <v>79.9</v>
      </c>
      <c r="F820" s="2" t="str">
        <f>ROUNDUP(((($E820*'Calculadora de preço'!$B$4)+($E820*#REF!))*100)/(100-'Calculadora de preço'!$B$5), -1)</f>
        <v>#REF!</v>
      </c>
      <c r="G820" s="1">
        <v>1.0</v>
      </c>
    </row>
    <row r="821">
      <c r="A821" s="2" t="s">
        <v>2340</v>
      </c>
      <c r="B821" s="2" t="s">
        <v>2341</v>
      </c>
      <c r="D821" s="2">
        <v>129.9</v>
      </c>
      <c r="E821" s="130">
        <v>79.9</v>
      </c>
      <c r="F821" s="2" t="str">
        <f>ROUNDUP(((($E821*'Calculadora de preço'!$B$4)+($E821*#REF!))*100)/(100-'Calculadora de preço'!$B$5), -1)</f>
        <v>#REF!</v>
      </c>
      <c r="G821" s="1">
        <v>1.0</v>
      </c>
    </row>
    <row r="822">
      <c r="A822" s="2" t="s">
        <v>2342</v>
      </c>
      <c r="B822" s="2" t="s">
        <v>2343</v>
      </c>
      <c r="D822" s="2">
        <v>129.9</v>
      </c>
      <c r="E822" s="130">
        <v>79.9</v>
      </c>
      <c r="F822" s="2" t="str">
        <f>ROUNDUP(((($E822*'Calculadora de preço'!$B$4)+($E822*#REF!))*100)/(100-'Calculadora de preço'!$B$5), -1)</f>
        <v>#REF!</v>
      </c>
      <c r="G822" s="1">
        <v>1.0</v>
      </c>
    </row>
    <row r="823">
      <c r="A823" s="2" t="s">
        <v>2344</v>
      </c>
      <c r="B823" s="2" t="s">
        <v>2345</v>
      </c>
      <c r="D823" s="2">
        <v>149.9</v>
      </c>
      <c r="E823" s="130">
        <v>89.9</v>
      </c>
      <c r="F823" s="2" t="str">
        <f>ROUNDUP(((($E823*'Calculadora de preço'!$B$4)+($E823*#REF!))*100)/(100-'Calculadora de preço'!$B$5), -1)</f>
        <v>#REF!</v>
      </c>
      <c r="G823" s="1">
        <v>1.0</v>
      </c>
    </row>
    <row r="824">
      <c r="A824" s="2" t="s">
        <v>2346</v>
      </c>
      <c r="B824" s="2" t="s">
        <v>2347</v>
      </c>
      <c r="D824" s="2">
        <v>149.9</v>
      </c>
      <c r="E824" s="130">
        <v>89.9</v>
      </c>
      <c r="F824" s="2" t="str">
        <f>ROUNDUP(((($E824*'Calculadora de preço'!$B$4)+($E824*#REF!))*100)/(100-'Calculadora de preço'!$B$5), -1)</f>
        <v>#REF!</v>
      </c>
      <c r="G824" s="1">
        <v>1.0</v>
      </c>
    </row>
    <row r="825">
      <c r="A825" s="2" t="s">
        <v>2348</v>
      </c>
      <c r="B825" s="2" t="s">
        <v>2349</v>
      </c>
      <c r="D825" s="2">
        <v>149.9</v>
      </c>
      <c r="E825" s="130">
        <v>89.9</v>
      </c>
      <c r="F825" s="2" t="str">
        <f>ROUNDUP(((($E825*'Calculadora de preço'!$B$4)+($E825*#REF!))*100)/(100-'Calculadora de preço'!$B$5), -1)</f>
        <v>#REF!</v>
      </c>
      <c r="G825" s="1">
        <v>1.0</v>
      </c>
    </row>
    <row r="826">
      <c r="A826" s="2" t="s">
        <v>2350</v>
      </c>
      <c r="B826" s="2" t="s">
        <v>2351</v>
      </c>
      <c r="D826" s="2">
        <v>139.9</v>
      </c>
      <c r="E826" s="130">
        <v>89.9</v>
      </c>
      <c r="F826" s="2" t="str">
        <f>ROUNDUP(((($E826*'Calculadora de preço'!$B$4)+($E826*#REF!))*100)/(100-'Calculadora de preço'!$B$5), -1)</f>
        <v>#REF!</v>
      </c>
      <c r="G826" s="1">
        <v>1.0</v>
      </c>
    </row>
    <row r="827">
      <c r="A827" s="2" t="s">
        <v>2352</v>
      </c>
      <c r="B827" s="2" t="s">
        <v>2353</v>
      </c>
      <c r="D827" s="2">
        <v>139.9</v>
      </c>
      <c r="E827" s="130">
        <v>89.9</v>
      </c>
      <c r="F827" s="2" t="str">
        <f>ROUNDUP(((($E827*'Calculadora de preço'!$B$4)+($E827*#REF!))*100)/(100-'Calculadora de preço'!$B$5), -1)</f>
        <v>#REF!</v>
      </c>
      <c r="G827" s="1">
        <v>1.0</v>
      </c>
    </row>
    <row r="828">
      <c r="A828" s="2" t="s">
        <v>2354</v>
      </c>
      <c r="B828" s="2" t="s">
        <v>1334</v>
      </c>
      <c r="D828" s="2">
        <v>99.99</v>
      </c>
      <c r="E828" s="130">
        <v>45.0</v>
      </c>
      <c r="F828" s="2" t="str">
        <f>ROUNDUP(((($E828*'Calculadora de preço'!$B$4)+($E828*#REF!))*100)/(100-'Calculadora de preço'!$B$5), -1)</f>
        <v>#REF!</v>
      </c>
      <c r="G828" s="1">
        <v>1.0</v>
      </c>
    </row>
    <row r="829">
      <c r="A829" s="2" t="s">
        <v>2355</v>
      </c>
      <c r="B829" s="2" t="s">
        <v>1334</v>
      </c>
      <c r="D829" s="2">
        <v>89.99</v>
      </c>
      <c r="E829" s="130">
        <v>40.0</v>
      </c>
      <c r="F829" s="2" t="str">
        <f>ROUNDUP(((($E829*'Calculadora de preço'!$B$4)+($E829*#REF!))*100)/(100-'Calculadora de preço'!$B$5), -1)</f>
        <v>#REF!</v>
      </c>
    </row>
    <row r="830">
      <c r="A830" s="2" t="s">
        <v>2356</v>
      </c>
      <c r="B830" s="2" t="s">
        <v>1338</v>
      </c>
      <c r="D830" s="2">
        <v>35.9</v>
      </c>
      <c r="E830" s="130">
        <v>17.85</v>
      </c>
      <c r="F830" s="2" t="str">
        <f>ROUNDUP(((($E830*'Calculadora de preço'!$B$4)+($E830*#REF!))*100)/(100-'Calculadora de preço'!$B$5), -1)</f>
        <v>#REF!</v>
      </c>
      <c r="G830" s="1">
        <v>1.0</v>
      </c>
    </row>
    <row r="831">
      <c r="A831" s="2" t="s">
        <v>2357</v>
      </c>
      <c r="B831" s="2" t="s">
        <v>1339</v>
      </c>
      <c r="D831" s="2">
        <v>39.9</v>
      </c>
      <c r="E831" s="130">
        <v>19.9</v>
      </c>
      <c r="F831" s="2" t="str">
        <f>ROUNDUP(((($E831*'Calculadora de preço'!$B$4)+($E831*#REF!))*100)/(100-'Calculadora de preço'!$B$5), -1)</f>
        <v>#REF!</v>
      </c>
      <c r="G831" s="1">
        <v>1.0</v>
      </c>
    </row>
    <row r="832">
      <c r="A832" s="2" t="s">
        <v>2358</v>
      </c>
      <c r="B832" s="2" t="s">
        <v>2359</v>
      </c>
      <c r="D832" s="2">
        <v>29.9</v>
      </c>
      <c r="E832" s="130">
        <v>16.16</v>
      </c>
      <c r="F832" s="2" t="str">
        <f>ROUNDUP(((($E832*'Calculadora de preço'!$B$4)+($E832*#REF!))*100)/(100-'Calculadora de preço'!$B$5), -1)</f>
        <v>#REF!</v>
      </c>
    </row>
    <row r="833">
      <c r="A833" s="2" t="s">
        <v>2360</v>
      </c>
      <c r="B833" s="2" t="s">
        <v>2361</v>
      </c>
      <c r="D833" s="2">
        <v>49.9</v>
      </c>
      <c r="E833" s="130">
        <v>24.77</v>
      </c>
      <c r="F833" s="2" t="str">
        <f>ROUNDUP(((($E833*'Calculadora de preço'!$B$4)+($E833*#REF!))*100)/(100-'Calculadora de preço'!$B$5), -1)</f>
        <v>#REF!</v>
      </c>
    </row>
    <row r="834">
      <c r="A834" s="2" t="s">
        <v>2362</v>
      </c>
      <c r="B834" s="2" t="s">
        <v>2363</v>
      </c>
      <c r="D834" s="2">
        <v>49.9</v>
      </c>
      <c r="E834" s="130">
        <v>24.77</v>
      </c>
      <c r="F834" s="2" t="str">
        <f>ROUNDUP(((($E834*'Calculadora de preço'!$B$4)+($E834*#REF!))*100)/(100-'Calculadora de preço'!$B$5), -1)</f>
        <v>#REF!</v>
      </c>
    </row>
    <row r="835">
      <c r="A835" s="2" t="s">
        <v>2364</v>
      </c>
      <c r="B835" s="2" t="s">
        <v>2365</v>
      </c>
      <c r="D835" s="2">
        <v>49.9</v>
      </c>
      <c r="E835" s="130">
        <v>24.77</v>
      </c>
      <c r="F835" s="2" t="str">
        <f>ROUNDUP(((($E835*'Calculadora de preço'!$B$4)+($E835*#REF!))*100)/(100-'Calculadora de preço'!$B$5), -1)</f>
        <v>#REF!</v>
      </c>
    </row>
    <row r="836">
      <c r="A836" s="2" t="s">
        <v>2366</v>
      </c>
      <c r="B836" s="2" t="s">
        <v>2367</v>
      </c>
      <c r="D836" s="2">
        <v>49.9</v>
      </c>
      <c r="E836" s="130">
        <v>24.77</v>
      </c>
      <c r="F836" s="2" t="str">
        <f>ROUNDUP(((($E836*'Calculadora de preço'!$B$4)+($E836*#REF!))*100)/(100-'Calculadora de preço'!$B$5), -1)</f>
        <v>#REF!</v>
      </c>
    </row>
    <row r="837">
      <c r="A837" s="2" t="s">
        <v>2368</v>
      </c>
      <c r="B837" s="2" t="s">
        <v>2369</v>
      </c>
      <c r="D837" s="2">
        <v>29.9</v>
      </c>
      <c r="E837" s="130">
        <v>15.0</v>
      </c>
      <c r="F837" s="2" t="str">
        <f>ROUNDUP(((($E837*'Calculadora de preço'!$B$4)+($E837*#REF!))*100)/(100-'Calculadora de preço'!$B$5), -1)</f>
        <v>#REF!</v>
      </c>
    </row>
    <row r="838">
      <c r="A838" s="2" t="s">
        <v>2370</v>
      </c>
      <c r="B838" s="2" t="s">
        <v>2371</v>
      </c>
      <c r="D838" s="2">
        <v>29.9</v>
      </c>
      <c r="E838" s="130">
        <v>15.0</v>
      </c>
      <c r="F838" s="2" t="str">
        <f>ROUNDUP(((($E838*'Calculadora de preço'!$B$4)+($E838*#REF!))*100)/(100-'Calculadora de preço'!$B$5), -1)</f>
        <v>#REF!</v>
      </c>
    </row>
    <row r="839">
      <c r="A839" s="2" t="s">
        <v>2372</v>
      </c>
      <c r="B839" s="2" t="s">
        <v>2373</v>
      </c>
      <c r="D839" s="2">
        <v>29.9</v>
      </c>
      <c r="E839" s="130">
        <v>15.0</v>
      </c>
      <c r="F839" s="2" t="str">
        <f>ROUNDUP(((($E839*'Calculadora de preço'!$B$4)+($E839*#REF!))*100)/(100-'Calculadora de preço'!$B$5), -1)</f>
        <v>#REF!</v>
      </c>
    </row>
    <row r="840">
      <c r="A840" s="2" t="s">
        <v>2374</v>
      </c>
      <c r="B840" s="2" t="s">
        <v>2375</v>
      </c>
      <c r="D840" s="2">
        <v>19.9</v>
      </c>
      <c r="E840" s="130">
        <v>10.0</v>
      </c>
      <c r="F840" s="2" t="str">
        <f>ROUNDUP(((($E840*'Calculadora de preço'!$B$4)+($E840*#REF!))*100)/(100-'Calculadora de preço'!$B$5), -1)</f>
        <v>#REF!</v>
      </c>
    </row>
    <row r="841">
      <c r="A841" s="2" t="s">
        <v>2376</v>
      </c>
      <c r="B841" s="2" t="s">
        <v>2377</v>
      </c>
      <c r="D841" s="2">
        <v>29.9</v>
      </c>
      <c r="E841" s="130">
        <v>14.0</v>
      </c>
      <c r="F841" s="2" t="str">
        <f>ROUNDUP(((($E841*'Calculadora de preço'!$B$4)+($E841*#REF!))*100)/(100-'Calculadora de preço'!$B$5), -1)</f>
        <v>#REF!</v>
      </c>
    </row>
    <row r="842">
      <c r="A842" s="2" t="s">
        <v>2378</v>
      </c>
      <c r="B842" s="2" t="s">
        <v>2379</v>
      </c>
      <c r="D842" s="2">
        <v>38.9</v>
      </c>
      <c r="E842" s="130">
        <v>18.9</v>
      </c>
      <c r="F842" s="2" t="str">
        <f>ROUNDUP(((($E842*'Calculadora de preço'!$B$4)+($E842*#REF!))*100)/(100-'Calculadora de preço'!$B$5), -1)</f>
        <v>#REF!</v>
      </c>
    </row>
    <row r="843">
      <c r="A843" s="2" t="s">
        <v>2380</v>
      </c>
      <c r="B843" s="2" t="s">
        <v>2381</v>
      </c>
      <c r="D843" s="2">
        <v>119.9</v>
      </c>
      <c r="E843" s="130">
        <v>49.98</v>
      </c>
      <c r="F843" s="2" t="str">
        <f>ROUNDUP(((($E843*'Calculadora de preço'!$B$4)+($E843*#REF!))*100)/(100-'Calculadora de preço'!$B$5), -1)</f>
        <v>#REF!</v>
      </c>
      <c r="G843" s="1">
        <v>1.0</v>
      </c>
    </row>
    <row r="844">
      <c r="A844" s="2" t="s">
        <v>2382</v>
      </c>
      <c r="B844" s="2" t="s">
        <v>2383</v>
      </c>
      <c r="D844" s="2">
        <v>119.9</v>
      </c>
      <c r="E844" s="130">
        <v>49.98</v>
      </c>
      <c r="F844" s="2" t="str">
        <f>ROUNDUP(((($E844*'Calculadora de preço'!$B$4)+($E844*#REF!))*100)/(100-'Calculadora de preço'!$B$5), -1)</f>
        <v>#REF!</v>
      </c>
      <c r="G844" s="1">
        <v>1.0</v>
      </c>
    </row>
    <row r="845">
      <c r="A845" s="2" t="s">
        <v>2384</v>
      </c>
      <c r="B845" s="2" t="s">
        <v>2385</v>
      </c>
      <c r="C845" s="2" t="s">
        <v>2386</v>
      </c>
      <c r="D845" s="2">
        <v>29.9</v>
      </c>
      <c r="E845" s="130">
        <v>6.5</v>
      </c>
      <c r="F845" s="2" t="str">
        <f>ROUNDUP(((($E845*'Calculadora de preço'!$B$4)+($E845*#REF!))*100)/(100-'Calculadora de preço'!$B$5), -1)</f>
        <v>#REF!</v>
      </c>
    </row>
    <row r="846">
      <c r="A846" s="2" t="s">
        <v>2387</v>
      </c>
      <c r="B846" s="2" t="s">
        <v>2388</v>
      </c>
      <c r="C846" s="2" t="s">
        <v>2389</v>
      </c>
      <c r="D846" s="2">
        <v>29.9</v>
      </c>
      <c r="E846" s="130">
        <v>6.5</v>
      </c>
      <c r="F846" s="2" t="str">
        <f>ROUNDUP(((($E846*'Calculadora de preço'!$B$4)+($E846*#REF!))*100)/(100-'Calculadora de preço'!$B$5), -1)</f>
        <v>#REF!</v>
      </c>
    </row>
    <row r="847">
      <c r="A847" s="2" t="s">
        <v>2390</v>
      </c>
      <c r="B847" s="2" t="s">
        <v>2391</v>
      </c>
      <c r="C847" s="2" t="s">
        <v>2392</v>
      </c>
      <c r="D847" s="2">
        <v>29.9</v>
      </c>
      <c r="E847" s="130">
        <v>6.5</v>
      </c>
      <c r="F847" s="2" t="str">
        <f>ROUNDUP(((($E847*'Calculadora de preço'!$B$4)+($E847*#REF!))*100)/(100-'Calculadora de preço'!$B$5), -1)</f>
        <v>#REF!</v>
      </c>
    </row>
    <row r="848">
      <c r="A848" s="2" t="s">
        <v>2393</v>
      </c>
      <c r="B848" s="2" t="s">
        <v>2394</v>
      </c>
      <c r="C848" s="2" t="s">
        <v>2395</v>
      </c>
      <c r="D848" s="2">
        <v>29.9</v>
      </c>
      <c r="E848" s="130">
        <v>6.5</v>
      </c>
      <c r="F848" s="2" t="str">
        <f>ROUNDUP(((($E848*'Calculadora de preço'!$B$4)+($E848*#REF!))*100)/(100-'Calculadora de preço'!$B$5), -1)</f>
        <v>#REF!</v>
      </c>
    </row>
    <row r="849">
      <c r="A849" s="2" t="s">
        <v>2396</v>
      </c>
      <c r="B849" s="2" t="s">
        <v>2397</v>
      </c>
      <c r="C849" s="2" t="s">
        <v>2398</v>
      </c>
      <c r="D849" s="2">
        <v>29.9</v>
      </c>
      <c r="E849" s="130">
        <v>6.5</v>
      </c>
      <c r="F849" s="2" t="str">
        <f>ROUNDUP(((($E849*'Calculadora de preço'!$B$4)+($E849*#REF!))*100)/(100-'Calculadora de preço'!$B$5), -1)</f>
        <v>#REF!</v>
      </c>
    </row>
    <row r="850">
      <c r="A850" s="2" t="s">
        <v>2399</v>
      </c>
      <c r="B850" s="2" t="s">
        <v>2400</v>
      </c>
      <c r="C850" s="2" t="s">
        <v>2401</v>
      </c>
      <c r="D850" s="2">
        <v>29.9</v>
      </c>
      <c r="E850" s="130">
        <v>6.5</v>
      </c>
      <c r="F850" s="2" t="str">
        <f>ROUNDUP(((($E850*'Calculadora de preço'!$B$4)+($E850*#REF!))*100)/(100-'Calculadora de preço'!$B$5), -1)</f>
        <v>#REF!</v>
      </c>
    </row>
    <row r="851">
      <c r="A851" s="2" t="s">
        <v>2402</v>
      </c>
      <c r="B851" s="2" t="s">
        <v>2403</v>
      </c>
      <c r="C851" s="2" t="s">
        <v>2404</v>
      </c>
      <c r="D851" s="2">
        <v>29.9</v>
      </c>
      <c r="E851" s="130">
        <v>6.5</v>
      </c>
      <c r="F851" s="2" t="str">
        <f>ROUNDUP(((($E851*'Calculadora de preço'!$B$4)+($E851*#REF!))*100)/(100-'Calculadora de preço'!$B$5), -1)</f>
        <v>#REF!</v>
      </c>
    </row>
    <row r="852">
      <c r="A852" s="2" t="s">
        <v>2405</v>
      </c>
      <c r="B852" s="2" t="s">
        <v>2406</v>
      </c>
      <c r="C852" s="2" t="s">
        <v>2407</v>
      </c>
      <c r="D852" s="2">
        <v>29.9</v>
      </c>
      <c r="E852" s="130">
        <v>6.5</v>
      </c>
      <c r="F852" s="2" t="str">
        <f>ROUNDUP(((($E852*'Calculadora de preço'!$B$4)+($E852*#REF!))*100)/(100-'Calculadora de preço'!$B$5), -1)</f>
        <v>#REF!</v>
      </c>
    </row>
    <row r="853">
      <c r="A853" s="2" t="s">
        <v>2408</v>
      </c>
      <c r="B853" s="2" t="s">
        <v>2409</v>
      </c>
      <c r="C853" s="2" t="s">
        <v>2410</v>
      </c>
      <c r="D853" s="2">
        <v>29.9</v>
      </c>
      <c r="E853" s="130">
        <v>6.5</v>
      </c>
      <c r="F853" s="2" t="str">
        <f>ROUNDUP(((($E853*'Calculadora de preço'!$B$4)+($E853*#REF!))*100)/(100-'Calculadora de preço'!$B$5), -1)</f>
        <v>#REF!</v>
      </c>
    </row>
    <row r="854">
      <c r="A854" s="2" t="s">
        <v>2411</v>
      </c>
      <c r="B854" s="2" t="s">
        <v>2412</v>
      </c>
      <c r="C854" s="2" t="s">
        <v>2413</v>
      </c>
      <c r="D854" s="2">
        <v>29.9</v>
      </c>
      <c r="E854" s="130">
        <v>6.5</v>
      </c>
      <c r="F854" s="2" t="str">
        <f>ROUNDUP(((($E854*'Calculadora de preço'!$B$4)+($E854*#REF!))*100)/(100-'Calculadora de preço'!$B$5), -1)</f>
        <v>#REF!</v>
      </c>
    </row>
    <row r="855">
      <c r="A855" s="2" t="s">
        <v>2414</v>
      </c>
      <c r="B855" s="2" t="s">
        <v>2415</v>
      </c>
      <c r="C855" s="2" t="s">
        <v>2416</v>
      </c>
      <c r="D855" s="2">
        <v>29.9</v>
      </c>
      <c r="E855" s="130">
        <v>6.5</v>
      </c>
      <c r="F855" s="2" t="str">
        <f>ROUNDUP(((($E855*'Calculadora de preço'!$B$4)+($E855*#REF!))*100)/(100-'Calculadora de preço'!$B$5), -1)</f>
        <v>#REF!</v>
      </c>
    </row>
    <row r="856">
      <c r="A856" s="2" t="s">
        <v>2417</v>
      </c>
      <c r="B856" s="2" t="s">
        <v>2418</v>
      </c>
      <c r="C856" s="2" t="s">
        <v>2419</v>
      </c>
      <c r="D856" s="2">
        <v>29.9</v>
      </c>
      <c r="E856" s="130">
        <v>6.5</v>
      </c>
      <c r="F856" s="2" t="str">
        <f>ROUNDUP(((($E856*'Calculadora de preço'!$B$4)+($E856*#REF!))*100)/(100-'Calculadora de preço'!$B$5), -1)</f>
        <v>#REF!</v>
      </c>
    </row>
    <row r="857">
      <c r="A857" s="2" t="s">
        <v>2420</v>
      </c>
      <c r="B857" s="2" t="s">
        <v>2421</v>
      </c>
      <c r="C857" s="2" t="s">
        <v>2422</v>
      </c>
      <c r="D857" s="2">
        <v>29.9</v>
      </c>
      <c r="E857" s="130">
        <v>6.5</v>
      </c>
      <c r="F857" s="2" t="str">
        <f>ROUNDUP(((($E857*'Calculadora de preço'!$B$4)+($E857*#REF!))*100)/(100-'Calculadora de preço'!$B$5), -1)</f>
        <v>#REF!</v>
      </c>
    </row>
    <row r="858">
      <c r="A858" s="2" t="s">
        <v>2423</v>
      </c>
      <c r="B858" s="2" t="s">
        <v>2424</v>
      </c>
      <c r="C858" s="2" t="s">
        <v>2425</v>
      </c>
      <c r="D858" s="2">
        <v>29.9</v>
      </c>
      <c r="E858" s="130">
        <v>6.5</v>
      </c>
      <c r="F858" s="2" t="str">
        <f>ROUNDUP(((($E858*'Calculadora de preço'!$B$4)+($E858*#REF!))*100)/(100-'Calculadora de preço'!$B$5), -1)</f>
        <v>#REF!</v>
      </c>
    </row>
    <row r="859">
      <c r="A859" s="2" t="s">
        <v>2426</v>
      </c>
      <c r="B859" s="2" t="s">
        <v>1360</v>
      </c>
      <c r="D859" s="2">
        <v>99.9</v>
      </c>
      <c r="E859" s="130">
        <v>39.98</v>
      </c>
      <c r="F859" s="2" t="str">
        <f>ROUNDUP(((($E859*'Calculadora de preço'!$B$4)+($E859*#REF!))*100)/(100-'Calculadora de preço'!$B$5), -1)</f>
        <v>#REF!</v>
      </c>
      <c r="G859" s="1">
        <v>1.0</v>
      </c>
    </row>
    <row r="860">
      <c r="A860" s="2" t="s">
        <v>2427</v>
      </c>
      <c r="B860" s="2" t="s">
        <v>2428</v>
      </c>
      <c r="D860" s="2">
        <v>99.9</v>
      </c>
      <c r="E860" s="130">
        <v>39.98</v>
      </c>
      <c r="F860" s="2" t="str">
        <f>ROUNDUP(((($E860*'Calculadora de preço'!$B$4)+($E860*#REF!))*100)/(100-'Calculadora de preço'!$B$5), -1)</f>
        <v>#REF!</v>
      </c>
    </row>
    <row r="861">
      <c r="A861" s="2" t="s">
        <v>2429</v>
      </c>
      <c r="B861" s="2" t="s">
        <v>2430</v>
      </c>
      <c r="D861" s="2">
        <v>99.9</v>
      </c>
      <c r="E861" s="130">
        <v>39.98</v>
      </c>
      <c r="F861" s="2" t="str">
        <f>ROUNDUP(((($E861*'Calculadora de preço'!$B$4)+($E861*#REF!))*100)/(100-'Calculadora de preço'!$B$5), -1)</f>
        <v>#REF!</v>
      </c>
    </row>
    <row r="862">
      <c r="A862" s="2" t="s">
        <v>2431</v>
      </c>
      <c r="B862" s="2" t="s">
        <v>2432</v>
      </c>
      <c r="D862" s="2">
        <v>0.01</v>
      </c>
      <c r="E862" s="130">
        <v>0.01</v>
      </c>
      <c r="F862" s="2" t="str">
        <f>ROUNDUP(((($E862*'Calculadora de preço'!$B$4)+($E862*#REF!))*100)/(100-'Calculadora de preço'!$B$5), -1)</f>
        <v>#REF!</v>
      </c>
    </row>
    <row r="863">
      <c r="A863" s="2" t="s">
        <v>2433</v>
      </c>
      <c r="B863" s="2" t="s">
        <v>2434</v>
      </c>
      <c r="D863" s="2">
        <v>0.02</v>
      </c>
      <c r="E863" s="130">
        <v>0.01</v>
      </c>
      <c r="F863" s="2" t="str">
        <f>ROUNDUP(((($E863*'Calculadora de preço'!$B$4)+($E863*#REF!))*100)/(100-'Calculadora de preço'!$B$5), -1)</f>
        <v>#REF!</v>
      </c>
    </row>
    <row r="864">
      <c r="A864" s="2" t="s">
        <v>2435</v>
      </c>
      <c r="B864" s="2" t="s">
        <v>2436</v>
      </c>
      <c r="D864" s="2">
        <v>169.9</v>
      </c>
      <c r="E864" s="130">
        <v>57.98</v>
      </c>
      <c r="F864" s="2" t="str">
        <f>ROUNDUP(((($E864*'Calculadora de preço'!$B$4)+($E864*#REF!))*100)/(100-'Calculadora de preço'!$B$5), -1)</f>
        <v>#REF!</v>
      </c>
      <c r="G864" s="1">
        <v>1.0</v>
      </c>
    </row>
    <row r="865">
      <c r="A865" s="2" t="s">
        <v>2437</v>
      </c>
      <c r="B865" s="2" t="s">
        <v>2438</v>
      </c>
      <c r="D865" s="2">
        <v>179.9</v>
      </c>
      <c r="E865" s="130">
        <v>76.8</v>
      </c>
      <c r="F865" s="2" t="str">
        <f>ROUNDUP(((($E865*'Calculadora de preço'!$B$4)+($E865*#REF!))*100)/(100-'Calculadora de preço'!$B$5), -1)</f>
        <v>#REF!</v>
      </c>
      <c r="G865" s="1">
        <v>1.0</v>
      </c>
    </row>
    <row r="866">
      <c r="A866" s="2" t="s">
        <v>2439</v>
      </c>
      <c r="B866" s="2" t="s">
        <v>2440</v>
      </c>
      <c r="D866" s="2">
        <v>329.9</v>
      </c>
      <c r="E866" s="130">
        <v>139.98</v>
      </c>
      <c r="F866" s="2" t="str">
        <f>ROUNDUP(((($E866*'Calculadora de preço'!$B$4)+($E866*#REF!))*100)/(100-'Calculadora de preço'!$B$5), -1)</f>
        <v>#REF!</v>
      </c>
      <c r="G866" s="1">
        <v>1.0</v>
      </c>
    </row>
    <row r="867">
      <c r="A867" s="2" t="s">
        <v>2441</v>
      </c>
      <c r="B867" s="2" t="s">
        <v>2442</v>
      </c>
      <c r="D867" s="2">
        <v>319.9</v>
      </c>
      <c r="E867" s="130">
        <v>134.97</v>
      </c>
      <c r="F867" s="2" t="str">
        <f>ROUNDUP(((($E867*'Calculadora de preço'!$B$4)+($E867*#REF!))*100)/(100-'Calculadora de preço'!$B$5), -1)</f>
        <v>#REF!</v>
      </c>
      <c r="G867" s="1">
        <v>1.0</v>
      </c>
    </row>
    <row r="868">
      <c r="A868" s="2" t="s">
        <v>2443</v>
      </c>
      <c r="B868" s="2" t="s">
        <v>2444</v>
      </c>
      <c r="D868" s="2">
        <v>259.9</v>
      </c>
      <c r="E868" s="130">
        <v>109.98</v>
      </c>
      <c r="F868" s="2" t="str">
        <f>ROUNDUP(((($E868*'Calculadora de preço'!$B$4)+($E868*#REF!))*100)/(100-'Calculadora de preço'!$B$5), -1)</f>
        <v>#REF!</v>
      </c>
      <c r="G868" s="1">
        <v>1.0</v>
      </c>
    </row>
    <row r="869">
      <c r="A869" s="2" t="s">
        <v>2445</v>
      </c>
      <c r="B869" s="2" t="s">
        <v>2446</v>
      </c>
      <c r="D869" s="2">
        <v>259.9</v>
      </c>
      <c r="E869" s="130">
        <v>109.98</v>
      </c>
      <c r="F869" s="2" t="str">
        <f>ROUNDUP(((($E869*'Calculadora de preço'!$B$4)+($E869*#REF!))*100)/(100-'Calculadora de preço'!$B$5), -1)</f>
        <v>#REF!</v>
      </c>
      <c r="G869" s="1">
        <v>1.0</v>
      </c>
    </row>
    <row r="870">
      <c r="A870" s="2" t="s">
        <v>2447</v>
      </c>
      <c r="B870" s="2" t="s">
        <v>2448</v>
      </c>
      <c r="D870" s="2">
        <v>225.9</v>
      </c>
      <c r="E870" s="130">
        <v>94.98</v>
      </c>
      <c r="F870" s="2" t="str">
        <f>ROUNDUP(((($E870*'Calculadora de preço'!$B$4)+($E870*#REF!))*100)/(100-'Calculadora de preço'!$B$5), -1)</f>
        <v>#REF!</v>
      </c>
      <c r="G870" s="1">
        <v>1.0</v>
      </c>
    </row>
    <row r="871">
      <c r="A871" s="2" t="s">
        <v>2449</v>
      </c>
      <c r="B871" s="2" t="s">
        <v>2450</v>
      </c>
      <c r="D871" s="2">
        <v>169.9</v>
      </c>
      <c r="E871" s="130">
        <v>69.98</v>
      </c>
      <c r="F871" s="2" t="str">
        <f>ROUNDUP(((($E871*'Calculadora de preço'!$B$4)+($E871*#REF!))*100)/(100-'Calculadora de preço'!$B$5), -1)</f>
        <v>#REF!</v>
      </c>
      <c r="G871" s="1">
        <v>1.0</v>
      </c>
    </row>
    <row r="872">
      <c r="A872" s="2" t="s">
        <v>2451</v>
      </c>
      <c r="B872" s="2" t="s">
        <v>2452</v>
      </c>
      <c r="D872" s="2">
        <v>179.9</v>
      </c>
      <c r="E872" s="130">
        <v>74.97</v>
      </c>
      <c r="F872" s="2" t="str">
        <f>ROUNDUP(((($E872*'Calculadora de preço'!$B$4)+($E872*#REF!))*100)/(100-'Calculadora de preço'!$B$5), -1)</f>
        <v>#REF!</v>
      </c>
      <c r="G872" s="1">
        <v>1.0</v>
      </c>
    </row>
    <row r="873">
      <c r="A873" s="2" t="s">
        <v>2453</v>
      </c>
      <c r="B873" s="2" t="s">
        <v>2454</v>
      </c>
      <c r="D873" s="2">
        <v>199.9</v>
      </c>
      <c r="E873" s="130">
        <v>84.98</v>
      </c>
      <c r="F873" s="2" t="str">
        <f>ROUNDUP(((($E873*'Calculadora de preço'!$B$4)+($E873*#REF!))*100)/(100-'Calculadora de preço'!$B$5), -1)</f>
        <v>#REF!</v>
      </c>
      <c r="G873" s="1">
        <v>1.0</v>
      </c>
    </row>
    <row r="874">
      <c r="A874" s="2" t="s">
        <v>2455</v>
      </c>
      <c r="B874" s="2" t="s">
        <v>2456</v>
      </c>
      <c r="D874" s="2">
        <v>169.9</v>
      </c>
      <c r="E874" s="130">
        <v>69.98</v>
      </c>
      <c r="F874" s="2" t="str">
        <f>ROUNDUP(((($E874*'Calculadora de preço'!$B$4)+($E874*#REF!))*100)/(100-'Calculadora de preço'!$B$5), -1)</f>
        <v>#REF!</v>
      </c>
      <c r="G874" s="1">
        <v>1.0</v>
      </c>
    </row>
    <row r="875">
      <c r="A875" s="2" t="s">
        <v>2457</v>
      </c>
      <c r="B875" s="2" t="s">
        <v>2458</v>
      </c>
      <c r="D875" s="2">
        <v>199.9</v>
      </c>
      <c r="E875" s="130">
        <v>84.97</v>
      </c>
      <c r="F875" s="2" t="str">
        <f>ROUNDUP(((($E875*'Calculadora de preço'!$B$4)+($E875*#REF!))*100)/(100-'Calculadora de preço'!$B$5), -1)</f>
        <v>#REF!</v>
      </c>
      <c r="G875" s="1">
        <v>1.0</v>
      </c>
    </row>
    <row r="876">
      <c r="A876" s="2" t="s">
        <v>2459</v>
      </c>
      <c r="B876" s="2" t="s">
        <v>2460</v>
      </c>
      <c r="D876" s="2">
        <v>179.9</v>
      </c>
      <c r="E876" s="130">
        <v>75.36</v>
      </c>
      <c r="F876" s="2" t="str">
        <f>ROUNDUP(((($E876*'Calculadora de preço'!$B$4)+($E876*#REF!))*100)/(100-'Calculadora de preço'!$B$5), -1)</f>
        <v>#REF!</v>
      </c>
      <c r="G876" s="1">
        <v>1.0</v>
      </c>
    </row>
    <row r="877">
      <c r="A877" s="2" t="s">
        <v>2461</v>
      </c>
      <c r="B877" s="2" t="s">
        <v>2462</v>
      </c>
      <c r="D877" s="2">
        <v>199.9</v>
      </c>
      <c r="E877" s="130">
        <v>82.97</v>
      </c>
      <c r="F877" s="2" t="str">
        <f>ROUNDUP(((($E877*'Calculadora de preço'!$B$4)+($E877*#REF!))*100)/(100-'Calculadora de preço'!$B$5), -1)</f>
        <v>#REF!</v>
      </c>
      <c r="G877" s="1">
        <v>1.0</v>
      </c>
    </row>
    <row r="878">
      <c r="A878" s="2" t="s">
        <v>2463</v>
      </c>
      <c r="B878" s="2" t="s">
        <v>1232</v>
      </c>
      <c r="D878" s="2">
        <v>179.9</v>
      </c>
      <c r="E878" s="130">
        <v>79.98</v>
      </c>
      <c r="F878" s="2" t="str">
        <f>ROUNDUP(((($E878*'Calculadora de preço'!$B$4)+($E878*#REF!))*100)/(100-'Calculadora de preço'!$B$5), -1)</f>
        <v>#REF!</v>
      </c>
      <c r="G878" s="1">
        <v>1.0</v>
      </c>
    </row>
    <row r="879">
      <c r="A879" s="2" t="s">
        <v>2464</v>
      </c>
      <c r="B879" s="2" t="s">
        <v>2465</v>
      </c>
      <c r="D879" s="2">
        <v>79.9</v>
      </c>
      <c r="E879" s="130">
        <v>28.78</v>
      </c>
      <c r="F879" s="2" t="str">
        <f>ROUNDUP(((($E879*'Calculadora de preço'!$B$4)+($E879*#REF!))*100)/(100-'Calculadora de preço'!$B$5), -1)</f>
        <v>#REF!</v>
      </c>
      <c r="G879" s="1">
        <v>1.0</v>
      </c>
    </row>
    <row r="880">
      <c r="A880" s="2" t="s">
        <v>2466</v>
      </c>
      <c r="B880" s="2" t="s">
        <v>2467</v>
      </c>
      <c r="D880" s="2">
        <v>79.9</v>
      </c>
      <c r="E880" s="130">
        <v>28.78</v>
      </c>
      <c r="F880" s="2" t="str">
        <f>ROUNDUP(((($E880*'Calculadora de preço'!$B$4)+($E880*#REF!))*100)/(100-'Calculadora de preço'!$B$5), -1)</f>
        <v>#REF!</v>
      </c>
      <c r="G880" s="1">
        <v>1.0</v>
      </c>
    </row>
    <row r="881">
      <c r="A881" s="2" t="s">
        <v>2468</v>
      </c>
      <c r="B881" s="2" t="s">
        <v>2469</v>
      </c>
      <c r="D881" s="2">
        <v>79.9</v>
      </c>
      <c r="E881" s="130">
        <v>28.78</v>
      </c>
      <c r="F881" s="2" t="str">
        <f>ROUNDUP(((($E881*'Calculadora de preço'!$B$4)+($E881*#REF!))*100)/(100-'Calculadora de preço'!$B$5), -1)</f>
        <v>#REF!</v>
      </c>
      <c r="G881" s="1">
        <v>1.0</v>
      </c>
    </row>
    <row r="882">
      <c r="A882" s="2" t="s">
        <v>2470</v>
      </c>
      <c r="B882" s="2" t="s">
        <v>2471</v>
      </c>
      <c r="D882" s="2">
        <v>79.9</v>
      </c>
      <c r="E882" s="130">
        <v>28.78</v>
      </c>
      <c r="F882" s="2" t="str">
        <f>ROUNDUP(((($E882*'Calculadora de preço'!$B$4)+($E882*#REF!))*100)/(100-'Calculadora de preço'!$B$5), -1)</f>
        <v>#REF!</v>
      </c>
      <c r="G882" s="1">
        <v>1.0</v>
      </c>
    </row>
    <row r="883">
      <c r="A883" s="2" t="s">
        <v>2472</v>
      </c>
      <c r="B883" s="2" t="s">
        <v>1152</v>
      </c>
      <c r="D883" s="2">
        <v>159.9</v>
      </c>
      <c r="E883" s="130">
        <v>52.98</v>
      </c>
      <c r="F883" s="2" t="str">
        <f>ROUNDUP(((($E883*'Calculadora de preço'!$B$4)+($E883*#REF!))*100)/(100-'Calculadora de preço'!$B$5), -1)</f>
        <v>#REF!</v>
      </c>
      <c r="G883" s="1">
        <v>1.0</v>
      </c>
    </row>
    <row r="884">
      <c r="A884" s="2" t="s">
        <v>2473</v>
      </c>
      <c r="B884" s="2" t="s">
        <v>1155</v>
      </c>
      <c r="D884" s="2">
        <v>159.9</v>
      </c>
      <c r="E884" s="130">
        <v>52.98</v>
      </c>
      <c r="F884" s="2" t="str">
        <f>ROUNDUP(((($E884*'Calculadora de preço'!$B$4)+($E884*#REF!))*100)/(100-'Calculadora de preço'!$B$5), -1)</f>
        <v>#REF!</v>
      </c>
      <c r="G884" s="1">
        <v>1.0</v>
      </c>
    </row>
    <row r="885">
      <c r="A885" s="2" t="s">
        <v>2474</v>
      </c>
      <c r="B885" s="2" t="s">
        <v>2475</v>
      </c>
      <c r="D885" s="2">
        <v>15.0</v>
      </c>
      <c r="E885" s="130">
        <v>6.78</v>
      </c>
      <c r="F885" s="2" t="str">
        <f>ROUNDUP(((($E885*'Calculadora de preço'!$B$4)+($E885*#REF!))*100)/(100-'Calculadora de preço'!$B$5), -1)</f>
        <v>#REF!</v>
      </c>
    </row>
    <row r="886">
      <c r="A886" s="2" t="s">
        <v>2476</v>
      </c>
      <c r="B886" s="2" t="s">
        <v>2477</v>
      </c>
      <c r="D886" s="2">
        <v>185.9</v>
      </c>
      <c r="E886" s="130">
        <v>79.0</v>
      </c>
      <c r="F886" s="2" t="str">
        <f>ROUNDUP(((($E886*'Calculadora de preço'!$B$4)+($E886*#REF!))*100)/(100-'Calculadora de preço'!$B$5), -1)</f>
        <v>#REF!</v>
      </c>
    </row>
    <row r="887">
      <c r="A887" s="2" t="s">
        <v>2478</v>
      </c>
      <c r="B887" s="2" t="s">
        <v>2477</v>
      </c>
      <c r="D887" s="2">
        <v>185.9</v>
      </c>
      <c r="E887" s="130">
        <v>0.0</v>
      </c>
      <c r="F887" s="2" t="str">
        <f>ROUNDUP(((($E887*'Calculadora de preço'!$B$4)+($E887*#REF!))*100)/(100-'Calculadora de preço'!$B$5), -1)</f>
        <v>#REF!</v>
      </c>
    </row>
    <row r="888">
      <c r="A888" s="2" t="s">
        <v>2479</v>
      </c>
      <c r="B888" s="2" t="s">
        <v>2480</v>
      </c>
      <c r="D888" s="2">
        <v>185.9</v>
      </c>
      <c r="E888" s="130">
        <v>79.0</v>
      </c>
      <c r="F888" s="2" t="str">
        <f>ROUNDUP(((($E888*'Calculadora de preço'!$B$4)+($E888*#REF!))*100)/(100-'Calculadora de preço'!$B$5), -1)</f>
        <v>#REF!</v>
      </c>
    </row>
    <row r="889">
      <c r="A889" s="2" t="s">
        <v>2481</v>
      </c>
      <c r="B889" s="2" t="s">
        <v>2482</v>
      </c>
      <c r="D889" s="2">
        <v>329.9</v>
      </c>
      <c r="E889" s="130">
        <v>137.45</v>
      </c>
      <c r="F889" s="2" t="str">
        <f>ROUNDUP(((($E889*'Calculadora de preço'!$B$4)+($E889*#REF!))*100)/(100-'Calculadora de preço'!$B$5), -1)</f>
        <v>#REF!</v>
      </c>
      <c r="G889" s="1">
        <v>1.0</v>
      </c>
    </row>
    <row r="890">
      <c r="A890" s="2" t="s">
        <v>2483</v>
      </c>
      <c r="B890" s="2" t="s">
        <v>2484</v>
      </c>
      <c r="D890" s="2">
        <v>4.0</v>
      </c>
      <c r="E890" s="130">
        <v>1.98</v>
      </c>
      <c r="F890" s="2" t="str">
        <f>ROUNDUP(((($E890*'Calculadora de preço'!$B$4)+($E890*#REF!))*100)/(100-'Calculadora de preço'!$B$5), -1)</f>
        <v>#REF!</v>
      </c>
    </row>
    <row r="891">
      <c r="A891" s="2" t="s">
        <v>2485</v>
      </c>
      <c r="B891" s="2" t="s">
        <v>2486</v>
      </c>
      <c r="D891" s="2">
        <v>2.0</v>
      </c>
      <c r="E891" s="130">
        <v>1.03</v>
      </c>
      <c r="F891" s="2" t="str">
        <f>ROUNDUP(((($E891*'Calculadora de preço'!$B$4)+($E891*#REF!))*100)/(100-'Calculadora de preço'!$B$5), -1)</f>
        <v>#REF!</v>
      </c>
    </row>
    <row r="892">
      <c r="A892" s="2" t="s">
        <v>2487</v>
      </c>
      <c r="B892" s="2" t="s">
        <v>2488</v>
      </c>
      <c r="D892" s="2">
        <v>4.0</v>
      </c>
      <c r="E892" s="130">
        <v>1.98</v>
      </c>
      <c r="F892" s="2" t="str">
        <f>ROUNDUP(((($E892*'Calculadora de preço'!$B$4)+($E892*#REF!))*100)/(100-'Calculadora de preço'!$B$5), -1)</f>
        <v>#REF!</v>
      </c>
    </row>
    <row r="893">
      <c r="A893" s="2" t="s">
        <v>2489</v>
      </c>
      <c r="B893" s="2" t="s">
        <v>2490</v>
      </c>
      <c r="D893" s="2">
        <v>4.0</v>
      </c>
      <c r="E893" s="130">
        <v>1.98</v>
      </c>
      <c r="F893" s="2" t="str">
        <f>ROUNDUP(((($E893*'Calculadora de preço'!$B$4)+($E893*#REF!))*100)/(100-'Calculadora de preço'!$B$5), -1)</f>
        <v>#REF!</v>
      </c>
    </row>
    <row r="894">
      <c r="A894" s="2" t="s">
        <v>2491</v>
      </c>
      <c r="B894" s="2" t="s">
        <v>2492</v>
      </c>
      <c r="D894" s="2">
        <v>4.0</v>
      </c>
      <c r="E894" s="130">
        <v>1.98</v>
      </c>
      <c r="F894" s="2" t="str">
        <f>ROUNDUP(((($E894*'Calculadora de preço'!$B$4)+($E894*#REF!))*100)/(100-'Calculadora de preço'!$B$5), -1)</f>
        <v>#REF!</v>
      </c>
    </row>
    <row r="895">
      <c r="A895" s="2" t="s">
        <v>2493</v>
      </c>
      <c r="B895" s="2" t="s">
        <v>1191</v>
      </c>
      <c r="C895" s="2" t="s">
        <v>2494</v>
      </c>
      <c r="D895" s="2">
        <v>219.9</v>
      </c>
      <c r="E895" s="130">
        <v>89.38</v>
      </c>
      <c r="F895" s="2" t="str">
        <f>ROUNDUP(((($E895*'Calculadora de preço'!$B$4)+($E895*#REF!))*100)/(100-'Calculadora de preço'!$B$5), -1)</f>
        <v>#REF!</v>
      </c>
      <c r="G895" s="1">
        <v>1.0</v>
      </c>
    </row>
    <row r="896">
      <c r="A896" s="2" t="s">
        <v>2495</v>
      </c>
      <c r="B896" s="2" t="s">
        <v>2496</v>
      </c>
      <c r="C896" s="2" t="s">
        <v>2497</v>
      </c>
      <c r="D896" s="2">
        <v>219.9</v>
      </c>
      <c r="E896" s="130">
        <v>89.38</v>
      </c>
      <c r="F896" s="2" t="str">
        <f>ROUNDUP(((($E896*'Calculadora de preço'!$B$4)+($E896*#REF!))*100)/(100-'Calculadora de preço'!$B$5), -1)</f>
        <v>#REF!</v>
      </c>
    </row>
    <row r="897">
      <c r="A897" s="2" t="s">
        <v>2498</v>
      </c>
      <c r="B897" s="2" t="s">
        <v>2499</v>
      </c>
      <c r="C897" s="2" t="s">
        <v>2500</v>
      </c>
      <c r="D897" s="2">
        <v>219.9</v>
      </c>
      <c r="E897" s="130">
        <v>89.38</v>
      </c>
      <c r="F897" s="2" t="str">
        <f>ROUNDUP(((($E897*'Calculadora de preço'!$B$4)+($E897*#REF!))*100)/(100-'Calculadora de preço'!$B$5), -1)</f>
        <v>#REF!</v>
      </c>
    </row>
    <row r="898">
      <c r="A898" s="2" t="s">
        <v>2501</v>
      </c>
      <c r="B898" s="2" t="s">
        <v>2502</v>
      </c>
      <c r="C898" s="2" t="s">
        <v>2503</v>
      </c>
      <c r="D898" s="2">
        <v>219.9</v>
      </c>
      <c r="E898" s="130">
        <v>89.38</v>
      </c>
      <c r="F898" s="2" t="str">
        <f>ROUNDUP(((($E898*'Calculadora de preço'!$B$4)+($E898*#REF!))*100)/(100-'Calculadora de preço'!$B$5), -1)</f>
        <v>#REF!</v>
      </c>
    </row>
    <row r="899">
      <c r="A899" s="2" t="s">
        <v>2504</v>
      </c>
      <c r="B899" s="2" t="s">
        <v>2505</v>
      </c>
      <c r="C899" s="2" t="s">
        <v>2506</v>
      </c>
      <c r="D899" s="2">
        <v>219.9</v>
      </c>
      <c r="E899" s="130">
        <v>89.38</v>
      </c>
      <c r="F899" s="2" t="str">
        <f>ROUNDUP(((($E899*'Calculadora de preço'!$B$4)+($E899*#REF!))*100)/(100-'Calculadora de preço'!$B$5), -1)</f>
        <v>#REF!</v>
      </c>
    </row>
    <row r="900">
      <c r="A900" s="2" t="s">
        <v>2507</v>
      </c>
      <c r="B900" s="2" t="s">
        <v>2508</v>
      </c>
      <c r="C900" s="2" t="s">
        <v>2509</v>
      </c>
      <c r="D900" s="2">
        <v>219.9</v>
      </c>
      <c r="E900" s="130">
        <v>89.38</v>
      </c>
      <c r="F900" s="2" t="str">
        <f>ROUNDUP(((($E900*'Calculadora de preço'!$B$4)+($E900*#REF!))*100)/(100-'Calculadora de preço'!$B$5), -1)</f>
        <v>#REF!</v>
      </c>
    </row>
    <row r="901">
      <c r="A901" s="2" t="s">
        <v>2510</v>
      </c>
      <c r="B901" s="2" t="s">
        <v>2511</v>
      </c>
      <c r="C901" s="2" t="s">
        <v>2512</v>
      </c>
      <c r="D901" s="2">
        <v>219.9</v>
      </c>
      <c r="E901" s="130">
        <v>89.38</v>
      </c>
      <c r="F901" s="2" t="str">
        <f>ROUNDUP(((($E901*'Calculadora de preço'!$B$4)+($E901*#REF!))*100)/(100-'Calculadora de preço'!$B$5), -1)</f>
        <v>#REF!</v>
      </c>
    </row>
    <row r="902">
      <c r="A902" s="2" t="s">
        <v>2513</v>
      </c>
      <c r="B902" s="2" t="s">
        <v>2514</v>
      </c>
      <c r="D902" s="2">
        <v>699.9</v>
      </c>
      <c r="E902" s="130">
        <v>509.0</v>
      </c>
      <c r="F902" s="2" t="str">
        <f>ROUNDUP(((($E902*'Calculadora de preço'!$B$4)+($E902*#REF!))*100)/(100-'Calculadora de preço'!$B$5), -1)</f>
        <v>#REF!</v>
      </c>
    </row>
    <row r="903">
      <c r="A903" s="2" t="s">
        <v>2515</v>
      </c>
      <c r="B903" s="2" t="s">
        <v>2516</v>
      </c>
      <c r="D903" s="2">
        <v>79.9</v>
      </c>
      <c r="E903" s="130">
        <v>33.0</v>
      </c>
      <c r="F903" s="2" t="str">
        <f>ROUNDUP(((($E903*'Calculadora de preço'!$B$4)+($E903*#REF!))*100)/(100-'Calculadora de preço'!$B$5), -1)</f>
        <v>#REF!</v>
      </c>
    </row>
    <row r="904">
      <c r="A904" s="2" t="s">
        <v>2517</v>
      </c>
      <c r="B904" s="2" t="s">
        <v>2518</v>
      </c>
      <c r="D904" s="2">
        <v>25.9</v>
      </c>
      <c r="E904" s="130">
        <v>14.0</v>
      </c>
      <c r="F904" s="2" t="str">
        <f>ROUNDUP(((($E904*'Calculadora de preço'!$B$4)+($E904*#REF!))*100)/(100-'Calculadora de preço'!$B$5), -1)</f>
        <v>#REF!</v>
      </c>
    </row>
    <row r="905">
      <c r="A905" s="2" t="s">
        <v>2519</v>
      </c>
      <c r="B905" s="2" t="s">
        <v>2520</v>
      </c>
      <c r="D905" s="2">
        <v>29.9</v>
      </c>
      <c r="E905" s="130">
        <v>16.16</v>
      </c>
      <c r="F905" s="2" t="str">
        <f>ROUNDUP(((($E905*'Calculadora de preço'!$B$4)+($E905*#REF!))*100)/(100-'Calculadora de preço'!$B$5), -1)</f>
        <v>#REF!</v>
      </c>
    </row>
    <row r="906">
      <c r="A906" s="2" t="s">
        <v>2521</v>
      </c>
      <c r="B906" s="2" t="s">
        <v>2522</v>
      </c>
      <c r="D906" s="2">
        <v>21.25</v>
      </c>
      <c r="E906" s="130">
        <v>15.55</v>
      </c>
      <c r="F906" s="2" t="str">
        <f>ROUNDUP(((($E906*'Calculadora de preço'!$B$4)+($E906*#REF!))*100)/(100-'Calculadora de preço'!$B$5), -1)</f>
        <v>#REF!</v>
      </c>
    </row>
    <row r="907">
      <c r="A907" s="2" t="s">
        <v>2523</v>
      </c>
      <c r="B907" s="2" t="s">
        <v>2524</v>
      </c>
      <c r="D907" s="2">
        <v>20.2</v>
      </c>
      <c r="E907" s="130">
        <v>15.08</v>
      </c>
      <c r="F907" s="2" t="str">
        <f>ROUNDUP(((($E907*'Calculadora de preço'!$B$4)+($E907*#REF!))*100)/(100-'Calculadora de preço'!$B$5), -1)</f>
        <v>#REF!</v>
      </c>
    </row>
    <row r="908">
      <c r="A908" s="2" t="s">
        <v>2525</v>
      </c>
      <c r="B908" s="2" t="s">
        <v>2526</v>
      </c>
      <c r="D908" s="2">
        <v>22.5</v>
      </c>
      <c r="E908" s="130">
        <v>16.36</v>
      </c>
      <c r="F908" s="2" t="str">
        <f>ROUNDUP(((($E908*'Calculadora de preço'!$B$4)+($E908*#REF!))*100)/(100-'Calculadora de preço'!$B$5), -1)</f>
        <v>#REF!</v>
      </c>
    </row>
    <row r="909">
      <c r="A909" s="2" t="s">
        <v>2527</v>
      </c>
      <c r="B909" s="2" t="s">
        <v>2528</v>
      </c>
      <c r="D909" s="2">
        <v>19.8</v>
      </c>
      <c r="E909" s="130">
        <v>14.52</v>
      </c>
      <c r="F909" s="2" t="str">
        <f>ROUNDUP(((($E909*'Calculadora de preço'!$B$4)+($E909*#REF!))*100)/(100-'Calculadora de preço'!$B$5), -1)</f>
        <v>#REF!</v>
      </c>
    </row>
    <row r="910">
      <c r="A910" s="2" t="s">
        <v>2529</v>
      </c>
      <c r="B910" s="2" t="s">
        <v>1319</v>
      </c>
      <c r="D910" s="2">
        <v>12.0</v>
      </c>
      <c r="E910" s="130">
        <v>9.0</v>
      </c>
      <c r="F910" s="2" t="str">
        <f>ROUNDUP(((($E910*'Calculadora de preço'!$B$4)+($E910*#REF!))*100)/(100-'Calculadora de preço'!$B$5), -1)</f>
        <v>#REF!</v>
      </c>
      <c r="G910" s="1">
        <v>1.0</v>
      </c>
    </row>
    <row r="911">
      <c r="A911" s="2" t="s">
        <v>2530</v>
      </c>
      <c r="B911" s="2" t="s">
        <v>2531</v>
      </c>
      <c r="D911" s="2">
        <v>12.0</v>
      </c>
      <c r="E911" s="130">
        <v>9.0</v>
      </c>
      <c r="F911" s="2" t="str">
        <f>ROUNDUP(((($E911*'Calculadora de preço'!$B$4)+($E911*#REF!))*100)/(100-'Calculadora de preço'!$B$5), -1)</f>
        <v>#REF!</v>
      </c>
    </row>
    <row r="912">
      <c r="A912" s="2" t="s">
        <v>2532</v>
      </c>
      <c r="B912" s="2" t="s">
        <v>2533</v>
      </c>
      <c r="D912" s="2">
        <v>59.99</v>
      </c>
      <c r="E912" s="130">
        <v>30.0</v>
      </c>
      <c r="F912" s="2" t="str">
        <f>ROUNDUP(((($E912*'Calculadora de preço'!$B$4)+($E912*#REF!))*100)/(100-'Calculadora de preço'!$B$5), -1)</f>
        <v>#REF!</v>
      </c>
    </row>
    <row r="913">
      <c r="A913" s="2" t="s">
        <v>2534</v>
      </c>
      <c r="B913" s="2" t="s">
        <v>2535</v>
      </c>
      <c r="D913" s="2">
        <v>89.9</v>
      </c>
      <c r="E913" s="130">
        <v>51.78</v>
      </c>
      <c r="F913" s="2" t="str">
        <f>ROUNDUP(((($E913*'Calculadora de preço'!$B$4)+($E913*#REF!))*100)/(100-'Calculadora de preço'!$B$5), -1)</f>
        <v>#REF!</v>
      </c>
    </row>
    <row r="914">
      <c r="A914" s="2" t="s">
        <v>2536</v>
      </c>
      <c r="B914" s="2" t="s">
        <v>2537</v>
      </c>
      <c r="D914" s="2">
        <v>89.9</v>
      </c>
      <c r="E914" s="130">
        <v>51.71</v>
      </c>
      <c r="F914" s="2" t="str">
        <f>ROUNDUP(((($E914*'Calculadora de preço'!$B$4)+($E914*#REF!))*100)/(100-'Calculadora de preço'!$B$5), -1)</f>
        <v>#REF!</v>
      </c>
    </row>
    <row r="915">
      <c r="A915" s="2" t="s">
        <v>2538</v>
      </c>
      <c r="B915" s="2" t="s">
        <v>2539</v>
      </c>
      <c r="D915" s="2">
        <v>89.9</v>
      </c>
      <c r="E915" s="130">
        <v>49.9</v>
      </c>
      <c r="F915" s="2" t="str">
        <f>ROUNDUP(((($E915*'Calculadora de preço'!$B$4)+($E915*#REF!))*100)/(100-'Calculadora de preço'!$B$5), -1)</f>
        <v>#REF!</v>
      </c>
      <c r="G915" s="1">
        <v>1.0</v>
      </c>
    </row>
    <row r="916">
      <c r="A916" s="2" t="s">
        <v>2540</v>
      </c>
      <c r="B916" s="2" t="s">
        <v>2541</v>
      </c>
      <c r="D916" s="2">
        <v>89.9</v>
      </c>
      <c r="E916" s="130">
        <v>49.9</v>
      </c>
      <c r="F916" s="2" t="str">
        <f>ROUNDUP(((($E916*'Calculadora de preço'!$B$4)+($E916*#REF!))*100)/(100-'Calculadora de preço'!$B$5), -1)</f>
        <v>#REF!</v>
      </c>
      <c r="G916" s="1">
        <v>1.0</v>
      </c>
    </row>
    <row r="917">
      <c r="A917" s="2" t="s">
        <v>2542</v>
      </c>
      <c r="B917" s="2" t="s">
        <v>2543</v>
      </c>
      <c r="D917" s="2">
        <v>89.9</v>
      </c>
      <c r="E917" s="130">
        <v>49.9</v>
      </c>
      <c r="F917" s="2" t="str">
        <f>ROUNDUP(((($E917*'Calculadora de preço'!$B$4)+($E917*#REF!))*100)/(100-'Calculadora de preço'!$B$5), -1)</f>
        <v>#REF!</v>
      </c>
      <c r="G917" s="1">
        <v>1.0</v>
      </c>
    </row>
    <row r="918">
      <c r="A918" s="2" t="s">
        <v>2544</v>
      </c>
      <c r="B918" s="2" t="s">
        <v>2545</v>
      </c>
      <c r="D918" s="2">
        <v>89.9</v>
      </c>
      <c r="E918" s="130">
        <v>49.9</v>
      </c>
      <c r="F918" s="2" t="str">
        <f>ROUNDUP(((($E918*'Calculadora de preço'!$B$4)+($E918*#REF!))*100)/(100-'Calculadora de preço'!$B$5), -1)</f>
        <v>#REF!</v>
      </c>
      <c r="G918" s="1">
        <v>1.0</v>
      </c>
    </row>
    <row r="919">
      <c r="A919" s="2" t="s">
        <v>2546</v>
      </c>
      <c r="B919" s="2" t="s">
        <v>2547</v>
      </c>
      <c r="D919" s="2">
        <v>89.9</v>
      </c>
      <c r="E919" s="130">
        <v>49.9</v>
      </c>
      <c r="F919" s="2" t="str">
        <f>ROUNDUP(((($E919*'Calculadora de preço'!$B$4)+($E919*#REF!))*100)/(100-'Calculadora de preço'!$B$5), -1)</f>
        <v>#REF!</v>
      </c>
      <c r="G919" s="1">
        <v>1.0</v>
      </c>
    </row>
    <row r="920">
      <c r="A920" s="2" t="s">
        <v>2548</v>
      </c>
      <c r="B920" s="2" t="s">
        <v>2549</v>
      </c>
      <c r="D920" s="2">
        <v>89.9</v>
      </c>
      <c r="E920" s="130">
        <v>52.9</v>
      </c>
      <c r="F920" s="2" t="str">
        <f>ROUNDUP(((($E920*'Calculadora de preço'!$B$4)+($E920*#REF!))*100)/(100-'Calculadora de preço'!$B$5), -1)</f>
        <v>#REF!</v>
      </c>
      <c r="G920" s="1">
        <v>1.0</v>
      </c>
    </row>
    <row r="921">
      <c r="A921" s="2" t="s">
        <v>2550</v>
      </c>
      <c r="B921" s="2" t="s">
        <v>2551</v>
      </c>
      <c r="D921" s="2">
        <v>99.9</v>
      </c>
      <c r="E921" s="130">
        <v>59.9</v>
      </c>
      <c r="F921" s="2" t="str">
        <f>ROUNDUP(((($E921*'Calculadora de preço'!$B$4)+($E921*#REF!))*100)/(100-'Calculadora de preço'!$B$5), -1)</f>
        <v>#REF!</v>
      </c>
      <c r="G921" s="1">
        <v>1.0</v>
      </c>
    </row>
    <row r="922">
      <c r="A922" s="2" t="s">
        <v>2552</v>
      </c>
      <c r="B922" s="2" t="s">
        <v>2553</v>
      </c>
      <c r="D922" s="2">
        <v>99.9</v>
      </c>
      <c r="E922" s="130">
        <v>59.9</v>
      </c>
      <c r="F922" s="2" t="str">
        <f>ROUNDUP(((($E922*'Calculadora de preço'!$B$4)+($E922*#REF!))*100)/(100-'Calculadora de preço'!$B$5), -1)</f>
        <v>#REF!</v>
      </c>
      <c r="G922" s="1">
        <v>1.0</v>
      </c>
    </row>
    <row r="923">
      <c r="A923" s="2" t="s">
        <v>2554</v>
      </c>
      <c r="B923" s="2" t="s">
        <v>2555</v>
      </c>
      <c r="D923" s="2">
        <v>99.9</v>
      </c>
      <c r="E923" s="130">
        <v>59.9</v>
      </c>
      <c r="F923" s="2" t="str">
        <f>ROUNDUP(((($E923*'Calculadora de preço'!$B$4)+($E923*#REF!))*100)/(100-'Calculadora de preço'!$B$5), -1)</f>
        <v>#REF!</v>
      </c>
      <c r="G923" s="1">
        <v>1.0</v>
      </c>
    </row>
    <row r="924">
      <c r="A924" s="2" t="s">
        <v>2556</v>
      </c>
      <c r="B924" s="2" t="s">
        <v>2557</v>
      </c>
      <c r="D924" s="2">
        <v>59.99</v>
      </c>
      <c r="E924" s="130">
        <v>30.0</v>
      </c>
      <c r="F924" s="2" t="str">
        <f>ROUNDUP(((($E924*'Calculadora de preço'!$B$4)+($E924*#REF!))*100)/(100-'Calculadora de preço'!$B$5), -1)</f>
        <v>#REF!</v>
      </c>
    </row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1:$AA$924"/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75"/>
  <cols>
    <col customWidth="1" min="1" max="1" width="10.14"/>
    <col customWidth="1" min="2" max="2" width="58.0"/>
    <col customWidth="1" min="3" max="3" width="4.86"/>
    <col customWidth="1" min="4" max="4" width="3.71"/>
  </cols>
  <sheetData>
    <row r="1">
      <c r="A1" s="132" t="s">
        <v>1124</v>
      </c>
      <c r="B1" s="133" t="s">
        <v>496</v>
      </c>
      <c r="C1" s="133">
        <v>169.9</v>
      </c>
      <c r="D1" s="133">
        <v>110.0</v>
      </c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</row>
    <row r="2">
      <c r="A2" s="132" t="s">
        <v>1124</v>
      </c>
      <c r="B2" s="133" t="s">
        <v>528</v>
      </c>
      <c r="C2" s="133">
        <v>179.9</v>
      </c>
      <c r="D2" s="133">
        <v>120.0</v>
      </c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</row>
    <row r="3">
      <c r="A3" s="132" t="s">
        <v>1124</v>
      </c>
      <c r="B3" s="133" t="s">
        <v>1134</v>
      </c>
      <c r="C3" s="133">
        <v>279.9</v>
      </c>
      <c r="D3" s="133">
        <v>180.0</v>
      </c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</row>
    <row r="4">
      <c r="A4" s="132" t="s">
        <v>1124</v>
      </c>
      <c r="B4" s="133" t="s">
        <v>1135</v>
      </c>
      <c r="C4" s="133">
        <v>79.99</v>
      </c>
      <c r="D4" s="133">
        <v>50.0</v>
      </c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</row>
    <row r="5">
      <c r="A5" s="132" t="s">
        <v>1124</v>
      </c>
      <c r="B5" s="133" t="s">
        <v>1139</v>
      </c>
      <c r="C5" s="133">
        <v>359.9</v>
      </c>
      <c r="D5" s="133">
        <v>230.0</v>
      </c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</row>
    <row r="6">
      <c r="A6" s="132" t="s">
        <v>1124</v>
      </c>
      <c r="B6" s="133" t="s">
        <v>1141</v>
      </c>
      <c r="C6" s="133">
        <v>219.9</v>
      </c>
      <c r="D6" s="133">
        <v>150.0</v>
      </c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</row>
    <row r="7">
      <c r="A7" s="132" t="s">
        <v>1124</v>
      </c>
      <c r="B7" s="132" t="s">
        <v>1144</v>
      </c>
      <c r="C7" s="133">
        <v>189.9</v>
      </c>
      <c r="D7" s="133">
        <v>120.0</v>
      </c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</row>
    <row r="8">
      <c r="A8" s="132" t="s">
        <v>1124</v>
      </c>
      <c r="B8" s="133" t="s">
        <v>1146</v>
      </c>
      <c r="C8" s="133">
        <v>219.9</v>
      </c>
      <c r="D8" s="133">
        <v>150.0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</row>
    <row r="9">
      <c r="A9" s="132" t="s">
        <v>1124</v>
      </c>
      <c r="B9" s="133" t="s">
        <v>1147</v>
      </c>
      <c r="C9" s="133">
        <v>219.9</v>
      </c>
      <c r="D9" s="133">
        <v>150.0</v>
      </c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</row>
    <row r="10">
      <c r="A10" s="132" t="s">
        <v>1124</v>
      </c>
      <c r="B10" s="133" t="s">
        <v>1151</v>
      </c>
      <c r="C10" s="133">
        <v>169.9</v>
      </c>
      <c r="D10" s="133">
        <v>90.0</v>
      </c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</row>
    <row r="11">
      <c r="A11" s="132" t="s">
        <v>1124</v>
      </c>
      <c r="B11" s="133" t="s">
        <v>1152</v>
      </c>
      <c r="C11" s="133">
        <v>159.9</v>
      </c>
      <c r="D11" s="133">
        <v>70.0</v>
      </c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</row>
    <row r="12">
      <c r="A12" s="132" t="s">
        <v>1124</v>
      </c>
      <c r="B12" s="133" t="s">
        <v>1155</v>
      </c>
      <c r="C12" s="133">
        <v>159.9</v>
      </c>
      <c r="D12" s="133">
        <v>70.0</v>
      </c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</row>
    <row r="13">
      <c r="A13" s="135"/>
      <c r="B13" s="134" t="s">
        <v>1157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</row>
    <row r="14">
      <c r="A14" s="132" t="s">
        <v>1158</v>
      </c>
      <c r="B14" s="133" t="s">
        <v>1159</v>
      </c>
      <c r="C14" s="133">
        <v>219.9</v>
      </c>
      <c r="D14" s="133">
        <v>140.0</v>
      </c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</row>
    <row r="15">
      <c r="A15" s="132" t="s">
        <v>1158</v>
      </c>
      <c r="B15" s="133" t="s">
        <v>1163</v>
      </c>
      <c r="C15" s="133">
        <v>179.9</v>
      </c>
      <c r="D15" s="132">
        <v>140.0</v>
      </c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</row>
    <row r="16">
      <c r="A16" s="132" t="s">
        <v>1158</v>
      </c>
      <c r="B16" s="133" t="s">
        <v>1164</v>
      </c>
      <c r="C16" s="133">
        <v>159.9</v>
      </c>
      <c r="D16" s="132">
        <v>100.0</v>
      </c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</row>
    <row r="17">
      <c r="A17" s="132" t="s">
        <v>1158</v>
      </c>
      <c r="B17" s="133" t="s">
        <v>1165</v>
      </c>
      <c r="C17" s="133">
        <v>219.9</v>
      </c>
      <c r="D17" s="132">
        <v>100.0</v>
      </c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</row>
    <row r="18">
      <c r="A18" s="132" t="s">
        <v>1158</v>
      </c>
      <c r="B18" s="133" t="s">
        <v>1169</v>
      </c>
      <c r="C18" s="133">
        <v>219.9</v>
      </c>
      <c r="D18" s="133">
        <v>120.0</v>
      </c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</row>
    <row r="19">
      <c r="A19" s="132" t="s">
        <v>1158</v>
      </c>
      <c r="B19" s="133" t="s">
        <v>1170</v>
      </c>
      <c r="C19" s="133">
        <v>219.9</v>
      </c>
      <c r="D19" s="132">
        <v>130.0</v>
      </c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</row>
    <row r="20">
      <c r="A20" s="132" t="s">
        <v>1158</v>
      </c>
      <c r="B20" s="133" t="s">
        <v>1171</v>
      </c>
      <c r="C20" s="133">
        <v>169.9</v>
      </c>
      <c r="D20" s="132">
        <v>180.0</v>
      </c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</row>
    <row r="21">
      <c r="A21" s="132" t="s">
        <v>1158</v>
      </c>
      <c r="B21" s="133" t="s">
        <v>1175</v>
      </c>
      <c r="C21" s="133">
        <v>169.9</v>
      </c>
      <c r="D21" s="132">
        <v>180.0</v>
      </c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</row>
    <row r="22">
      <c r="A22" s="132" t="s">
        <v>1158</v>
      </c>
      <c r="B22" s="133" t="s">
        <v>1064</v>
      </c>
      <c r="C22" s="133">
        <v>269.9</v>
      </c>
      <c r="D22" s="133">
        <v>190.0</v>
      </c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</row>
    <row r="23">
      <c r="A23" s="132" t="s">
        <v>1158</v>
      </c>
      <c r="B23" s="133" t="s">
        <v>1179</v>
      </c>
      <c r="C23" s="133">
        <v>239.9</v>
      </c>
      <c r="D23" s="132">
        <v>120.0</v>
      </c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</row>
    <row r="24">
      <c r="A24" s="132" t="s">
        <v>1158</v>
      </c>
      <c r="B24" s="133" t="s">
        <v>1180</v>
      </c>
      <c r="C24" s="133">
        <v>179.9</v>
      </c>
      <c r="D24" s="132">
        <v>130.0</v>
      </c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</row>
    <row r="25">
      <c r="A25" s="132" t="s">
        <v>1158</v>
      </c>
      <c r="B25" s="133" t="s">
        <v>1181</v>
      </c>
      <c r="C25" s="133">
        <v>249.9</v>
      </c>
      <c r="D25" s="133">
        <v>160.0</v>
      </c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</row>
    <row r="26">
      <c r="A26" s="132" t="s">
        <v>1158</v>
      </c>
      <c r="B26" s="133" t="s">
        <v>1185</v>
      </c>
      <c r="C26" s="133">
        <v>369.9</v>
      </c>
      <c r="D26" s="133">
        <v>240.0</v>
      </c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</row>
    <row r="27">
      <c r="A27" s="132" t="s">
        <v>1158</v>
      </c>
      <c r="B27" s="133" t="s">
        <v>1186</v>
      </c>
      <c r="C27" s="133">
        <v>369.9</v>
      </c>
      <c r="D27" s="133">
        <v>240.0</v>
      </c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</row>
    <row r="28">
      <c r="A28" s="132" t="s">
        <v>1158</v>
      </c>
      <c r="B28" s="133" t="s">
        <v>1187</v>
      </c>
      <c r="C28" s="133">
        <v>239.9</v>
      </c>
      <c r="D28" s="133">
        <v>150.0</v>
      </c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</row>
    <row r="29">
      <c r="A29" s="132" t="s">
        <v>1158</v>
      </c>
      <c r="B29" s="133" t="s">
        <v>1191</v>
      </c>
      <c r="C29" s="133">
        <v>219.9</v>
      </c>
      <c r="D29" s="133">
        <v>120.0</v>
      </c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</row>
    <row r="30">
      <c r="A30" s="135"/>
      <c r="B30" s="134" t="s">
        <v>1157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</row>
    <row r="31">
      <c r="A31" s="132" t="s">
        <v>1192</v>
      </c>
      <c r="B31" s="133" t="s">
        <v>1193</v>
      </c>
      <c r="C31" s="133">
        <v>279.9</v>
      </c>
      <c r="D31" s="133">
        <v>220.0</v>
      </c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</row>
    <row r="32">
      <c r="A32" s="132" t="s">
        <v>1192</v>
      </c>
      <c r="B32" s="133" t="s">
        <v>264</v>
      </c>
      <c r="C32" s="133">
        <v>209.9</v>
      </c>
      <c r="D32" s="133">
        <v>160.0</v>
      </c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</row>
    <row r="33">
      <c r="A33" s="132" t="s">
        <v>1192</v>
      </c>
      <c r="B33" s="133" t="s">
        <v>294</v>
      </c>
      <c r="C33" s="133">
        <v>199.9</v>
      </c>
      <c r="D33" s="133">
        <v>130.0</v>
      </c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</row>
    <row r="34">
      <c r="A34" s="132" t="s">
        <v>1192</v>
      </c>
      <c r="B34" s="133" t="s">
        <v>1200</v>
      </c>
      <c r="C34" s="133">
        <v>449.9</v>
      </c>
      <c r="D34" s="133">
        <v>360.0</v>
      </c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</row>
    <row r="35">
      <c r="A35" s="132" t="s">
        <v>1192</v>
      </c>
      <c r="B35" s="133" t="s">
        <v>1201</v>
      </c>
      <c r="C35" s="133">
        <v>479.9</v>
      </c>
      <c r="D35" s="133">
        <v>370.0</v>
      </c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</row>
    <row r="36">
      <c r="A36" s="132" t="s">
        <v>1192</v>
      </c>
      <c r="B36" s="133" t="s">
        <v>384</v>
      </c>
      <c r="C36" s="133">
        <v>359.9</v>
      </c>
      <c r="D36" s="133">
        <v>280.0</v>
      </c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</row>
    <row r="37">
      <c r="A37" s="132" t="s">
        <v>1192</v>
      </c>
      <c r="B37" s="133" t="s">
        <v>1205</v>
      </c>
      <c r="C37" s="133">
        <v>329.9</v>
      </c>
      <c r="D37" s="133">
        <v>220.0</v>
      </c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</row>
    <row r="38">
      <c r="A38" s="132" t="s">
        <v>1192</v>
      </c>
      <c r="B38" s="133" t="s">
        <v>1206</v>
      </c>
      <c r="C38" s="133">
        <v>149.9</v>
      </c>
      <c r="D38" s="132">
        <v>100.0</v>
      </c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</row>
    <row r="39">
      <c r="A39" s="132" t="s">
        <v>1192</v>
      </c>
      <c r="B39" s="133" t="s">
        <v>1207</v>
      </c>
      <c r="C39" s="133">
        <v>89.9</v>
      </c>
      <c r="D39" s="133">
        <v>60.0</v>
      </c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</row>
    <row r="40">
      <c r="A40" s="132" t="s">
        <v>1192</v>
      </c>
      <c r="B40" s="133" t="s">
        <v>1208</v>
      </c>
      <c r="C40" s="133">
        <v>199.9</v>
      </c>
      <c r="D40" s="133">
        <v>120.0</v>
      </c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</row>
    <row r="41">
      <c r="A41" s="132" t="s">
        <v>1192</v>
      </c>
      <c r="B41" s="133" t="s">
        <v>1209</v>
      </c>
      <c r="C41" s="133">
        <v>249.9</v>
      </c>
      <c r="D41" s="133">
        <v>160.0</v>
      </c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</row>
    <row r="42">
      <c r="A42" s="132" t="s">
        <v>1192</v>
      </c>
      <c r="B42" s="133" t="s">
        <v>1210</v>
      </c>
      <c r="C42" s="133">
        <v>120.0</v>
      </c>
      <c r="D42" s="132">
        <v>100.0</v>
      </c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</row>
    <row r="43">
      <c r="A43" s="132" t="s">
        <v>1192</v>
      </c>
      <c r="B43" s="133" t="s">
        <v>1211</v>
      </c>
      <c r="C43" s="133">
        <v>159.9</v>
      </c>
      <c r="D43" s="133">
        <v>110.0</v>
      </c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</row>
    <row r="44">
      <c r="A44" s="132" t="s">
        <v>1192</v>
      </c>
      <c r="B44" s="133" t="s">
        <v>1022</v>
      </c>
      <c r="C44" s="133">
        <v>519.9</v>
      </c>
      <c r="D44" s="133">
        <v>340.0</v>
      </c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</row>
    <row r="45">
      <c r="A45" s="132" t="s">
        <v>1192</v>
      </c>
      <c r="B45" s="133" t="s">
        <v>1212</v>
      </c>
      <c r="C45" s="133">
        <v>69.9</v>
      </c>
      <c r="D45" s="133">
        <v>50.0</v>
      </c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</row>
    <row r="46">
      <c r="A46" s="132" t="s">
        <v>1192</v>
      </c>
      <c r="B46" s="133" t="s">
        <v>1213</v>
      </c>
      <c r="C46" s="133">
        <v>69.9</v>
      </c>
      <c r="D46" s="133">
        <v>50.0</v>
      </c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</row>
    <row r="47">
      <c r="A47" s="135"/>
      <c r="B47" s="134" t="s">
        <v>1157</v>
      </c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</row>
    <row r="48">
      <c r="A48" s="132" t="s">
        <v>1217</v>
      </c>
      <c r="B48" s="133" t="s">
        <v>1218</v>
      </c>
      <c r="C48" s="133">
        <v>239.9</v>
      </c>
      <c r="D48" s="133">
        <v>160.0</v>
      </c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</row>
    <row r="49">
      <c r="A49" s="132" t="s">
        <v>1217</v>
      </c>
      <c r="B49" s="133" t="s">
        <v>1102</v>
      </c>
      <c r="C49" s="133">
        <v>179.9</v>
      </c>
      <c r="D49" s="133">
        <v>120.0</v>
      </c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</row>
    <row r="50">
      <c r="A50" s="132" t="s">
        <v>1217</v>
      </c>
      <c r="B50" s="133" t="s">
        <v>1105</v>
      </c>
      <c r="C50" s="133">
        <v>50.0</v>
      </c>
      <c r="D50" s="133">
        <v>70.0</v>
      </c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</row>
    <row r="51">
      <c r="A51" s="132" t="s">
        <v>1217</v>
      </c>
      <c r="B51" s="133" t="s">
        <v>1222</v>
      </c>
      <c r="C51" s="133">
        <v>69.9</v>
      </c>
      <c r="D51" s="132">
        <v>50.0</v>
      </c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</row>
    <row r="52">
      <c r="A52" s="132" t="s">
        <v>1217</v>
      </c>
      <c r="B52" s="133" t="s">
        <v>1224</v>
      </c>
      <c r="C52" s="133">
        <v>89.9</v>
      </c>
      <c r="D52" s="133">
        <v>60.0</v>
      </c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</row>
    <row r="53">
      <c r="A53" s="132" t="s">
        <v>1217</v>
      </c>
      <c r="B53" s="133" t="s">
        <v>1227</v>
      </c>
      <c r="C53" s="133">
        <v>189.9</v>
      </c>
      <c r="D53" s="133">
        <v>110.0</v>
      </c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</row>
    <row r="54">
      <c r="A54" s="132" t="s">
        <v>1217</v>
      </c>
      <c r="B54" s="133" t="s">
        <v>1231</v>
      </c>
      <c r="C54" s="133">
        <v>149.9</v>
      </c>
      <c r="D54" s="133">
        <v>120.0</v>
      </c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</row>
    <row r="55">
      <c r="A55" s="132" t="s">
        <v>1217</v>
      </c>
      <c r="B55" s="133" t="s">
        <v>1232</v>
      </c>
      <c r="C55" s="133">
        <v>179.9</v>
      </c>
      <c r="D55" s="133">
        <v>110.0</v>
      </c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</row>
    <row r="56">
      <c r="A56" s="135"/>
      <c r="B56" s="134" t="s">
        <v>1157</v>
      </c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</row>
    <row r="57">
      <c r="A57" s="132" t="s">
        <v>1236</v>
      </c>
      <c r="B57" s="133" t="s">
        <v>1237</v>
      </c>
      <c r="C57" s="133">
        <v>119.9</v>
      </c>
      <c r="D57" s="133">
        <v>70.0</v>
      </c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</row>
    <row r="58">
      <c r="A58" s="132" t="s">
        <v>1236</v>
      </c>
      <c r="B58" s="133" t="s">
        <v>1241</v>
      </c>
      <c r="C58" s="133">
        <v>109.9</v>
      </c>
      <c r="D58" s="133">
        <v>60.0</v>
      </c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</row>
    <row r="59">
      <c r="A59" s="132" t="s">
        <v>1236</v>
      </c>
      <c r="B59" s="133" t="s">
        <v>1242</v>
      </c>
      <c r="C59" s="133">
        <v>109.9</v>
      </c>
      <c r="D59" s="133">
        <v>60.0</v>
      </c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</row>
    <row r="60">
      <c r="A60" s="132" t="s">
        <v>1236</v>
      </c>
      <c r="B60" s="133" t="s">
        <v>1246</v>
      </c>
      <c r="C60" s="133">
        <v>109.9</v>
      </c>
      <c r="D60" s="133">
        <v>60.0</v>
      </c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</row>
    <row r="61">
      <c r="A61" s="132" t="s">
        <v>1236</v>
      </c>
      <c r="B61" s="133" t="s">
        <v>1247</v>
      </c>
      <c r="C61" s="133">
        <v>109.9</v>
      </c>
      <c r="D61" s="133">
        <v>60.0</v>
      </c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</row>
    <row r="62">
      <c r="A62" s="132" t="s">
        <v>1236</v>
      </c>
      <c r="B62" s="133" t="s">
        <v>1251</v>
      </c>
      <c r="C62" s="133">
        <v>79.99</v>
      </c>
      <c r="D62" s="133">
        <v>60.0</v>
      </c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</row>
    <row r="63">
      <c r="A63" s="132" t="s">
        <v>1236</v>
      </c>
      <c r="B63" s="133" t="s">
        <v>1252</v>
      </c>
      <c r="C63" s="133">
        <v>109.9</v>
      </c>
      <c r="D63" s="133">
        <v>60.0</v>
      </c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</row>
    <row r="64">
      <c r="A64" s="132" t="s">
        <v>1236</v>
      </c>
      <c r="B64" s="133" t="s">
        <v>1253</v>
      </c>
      <c r="C64" s="133">
        <v>99.9</v>
      </c>
      <c r="D64" s="133">
        <v>80.0</v>
      </c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</row>
    <row r="65">
      <c r="A65" s="132" t="s">
        <v>1236</v>
      </c>
      <c r="B65" s="133" t="s">
        <v>1257</v>
      </c>
      <c r="C65" s="133">
        <v>149.9</v>
      </c>
      <c r="D65" s="132">
        <v>110.0</v>
      </c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</row>
    <row r="66">
      <c r="A66" s="132" t="s">
        <v>1236</v>
      </c>
      <c r="B66" s="133" t="s">
        <v>1258</v>
      </c>
      <c r="C66" s="133">
        <v>95.9</v>
      </c>
      <c r="D66" s="133">
        <v>60.0</v>
      </c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</row>
    <row r="67">
      <c r="A67" s="132" t="s">
        <v>1236</v>
      </c>
      <c r="B67" s="133" t="s">
        <v>1262</v>
      </c>
      <c r="C67" s="133">
        <v>129.9</v>
      </c>
      <c r="D67" s="133">
        <v>70.0</v>
      </c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</row>
    <row r="68">
      <c r="A68" s="132" t="s">
        <v>1236</v>
      </c>
      <c r="B68" s="133" t="s">
        <v>1263</v>
      </c>
      <c r="C68" s="133">
        <v>59.99</v>
      </c>
      <c r="D68" s="133">
        <v>40.0</v>
      </c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</row>
    <row r="69">
      <c r="A69" s="132" t="s">
        <v>1236</v>
      </c>
      <c r="B69" s="133" t="s">
        <v>1265</v>
      </c>
      <c r="C69" s="133">
        <v>129.9</v>
      </c>
      <c r="D69" s="132">
        <v>100.0</v>
      </c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</row>
    <row r="70">
      <c r="A70" s="132" t="s">
        <v>1236</v>
      </c>
      <c r="B70" s="133" t="s">
        <v>1268</v>
      </c>
      <c r="C70" s="133">
        <v>169.9</v>
      </c>
      <c r="D70" s="133">
        <v>90.0</v>
      </c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</row>
    <row r="71">
      <c r="A71" s="132" t="s">
        <v>1236</v>
      </c>
      <c r="B71" s="133" t="s">
        <v>1269</v>
      </c>
      <c r="C71" s="133">
        <v>79.9</v>
      </c>
      <c r="D71" s="133">
        <v>40.0</v>
      </c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</row>
    <row r="72">
      <c r="A72" s="135"/>
      <c r="B72" s="134" t="s">
        <v>1157</v>
      </c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</row>
    <row r="73">
      <c r="A73" s="132" t="s">
        <v>1273</v>
      </c>
      <c r="B73" s="133" t="s">
        <v>1274</v>
      </c>
      <c r="C73" s="133">
        <v>189.9</v>
      </c>
      <c r="D73" s="133">
        <v>140.0</v>
      </c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</row>
    <row r="74">
      <c r="A74" s="132" t="s">
        <v>1273</v>
      </c>
      <c r="B74" s="133" t="s">
        <v>1278</v>
      </c>
      <c r="C74" s="133">
        <v>109.9</v>
      </c>
      <c r="D74" s="133">
        <v>70.0</v>
      </c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</row>
    <row r="75">
      <c r="A75" s="135"/>
      <c r="B75" s="134" t="s">
        <v>1157</v>
      </c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</row>
    <row r="76">
      <c r="A76" s="132" t="s">
        <v>1282</v>
      </c>
      <c r="B76" s="133" t="s">
        <v>1283</v>
      </c>
      <c r="C76" s="133">
        <v>69.9</v>
      </c>
      <c r="D76" s="133">
        <v>60.0</v>
      </c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</row>
    <row r="77">
      <c r="A77" s="132" t="s">
        <v>1282</v>
      </c>
      <c r="B77" s="133" t="s">
        <v>1284</v>
      </c>
      <c r="C77" s="133">
        <v>69.9</v>
      </c>
      <c r="D77" s="133">
        <v>50.0</v>
      </c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</row>
    <row r="78">
      <c r="A78" s="132" t="s">
        <v>1282</v>
      </c>
      <c r="B78" s="133" t="s">
        <v>1288</v>
      </c>
      <c r="C78" s="133">
        <v>79.9</v>
      </c>
      <c r="D78" s="133">
        <v>50.0</v>
      </c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</row>
    <row r="79">
      <c r="A79" s="132" t="s">
        <v>1282</v>
      </c>
      <c r="B79" s="133" t="s">
        <v>1289</v>
      </c>
      <c r="C79" s="133">
        <v>139.9</v>
      </c>
      <c r="D79" s="133">
        <v>90.0</v>
      </c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</row>
    <row r="80">
      <c r="A80" s="132" t="s">
        <v>1282</v>
      </c>
      <c r="B80" s="133" t="s">
        <v>1292</v>
      </c>
      <c r="C80" s="133">
        <v>119.9</v>
      </c>
      <c r="D80" s="133">
        <v>80.0</v>
      </c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</row>
    <row r="81">
      <c r="A81" s="132" t="s">
        <v>1282</v>
      </c>
      <c r="B81" s="133" t="s">
        <v>1294</v>
      </c>
      <c r="C81" s="133">
        <v>79.9</v>
      </c>
      <c r="D81" s="133">
        <v>40.0</v>
      </c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</row>
    <row r="82">
      <c r="A82" s="132" t="s">
        <v>1282</v>
      </c>
      <c r="B82" s="133" t="s">
        <v>1298</v>
      </c>
      <c r="C82" s="133">
        <v>69.9</v>
      </c>
      <c r="D82" s="133">
        <v>40.0</v>
      </c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</row>
    <row r="83">
      <c r="A83" s="135"/>
      <c r="B83" s="134" t="s">
        <v>1157</v>
      </c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</row>
    <row r="84">
      <c r="A84" s="132" t="s">
        <v>1302</v>
      </c>
      <c r="B84" s="133" t="s">
        <v>1303</v>
      </c>
      <c r="C84" s="133">
        <v>119.9</v>
      </c>
      <c r="D84" s="133">
        <v>80.0</v>
      </c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</row>
    <row r="85">
      <c r="A85" s="132" t="s">
        <v>1302</v>
      </c>
      <c r="B85" s="133" t="s">
        <v>1304</v>
      </c>
      <c r="C85" s="133">
        <v>79.9</v>
      </c>
      <c r="D85" s="133">
        <v>60.0</v>
      </c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</row>
    <row r="86">
      <c r="A86" s="132" t="s">
        <v>1302</v>
      </c>
      <c r="B86" s="133" t="s">
        <v>1308</v>
      </c>
      <c r="C86" s="133">
        <v>129.9</v>
      </c>
      <c r="D86" s="133">
        <v>90.0</v>
      </c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</row>
    <row r="87">
      <c r="A87" s="132" t="s">
        <v>1302</v>
      </c>
      <c r="B87" s="133" t="s">
        <v>1309</v>
      </c>
      <c r="C87" s="133">
        <v>239.9</v>
      </c>
      <c r="D87" s="133">
        <v>130.0</v>
      </c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</row>
    <row r="88">
      <c r="A88" s="135"/>
      <c r="B88" s="134" t="s">
        <v>1157</v>
      </c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</row>
    <row r="89">
      <c r="A89" s="132" t="s">
        <v>1313</v>
      </c>
      <c r="B89" s="133" t="s">
        <v>1314</v>
      </c>
      <c r="C89" s="133">
        <v>23.99</v>
      </c>
      <c r="D89" s="132">
        <v>18.0</v>
      </c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</row>
    <row r="90">
      <c r="A90" s="132" t="s">
        <v>1313</v>
      </c>
      <c r="B90" s="133" t="s">
        <v>1318</v>
      </c>
      <c r="C90" s="133">
        <v>23.99</v>
      </c>
      <c r="D90" s="132">
        <v>18.0</v>
      </c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</row>
    <row r="91">
      <c r="A91" s="132" t="s">
        <v>1313</v>
      </c>
      <c r="B91" s="133" t="s">
        <v>1319</v>
      </c>
      <c r="C91" s="133">
        <v>12.0</v>
      </c>
      <c r="D91" s="132">
        <v>12.0</v>
      </c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</row>
    <row r="92">
      <c r="A92" s="134"/>
      <c r="B92" s="134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</row>
    <row r="93">
      <c r="A93" s="132" t="s">
        <v>1323</v>
      </c>
      <c r="B93" s="133" t="s">
        <v>433</v>
      </c>
      <c r="C93" s="133">
        <v>95.9</v>
      </c>
      <c r="D93" s="133">
        <v>60.0</v>
      </c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</row>
    <row r="94">
      <c r="A94" s="132" t="s">
        <v>1323</v>
      </c>
      <c r="B94" s="133" t="s">
        <v>435</v>
      </c>
      <c r="C94" s="133">
        <v>29.99</v>
      </c>
      <c r="D94" s="133">
        <v>20.0</v>
      </c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</row>
    <row r="95">
      <c r="A95" s="132" t="s">
        <v>1323</v>
      </c>
      <c r="B95" s="133" t="s">
        <v>1327</v>
      </c>
      <c r="C95" s="133">
        <v>65.9</v>
      </c>
      <c r="D95" s="133">
        <v>50.0</v>
      </c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</row>
    <row r="96">
      <c r="A96" s="132" t="s">
        <v>1323</v>
      </c>
      <c r="B96" s="133" t="s">
        <v>1328</v>
      </c>
      <c r="C96" s="133">
        <v>159.9</v>
      </c>
      <c r="D96" s="133">
        <v>130.0</v>
      </c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</row>
    <row r="97">
      <c r="A97" s="132" t="s">
        <v>1323</v>
      </c>
      <c r="B97" s="133" t="s">
        <v>1332</v>
      </c>
      <c r="C97" s="133">
        <v>99.9</v>
      </c>
      <c r="D97" s="133">
        <v>60.0</v>
      </c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</row>
    <row r="98">
      <c r="A98" s="132" t="s">
        <v>1323</v>
      </c>
      <c r="B98" s="133" t="s">
        <v>1333</v>
      </c>
      <c r="C98" s="133">
        <v>39.9</v>
      </c>
      <c r="D98" s="133">
        <v>30.0</v>
      </c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</row>
    <row r="99">
      <c r="A99" s="132" t="s">
        <v>1323</v>
      </c>
      <c r="B99" s="133" t="s">
        <v>1334</v>
      </c>
      <c r="C99" s="133">
        <v>99.99</v>
      </c>
      <c r="D99" s="133">
        <v>60.0</v>
      </c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</row>
    <row r="100">
      <c r="A100" s="132" t="s">
        <v>1323</v>
      </c>
      <c r="B100" s="133" t="s">
        <v>1338</v>
      </c>
      <c r="C100" s="133">
        <v>35.9</v>
      </c>
      <c r="D100" s="133">
        <v>30.0</v>
      </c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</row>
    <row r="101">
      <c r="A101" s="132" t="s">
        <v>1323</v>
      </c>
      <c r="B101" s="133" t="s">
        <v>1339</v>
      </c>
      <c r="C101" s="133">
        <v>39.9</v>
      </c>
      <c r="D101" s="133">
        <v>30.0</v>
      </c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</row>
    <row r="102">
      <c r="A102" s="132" t="s">
        <v>1323</v>
      </c>
      <c r="B102" s="133" t="s">
        <v>1340</v>
      </c>
      <c r="C102" s="133">
        <v>329.9</v>
      </c>
      <c r="D102" s="133">
        <v>180.0</v>
      </c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</row>
    <row r="103">
      <c r="A103" s="135"/>
      <c r="B103" s="134" t="s">
        <v>1157</v>
      </c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</row>
    <row r="104">
      <c r="A104" s="132" t="s">
        <v>1344</v>
      </c>
      <c r="B104" s="133" t="s">
        <v>425</v>
      </c>
      <c r="C104" s="133">
        <v>499.9</v>
      </c>
      <c r="D104" s="133">
        <v>380.0</v>
      </c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</row>
    <row r="105">
      <c r="A105" s="135"/>
      <c r="B105" s="134" t="s">
        <v>1157</v>
      </c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</row>
    <row r="106">
      <c r="A106" s="132" t="s">
        <v>1348</v>
      </c>
      <c r="B106" s="133" t="s">
        <v>1349</v>
      </c>
      <c r="C106" s="133">
        <v>119.9</v>
      </c>
      <c r="D106" s="133">
        <v>70.0</v>
      </c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</row>
    <row r="107">
      <c r="A107" s="132" t="s">
        <v>1348</v>
      </c>
      <c r="B107" s="133" t="s">
        <v>625</v>
      </c>
      <c r="C107" s="133">
        <v>109.9</v>
      </c>
      <c r="D107" s="133">
        <v>60.0</v>
      </c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</row>
    <row r="108">
      <c r="A108" s="132" t="s">
        <v>1348</v>
      </c>
      <c r="B108" s="133" t="s">
        <v>1350</v>
      </c>
      <c r="C108" s="133">
        <v>79.99</v>
      </c>
      <c r="D108" s="133">
        <v>50.0</v>
      </c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</row>
    <row r="109">
      <c r="A109" s="132" t="s">
        <v>1348</v>
      </c>
      <c r="B109" s="133" t="s">
        <v>1353</v>
      </c>
      <c r="C109" s="133">
        <v>119.9</v>
      </c>
      <c r="D109" s="133">
        <v>90.0</v>
      </c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</row>
    <row r="110">
      <c r="A110" s="132" t="s">
        <v>1348</v>
      </c>
      <c r="B110" s="133" t="s">
        <v>1355</v>
      </c>
      <c r="C110" s="133">
        <v>89.9</v>
      </c>
      <c r="D110" s="133">
        <v>60.0</v>
      </c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</row>
    <row r="111">
      <c r="A111" s="132" t="s">
        <v>1348</v>
      </c>
      <c r="B111" s="133" t="s">
        <v>1356</v>
      </c>
      <c r="C111" s="133">
        <v>159.9</v>
      </c>
      <c r="D111" s="133">
        <v>120.0</v>
      </c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</row>
    <row r="112">
      <c r="A112" s="132" t="s">
        <v>1348</v>
      </c>
      <c r="B112" s="133" t="s">
        <v>733</v>
      </c>
      <c r="C112" s="133">
        <v>119.9</v>
      </c>
      <c r="D112" s="133">
        <v>70.0</v>
      </c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</row>
    <row r="113">
      <c r="A113" s="132" t="s">
        <v>1348</v>
      </c>
      <c r="B113" s="133" t="s">
        <v>1360</v>
      </c>
      <c r="C113" s="133">
        <v>99.9</v>
      </c>
      <c r="D113" s="133">
        <v>60.0</v>
      </c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</row>
    <row r="114">
      <c r="A114" s="135"/>
      <c r="B114" s="134" t="s">
        <v>1157</v>
      </c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</row>
    <row r="115">
      <c r="A115" s="134"/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</row>
    <row r="116">
      <c r="A116" s="134"/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</row>
    <row r="117">
      <c r="A117" s="134"/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</row>
    <row r="118">
      <c r="A118" s="134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</row>
    <row r="119">
      <c r="A119" s="134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</row>
    <row r="120">
      <c r="A120" s="134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</row>
    <row r="121">
      <c r="A121" s="134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</row>
    <row r="122">
      <c r="A122" s="134"/>
      <c r="B122" s="134"/>
      <c r="C122" s="134"/>
      <c r="D122" s="134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</row>
    <row r="123">
      <c r="A123" s="134"/>
      <c r="B123" s="134"/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</row>
    <row r="124">
      <c r="A124" s="134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</row>
    <row r="125">
      <c r="A125" s="134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</row>
    <row r="126">
      <c r="A126" s="134"/>
      <c r="B126" s="134"/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</row>
    <row r="127">
      <c r="A127" s="134"/>
      <c r="B127" s="134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</row>
    <row r="128">
      <c r="A128" s="134"/>
      <c r="B128" s="134"/>
      <c r="C128" s="134"/>
      <c r="D128" s="134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</row>
    <row r="129">
      <c r="A129" s="134"/>
      <c r="B129" s="134"/>
      <c r="C129" s="134"/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</row>
    <row r="130">
      <c r="A130" s="134"/>
      <c r="B130" s="134"/>
      <c r="C130" s="134"/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</row>
    <row r="131">
      <c r="A131" s="134"/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</row>
    <row r="132">
      <c r="A132" s="134"/>
      <c r="B132" s="134"/>
      <c r="C132" s="134"/>
      <c r="D132" s="134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</row>
    <row r="133">
      <c r="A133" s="134"/>
      <c r="B133" s="134"/>
      <c r="C133" s="134"/>
      <c r="D133" s="134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</row>
    <row r="134">
      <c r="A134" s="134"/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</row>
    <row r="135">
      <c r="A135" s="134"/>
      <c r="B135" s="134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</row>
    <row r="136">
      <c r="A136" s="134"/>
      <c r="B136" s="134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</row>
    <row r="137">
      <c r="A137" s="134"/>
      <c r="B137" s="134"/>
      <c r="C137" s="134"/>
      <c r="D137" s="134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</row>
    <row r="138">
      <c r="A138" s="134"/>
      <c r="B138" s="134"/>
      <c r="C138" s="134"/>
      <c r="D138" s="134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</row>
    <row r="139">
      <c r="A139" s="134"/>
      <c r="B139" s="134"/>
      <c r="C139" s="134"/>
      <c r="D139" s="134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</row>
    <row r="140">
      <c r="A140" s="134"/>
      <c r="B140" s="134"/>
      <c r="C140" s="134"/>
      <c r="D140" s="134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</row>
    <row r="141">
      <c r="A141" s="134"/>
      <c r="B141" s="134"/>
      <c r="C141" s="134"/>
      <c r="D141" s="134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34"/>
      <c r="R141" s="134"/>
      <c r="S141" s="134"/>
      <c r="T141" s="134"/>
      <c r="U141" s="134"/>
      <c r="V141" s="134"/>
      <c r="W141" s="134"/>
    </row>
    <row r="142">
      <c r="A142" s="134"/>
      <c r="B142" s="134"/>
      <c r="C142" s="134"/>
      <c r="D142" s="134"/>
      <c r="E142" s="134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34"/>
      <c r="R142" s="134"/>
      <c r="S142" s="134"/>
      <c r="T142" s="134"/>
      <c r="U142" s="134"/>
      <c r="V142" s="134"/>
      <c r="W142" s="134"/>
    </row>
    <row r="143">
      <c r="A143" s="134"/>
      <c r="B143" s="134"/>
      <c r="C143" s="134"/>
      <c r="D143" s="134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</row>
    <row r="144">
      <c r="A144" s="134"/>
      <c r="B144" s="134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</row>
    <row r="145">
      <c r="A145" s="134"/>
      <c r="B145" s="134"/>
      <c r="C145" s="134"/>
      <c r="D145" s="134"/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</row>
    <row r="146">
      <c r="A146" s="134"/>
      <c r="B146" s="134"/>
      <c r="C146" s="134"/>
      <c r="D146" s="134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</row>
    <row r="147">
      <c r="A147" s="134"/>
      <c r="B147" s="134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</row>
    <row r="148">
      <c r="A148" s="134"/>
      <c r="B148" s="134"/>
      <c r="C148" s="134"/>
      <c r="D148" s="134"/>
      <c r="E148" s="134"/>
      <c r="F148" s="134"/>
      <c r="G148" s="134"/>
      <c r="H148" s="134"/>
      <c r="I148" s="134"/>
      <c r="J148" s="134"/>
      <c r="K148" s="134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</row>
    <row r="149">
      <c r="A149" s="134"/>
      <c r="B149" s="134"/>
      <c r="C149" s="134"/>
      <c r="D149" s="134"/>
      <c r="E149" s="134"/>
      <c r="F149" s="134"/>
      <c r="G149" s="134"/>
      <c r="H149" s="134"/>
      <c r="I149" s="134"/>
      <c r="J149" s="134"/>
      <c r="K149" s="134"/>
      <c r="L149" s="134"/>
      <c r="M149" s="134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</row>
    <row r="150">
      <c r="A150" s="134"/>
      <c r="B150" s="134"/>
      <c r="C150" s="134"/>
      <c r="D150" s="134"/>
      <c r="E150" s="134"/>
      <c r="F150" s="134"/>
      <c r="G150" s="134"/>
      <c r="H150" s="134"/>
      <c r="I150" s="134"/>
      <c r="J150" s="134"/>
      <c r="K150" s="134"/>
      <c r="L150" s="134"/>
      <c r="M150" s="134"/>
      <c r="N150" s="134"/>
      <c r="O150" s="134"/>
      <c r="P150" s="134"/>
      <c r="Q150" s="134"/>
      <c r="R150" s="134"/>
      <c r="S150" s="134"/>
      <c r="T150" s="134"/>
      <c r="U150" s="134"/>
      <c r="V150" s="134"/>
      <c r="W150" s="134"/>
    </row>
    <row r="151">
      <c r="A151" s="134"/>
      <c r="B151" s="134"/>
      <c r="C151" s="134"/>
      <c r="D151" s="134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</row>
    <row r="152">
      <c r="A152" s="134"/>
      <c r="B152" s="134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</row>
    <row r="153">
      <c r="A153" s="134"/>
      <c r="B153" s="134"/>
      <c r="C153" s="134"/>
      <c r="D153" s="134"/>
      <c r="E153" s="134"/>
      <c r="F153" s="134"/>
      <c r="G153" s="134"/>
      <c r="H153" s="134"/>
      <c r="I153" s="134"/>
      <c r="J153" s="134"/>
      <c r="K153" s="134"/>
      <c r="L153" s="134"/>
      <c r="M153" s="134"/>
      <c r="N153" s="134"/>
      <c r="O153" s="134"/>
      <c r="P153" s="134"/>
      <c r="Q153" s="134"/>
      <c r="R153" s="134"/>
      <c r="S153" s="134"/>
      <c r="T153" s="134"/>
      <c r="U153" s="134"/>
      <c r="V153" s="134"/>
      <c r="W153" s="134"/>
    </row>
    <row r="154">
      <c r="A154" s="134"/>
      <c r="B154" s="134"/>
      <c r="C154" s="134"/>
      <c r="D154" s="134"/>
      <c r="E154" s="134"/>
      <c r="F154" s="134"/>
      <c r="G154" s="134"/>
      <c r="H154" s="134"/>
      <c r="I154" s="134"/>
      <c r="J154" s="134"/>
      <c r="K154" s="134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  <c r="V154" s="134"/>
      <c r="W154" s="134"/>
    </row>
    <row r="155">
      <c r="A155" s="134"/>
      <c r="B155" s="134"/>
      <c r="C155" s="134"/>
      <c r="D155" s="134"/>
      <c r="E155" s="134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4"/>
      <c r="Q155" s="134"/>
      <c r="R155" s="134"/>
      <c r="S155" s="134"/>
      <c r="T155" s="134"/>
      <c r="U155" s="134"/>
      <c r="V155" s="134"/>
      <c r="W155" s="134"/>
    </row>
    <row r="156">
      <c r="A156" s="134"/>
      <c r="B156" s="134"/>
      <c r="C156" s="134"/>
      <c r="D156" s="134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</row>
    <row r="157">
      <c r="A157" s="134"/>
      <c r="B157" s="134"/>
      <c r="C157" s="134"/>
      <c r="D157" s="134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</row>
    <row r="158">
      <c r="A158" s="134"/>
      <c r="B158" s="134"/>
      <c r="C158" s="134"/>
      <c r="D158" s="134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</row>
    <row r="159">
      <c r="A159" s="134"/>
      <c r="B159" s="134"/>
      <c r="C159" s="134"/>
      <c r="D159" s="134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</row>
    <row r="160">
      <c r="A160" s="134"/>
      <c r="B160" s="134"/>
      <c r="C160" s="134"/>
      <c r="D160" s="134"/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</row>
    <row r="161">
      <c r="A161" s="134"/>
      <c r="B161" s="134"/>
      <c r="C161" s="134"/>
      <c r="D161" s="134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</row>
    <row r="162">
      <c r="A162" s="134"/>
      <c r="B162" s="134"/>
      <c r="C162" s="134"/>
      <c r="D162" s="134"/>
      <c r="E162" s="134"/>
      <c r="F162" s="134"/>
      <c r="G162" s="134"/>
      <c r="H162" s="134"/>
      <c r="I162" s="134"/>
      <c r="J162" s="134"/>
      <c r="K162" s="134"/>
      <c r="L162" s="134"/>
      <c r="M162" s="134"/>
      <c r="N162" s="134"/>
      <c r="O162" s="134"/>
      <c r="P162" s="134"/>
      <c r="Q162" s="134"/>
      <c r="R162" s="134"/>
      <c r="S162" s="134"/>
      <c r="T162" s="134"/>
      <c r="U162" s="134"/>
      <c r="V162" s="134"/>
      <c r="W162" s="134"/>
    </row>
    <row r="163">
      <c r="A163" s="134"/>
      <c r="B163" s="134"/>
      <c r="C163" s="134"/>
      <c r="D163" s="134"/>
      <c r="E163" s="134"/>
      <c r="F163" s="134"/>
      <c r="G163" s="134"/>
      <c r="H163" s="134"/>
      <c r="I163" s="134"/>
      <c r="J163" s="134"/>
      <c r="K163" s="134"/>
      <c r="L163" s="134"/>
      <c r="M163" s="134"/>
      <c r="N163" s="134"/>
      <c r="O163" s="134"/>
      <c r="P163" s="134"/>
      <c r="Q163" s="134"/>
      <c r="R163" s="134"/>
      <c r="S163" s="134"/>
      <c r="T163" s="134"/>
      <c r="U163" s="134"/>
      <c r="V163" s="134"/>
      <c r="W163" s="134"/>
    </row>
    <row r="164">
      <c r="A164" s="134"/>
      <c r="B164" s="134"/>
      <c r="C164" s="134"/>
      <c r="D164" s="134"/>
      <c r="E164" s="134"/>
      <c r="F164" s="134"/>
      <c r="G164" s="134"/>
      <c r="H164" s="134"/>
      <c r="I164" s="134"/>
      <c r="J164" s="134"/>
      <c r="K164" s="134"/>
      <c r="L164" s="134"/>
      <c r="M164" s="134"/>
      <c r="N164" s="134"/>
      <c r="O164" s="134"/>
      <c r="P164" s="134"/>
      <c r="Q164" s="134"/>
      <c r="R164" s="134"/>
      <c r="S164" s="134"/>
      <c r="T164" s="134"/>
      <c r="U164" s="134"/>
      <c r="V164" s="134"/>
      <c r="W164" s="134"/>
    </row>
    <row r="165">
      <c r="A165" s="134"/>
      <c r="B165" s="134"/>
      <c r="C165" s="134"/>
      <c r="D165" s="134"/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</row>
    <row r="166">
      <c r="A166" s="134"/>
      <c r="B166" s="134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</row>
    <row r="167">
      <c r="A167" s="134"/>
      <c r="B167" s="134"/>
      <c r="C167" s="134"/>
      <c r="D167" s="134"/>
      <c r="E167" s="134"/>
      <c r="F167" s="134"/>
      <c r="G167" s="134"/>
      <c r="H167" s="134"/>
      <c r="I167" s="134"/>
      <c r="J167" s="134"/>
      <c r="K167" s="134"/>
      <c r="L167" s="134"/>
      <c r="M167" s="134"/>
      <c r="N167" s="134"/>
      <c r="O167" s="134"/>
      <c r="P167" s="134"/>
      <c r="Q167" s="134"/>
      <c r="R167" s="134"/>
      <c r="S167" s="134"/>
      <c r="T167" s="134"/>
      <c r="U167" s="134"/>
      <c r="V167" s="134"/>
      <c r="W167" s="134"/>
    </row>
    <row r="168">
      <c r="A168" s="134"/>
      <c r="B168" s="134"/>
      <c r="C168" s="134"/>
      <c r="D168" s="134"/>
      <c r="E168" s="134"/>
      <c r="F168" s="134"/>
      <c r="G168" s="134"/>
      <c r="H168" s="134"/>
      <c r="I168" s="134"/>
      <c r="J168" s="134"/>
      <c r="K168" s="134"/>
      <c r="L168" s="134"/>
      <c r="M168" s="134"/>
      <c r="N168" s="134"/>
      <c r="O168" s="134"/>
      <c r="P168" s="134"/>
      <c r="Q168" s="134"/>
      <c r="R168" s="134"/>
      <c r="S168" s="134"/>
      <c r="T168" s="134"/>
      <c r="U168" s="134"/>
      <c r="V168" s="134"/>
      <c r="W168" s="134"/>
    </row>
    <row r="169">
      <c r="A169" s="134"/>
      <c r="B169" s="134"/>
      <c r="C169" s="134"/>
      <c r="D169" s="134"/>
      <c r="E169" s="134"/>
      <c r="F169" s="134"/>
      <c r="G169" s="134"/>
      <c r="H169" s="134"/>
      <c r="I169" s="134"/>
      <c r="J169" s="134"/>
      <c r="K169" s="134"/>
      <c r="L169" s="134"/>
      <c r="M169" s="134"/>
      <c r="N169" s="134"/>
      <c r="O169" s="134"/>
      <c r="P169" s="134"/>
      <c r="Q169" s="134"/>
      <c r="R169" s="134"/>
      <c r="S169" s="134"/>
      <c r="T169" s="134"/>
      <c r="U169" s="134"/>
      <c r="V169" s="134"/>
      <c r="W169" s="134"/>
    </row>
    <row r="170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</row>
    <row r="171">
      <c r="A171" s="134"/>
      <c r="B171" s="134"/>
      <c r="C171" s="134"/>
      <c r="D171" s="134"/>
      <c r="E171" s="134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34"/>
      <c r="R171" s="134"/>
      <c r="S171" s="134"/>
      <c r="T171" s="134"/>
      <c r="U171" s="134"/>
      <c r="V171" s="134"/>
      <c r="W171" s="134"/>
    </row>
    <row r="172">
      <c r="A172" s="134"/>
      <c r="B172" s="134"/>
      <c r="C172" s="134"/>
      <c r="D172" s="134"/>
      <c r="E172" s="134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34"/>
      <c r="R172" s="134"/>
      <c r="S172" s="134"/>
      <c r="T172" s="134"/>
      <c r="U172" s="134"/>
      <c r="V172" s="134"/>
      <c r="W172" s="134"/>
    </row>
    <row r="173">
      <c r="A173" s="134"/>
      <c r="B173" s="134"/>
      <c r="C173" s="134"/>
      <c r="D173" s="134"/>
      <c r="E173" s="134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</row>
    <row r="174">
      <c r="A174" s="134"/>
      <c r="B174" s="134"/>
      <c r="C174" s="134"/>
      <c r="D174" s="134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</row>
    <row r="175">
      <c r="A175" s="134"/>
      <c r="B175" s="134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</row>
    <row r="176">
      <c r="A176" s="134"/>
      <c r="B176" s="134"/>
      <c r="C176" s="134"/>
      <c r="D176" s="134"/>
      <c r="E176" s="134"/>
      <c r="F176" s="134"/>
      <c r="G176" s="134"/>
      <c r="H176" s="134"/>
      <c r="I176" s="134"/>
      <c r="J176" s="134"/>
      <c r="K176" s="134"/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  <c r="V176" s="134"/>
      <c r="W176" s="134"/>
    </row>
    <row r="177">
      <c r="A177" s="134"/>
      <c r="B177" s="134"/>
      <c r="C177" s="134"/>
      <c r="D177" s="134"/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  <c r="P177" s="134"/>
      <c r="Q177" s="134"/>
      <c r="R177" s="134"/>
      <c r="S177" s="134"/>
      <c r="T177" s="134"/>
      <c r="U177" s="134"/>
      <c r="V177" s="134"/>
      <c r="W177" s="134"/>
    </row>
    <row r="178">
      <c r="A178" s="134"/>
      <c r="B178" s="134"/>
      <c r="C178" s="134"/>
      <c r="D178" s="134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</row>
    <row r="179">
      <c r="A179" s="134"/>
      <c r="B179" s="134"/>
      <c r="C179" s="134"/>
      <c r="D179" s="134"/>
      <c r="E179" s="134"/>
      <c r="F179" s="134"/>
      <c r="G179" s="134"/>
      <c r="H179" s="134"/>
      <c r="I179" s="134"/>
      <c r="J179" s="134"/>
      <c r="K179" s="134"/>
      <c r="L179" s="134"/>
      <c r="M179" s="134"/>
      <c r="N179" s="134"/>
      <c r="O179" s="134"/>
      <c r="P179" s="134"/>
      <c r="Q179" s="134"/>
      <c r="R179" s="134"/>
      <c r="S179" s="134"/>
      <c r="T179" s="134"/>
      <c r="U179" s="134"/>
      <c r="V179" s="134"/>
      <c r="W179" s="134"/>
    </row>
    <row r="180">
      <c r="A180" s="134"/>
      <c r="B180" s="134"/>
      <c r="C180" s="134"/>
      <c r="D180" s="134"/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</row>
    <row r="181">
      <c r="A181" s="134"/>
      <c r="B181" s="134"/>
      <c r="C181" s="134"/>
      <c r="D181" s="134"/>
      <c r="E181" s="134"/>
      <c r="F181" s="134"/>
      <c r="G181" s="134"/>
      <c r="H181" s="134"/>
      <c r="I181" s="134"/>
      <c r="J181" s="134"/>
      <c r="K181" s="134"/>
      <c r="L181" s="134"/>
      <c r="M181" s="134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</row>
    <row r="182">
      <c r="A182" s="134"/>
      <c r="B182" s="134"/>
      <c r="C182" s="134"/>
      <c r="D182" s="134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</row>
    <row r="183">
      <c r="A183" s="134"/>
      <c r="B183" s="134"/>
      <c r="C183" s="134"/>
      <c r="D183" s="134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  <c r="S183" s="134"/>
      <c r="T183" s="134"/>
      <c r="U183" s="134"/>
      <c r="V183" s="134"/>
      <c r="W183" s="134"/>
    </row>
    <row r="184">
      <c r="A184" s="134"/>
      <c r="B184" s="134"/>
      <c r="C184" s="134"/>
      <c r="D184" s="134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</row>
    <row r="185">
      <c r="A185" s="134"/>
      <c r="B185" s="134"/>
      <c r="C185" s="134"/>
      <c r="D185" s="134"/>
      <c r="E185" s="134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</row>
    <row r="186">
      <c r="A186" s="134"/>
      <c r="B186" s="134"/>
      <c r="C186" s="134"/>
      <c r="D186" s="134"/>
      <c r="E186" s="134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34"/>
      <c r="Q186" s="134"/>
      <c r="R186" s="134"/>
      <c r="S186" s="134"/>
      <c r="T186" s="134"/>
      <c r="U186" s="134"/>
      <c r="V186" s="134"/>
      <c r="W186" s="134"/>
    </row>
    <row r="187">
      <c r="A187" s="134"/>
      <c r="B187" s="134"/>
      <c r="C187" s="134"/>
      <c r="D187" s="134"/>
      <c r="E187" s="134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34"/>
      <c r="R187" s="134"/>
      <c r="S187" s="134"/>
      <c r="T187" s="134"/>
      <c r="U187" s="134"/>
      <c r="V187" s="134"/>
      <c r="W187" s="134"/>
    </row>
    <row r="188">
      <c r="A188" s="134"/>
      <c r="B188" s="134"/>
      <c r="C188" s="134"/>
      <c r="D188" s="134"/>
      <c r="E188" s="134"/>
      <c r="F188" s="134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34"/>
      <c r="R188" s="134"/>
      <c r="S188" s="134"/>
      <c r="T188" s="134"/>
      <c r="U188" s="134"/>
      <c r="V188" s="134"/>
      <c r="W188" s="134"/>
    </row>
    <row r="189">
      <c r="A189" s="134"/>
      <c r="B189" s="134"/>
      <c r="C189" s="134"/>
      <c r="D189" s="134"/>
      <c r="E189" s="134"/>
      <c r="F189" s="134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34"/>
      <c r="R189" s="134"/>
      <c r="S189" s="134"/>
      <c r="T189" s="134"/>
      <c r="U189" s="134"/>
      <c r="V189" s="134"/>
      <c r="W189" s="134"/>
    </row>
    <row r="190">
      <c r="A190" s="134"/>
      <c r="B190" s="134"/>
      <c r="C190" s="134"/>
      <c r="D190" s="134"/>
      <c r="E190" s="134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  <c r="P190" s="134"/>
      <c r="Q190" s="134"/>
      <c r="R190" s="134"/>
      <c r="S190" s="134"/>
      <c r="T190" s="134"/>
      <c r="U190" s="134"/>
      <c r="V190" s="134"/>
      <c r="W190" s="134"/>
    </row>
    <row r="191">
      <c r="A191" s="134"/>
      <c r="B191" s="134"/>
      <c r="C191" s="134"/>
      <c r="D191" s="134"/>
      <c r="E191" s="134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34"/>
      <c r="R191" s="134"/>
      <c r="S191" s="134"/>
      <c r="T191" s="134"/>
      <c r="U191" s="134"/>
      <c r="V191" s="134"/>
      <c r="W191" s="134"/>
    </row>
    <row r="192">
      <c r="A192" s="134"/>
      <c r="B192" s="134"/>
      <c r="C192" s="134"/>
      <c r="D192" s="134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</row>
    <row r="193">
      <c r="A193" s="134"/>
      <c r="B193" s="134"/>
      <c r="C193" s="134"/>
      <c r="D193" s="134"/>
      <c r="E193" s="134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</row>
    <row r="194">
      <c r="A194" s="134"/>
      <c r="B194" s="134"/>
      <c r="C194" s="134"/>
      <c r="D194" s="134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34"/>
      <c r="R194" s="134"/>
      <c r="S194" s="134"/>
      <c r="T194" s="134"/>
      <c r="U194" s="134"/>
      <c r="V194" s="134"/>
      <c r="W194" s="134"/>
    </row>
    <row r="195">
      <c r="A195" s="134"/>
      <c r="B195" s="134"/>
      <c r="C195" s="134"/>
      <c r="D195" s="134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34"/>
      <c r="R195" s="134"/>
      <c r="S195" s="134"/>
      <c r="T195" s="134"/>
      <c r="U195" s="134"/>
      <c r="V195" s="134"/>
      <c r="W195" s="134"/>
    </row>
    <row r="196">
      <c r="A196" s="134"/>
      <c r="B196" s="134"/>
      <c r="C196" s="134"/>
      <c r="D196" s="134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34"/>
      <c r="R196" s="134"/>
      <c r="S196" s="134"/>
      <c r="T196" s="134"/>
      <c r="U196" s="134"/>
      <c r="V196" s="134"/>
      <c r="W196" s="134"/>
    </row>
    <row r="197">
      <c r="A197" s="134"/>
      <c r="B197" s="134"/>
      <c r="C197" s="134"/>
      <c r="D197" s="134"/>
      <c r="E197" s="134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34"/>
      <c r="R197" s="134"/>
      <c r="S197" s="134"/>
      <c r="T197" s="134"/>
      <c r="U197" s="134"/>
      <c r="V197" s="134"/>
      <c r="W197" s="134"/>
    </row>
    <row r="198">
      <c r="A198" s="134"/>
      <c r="B198" s="134"/>
      <c r="C198" s="134"/>
      <c r="D198" s="134"/>
      <c r="E198" s="134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34"/>
      <c r="R198" s="134"/>
      <c r="S198" s="134"/>
      <c r="T198" s="134"/>
      <c r="U198" s="134"/>
      <c r="V198" s="134"/>
      <c r="W198" s="134"/>
    </row>
    <row r="199">
      <c r="A199" s="134"/>
      <c r="B199" s="134"/>
      <c r="C199" s="134"/>
      <c r="D199" s="134"/>
      <c r="E199" s="134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  <c r="P199" s="134"/>
      <c r="Q199" s="134"/>
      <c r="R199" s="134"/>
      <c r="S199" s="134"/>
      <c r="T199" s="134"/>
      <c r="U199" s="134"/>
      <c r="V199" s="134"/>
      <c r="W199" s="134"/>
    </row>
    <row r="200">
      <c r="A200" s="134"/>
      <c r="B200" s="134"/>
      <c r="C200" s="134"/>
      <c r="D200" s="134"/>
      <c r="E200" s="134"/>
      <c r="F200" s="134"/>
      <c r="G200" s="134"/>
      <c r="H200" s="134"/>
      <c r="I200" s="134"/>
      <c r="J200" s="134"/>
      <c r="K200" s="134"/>
      <c r="L200" s="134"/>
      <c r="M200" s="134"/>
      <c r="N200" s="134"/>
      <c r="O200" s="134"/>
      <c r="P200" s="134"/>
      <c r="Q200" s="134"/>
      <c r="R200" s="134"/>
      <c r="S200" s="134"/>
      <c r="T200" s="134"/>
      <c r="U200" s="134"/>
      <c r="V200" s="134"/>
      <c r="W200" s="134"/>
    </row>
    <row r="201">
      <c r="A201" s="134"/>
      <c r="B201" s="134"/>
      <c r="C201" s="134"/>
      <c r="D201" s="134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34"/>
      <c r="R201" s="134"/>
      <c r="S201" s="134"/>
      <c r="T201" s="134"/>
      <c r="U201" s="134"/>
      <c r="V201" s="134"/>
      <c r="W201" s="134"/>
    </row>
    <row r="202">
      <c r="A202" s="134"/>
      <c r="B202" s="134"/>
      <c r="C202" s="134"/>
      <c r="D202" s="134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</row>
    <row r="203">
      <c r="A203" s="134"/>
      <c r="B203" s="134"/>
      <c r="C203" s="134"/>
      <c r="D203" s="134"/>
      <c r="E203" s="134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34"/>
      <c r="R203" s="134"/>
      <c r="S203" s="134"/>
      <c r="T203" s="134"/>
      <c r="U203" s="134"/>
      <c r="V203" s="134"/>
      <c r="W203" s="134"/>
    </row>
    <row r="204">
      <c r="A204" s="134"/>
      <c r="B204" s="134"/>
      <c r="C204" s="134"/>
      <c r="D204" s="134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</row>
    <row r="205">
      <c r="A205" s="134"/>
      <c r="B205" s="134"/>
      <c r="C205" s="134"/>
      <c r="D205" s="134"/>
      <c r="E205" s="134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34"/>
      <c r="R205" s="134"/>
      <c r="S205" s="134"/>
      <c r="T205" s="134"/>
      <c r="U205" s="134"/>
      <c r="V205" s="134"/>
      <c r="W205" s="134"/>
    </row>
    <row r="206">
      <c r="A206" s="134"/>
      <c r="B206" s="134"/>
      <c r="C206" s="134"/>
      <c r="D206" s="134"/>
      <c r="E206" s="134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</row>
    <row r="207">
      <c r="A207" s="134"/>
      <c r="B207" s="134"/>
      <c r="C207" s="134"/>
      <c r="D207" s="134"/>
      <c r="E207" s="134"/>
      <c r="F207" s="134"/>
      <c r="G207" s="134"/>
      <c r="H207" s="134"/>
      <c r="I207" s="134"/>
      <c r="J207" s="134"/>
      <c r="K207" s="134"/>
      <c r="L207" s="134"/>
      <c r="M207" s="134"/>
      <c r="N207" s="134"/>
      <c r="O207" s="134"/>
      <c r="P207" s="134"/>
      <c r="Q207" s="134"/>
      <c r="R207" s="134"/>
      <c r="S207" s="134"/>
      <c r="T207" s="134"/>
      <c r="U207" s="134"/>
      <c r="V207" s="134"/>
      <c r="W207" s="134"/>
    </row>
    <row r="208">
      <c r="A208" s="134"/>
      <c r="B208" s="134"/>
      <c r="C208" s="134"/>
      <c r="D208" s="134"/>
      <c r="E208" s="134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  <c r="P208" s="134"/>
      <c r="Q208" s="134"/>
      <c r="R208" s="134"/>
      <c r="S208" s="134"/>
      <c r="T208" s="134"/>
      <c r="U208" s="134"/>
      <c r="V208" s="134"/>
      <c r="W208" s="134"/>
    </row>
    <row r="209">
      <c r="A209" s="134"/>
      <c r="B209" s="134"/>
      <c r="C209" s="134"/>
      <c r="D209" s="134"/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</row>
    <row r="210">
      <c r="A210" s="134"/>
      <c r="B210" s="134"/>
      <c r="C210" s="134"/>
      <c r="D210" s="134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  <c r="P210" s="134"/>
      <c r="Q210" s="134"/>
      <c r="R210" s="134"/>
      <c r="S210" s="134"/>
      <c r="T210" s="134"/>
      <c r="U210" s="134"/>
      <c r="V210" s="134"/>
      <c r="W210" s="134"/>
    </row>
    <row r="211">
      <c r="A211" s="134"/>
      <c r="B211" s="134"/>
      <c r="C211" s="134"/>
      <c r="D211" s="134"/>
      <c r="E211" s="134"/>
      <c r="F211" s="134"/>
      <c r="G211" s="134"/>
      <c r="H211" s="134"/>
      <c r="I211" s="134"/>
      <c r="J211" s="134"/>
      <c r="K211" s="134"/>
      <c r="L211" s="134"/>
      <c r="M211" s="134"/>
      <c r="N211" s="134"/>
      <c r="O211" s="134"/>
      <c r="P211" s="134"/>
      <c r="Q211" s="134"/>
      <c r="R211" s="134"/>
      <c r="S211" s="134"/>
      <c r="T211" s="134"/>
      <c r="U211" s="134"/>
      <c r="V211" s="134"/>
      <c r="W211" s="134"/>
    </row>
    <row r="212">
      <c r="A212" s="134"/>
      <c r="B212" s="134"/>
      <c r="C212" s="134"/>
      <c r="D212" s="134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</row>
    <row r="213">
      <c r="A213" s="134"/>
      <c r="B213" s="134"/>
      <c r="C213" s="134"/>
      <c r="D213" s="134"/>
      <c r="E213" s="134"/>
      <c r="F213" s="134"/>
      <c r="G213" s="134"/>
      <c r="H213" s="134"/>
      <c r="I213" s="134"/>
      <c r="J213" s="134"/>
      <c r="K213" s="134"/>
      <c r="L213" s="134"/>
      <c r="M213" s="134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</row>
    <row r="214">
      <c r="A214" s="134"/>
      <c r="B214" s="134"/>
      <c r="C214" s="134"/>
      <c r="D214" s="134"/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</row>
    <row r="215">
      <c r="A215" s="134"/>
      <c r="B215" s="134"/>
      <c r="C215" s="134"/>
      <c r="D215" s="134"/>
      <c r="E215" s="134"/>
      <c r="F215" s="134"/>
      <c r="G215" s="134"/>
      <c r="H215" s="134"/>
      <c r="I215" s="134"/>
      <c r="J215" s="134"/>
      <c r="K215" s="134"/>
      <c r="L215" s="134"/>
      <c r="M215" s="134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</row>
    <row r="216">
      <c r="A216" s="134"/>
      <c r="B216" s="134"/>
      <c r="C216" s="134"/>
      <c r="D216" s="134"/>
      <c r="E216" s="134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</row>
    <row r="217">
      <c r="A217" s="134"/>
      <c r="B217" s="134"/>
      <c r="C217" s="134"/>
      <c r="D217" s="134"/>
      <c r="E217" s="134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</row>
    <row r="218">
      <c r="A218" s="134"/>
      <c r="B218" s="134"/>
      <c r="C218" s="134"/>
      <c r="D218" s="134"/>
      <c r="E218" s="134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</row>
    <row r="219">
      <c r="A219" s="134"/>
      <c r="B219" s="134"/>
      <c r="C219" s="134"/>
      <c r="D219" s="134"/>
      <c r="E219" s="134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</row>
    <row r="220">
      <c r="A220" s="134"/>
      <c r="B220" s="134"/>
      <c r="C220" s="134"/>
      <c r="D220" s="134"/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</row>
    <row r="221">
      <c r="A221" s="134"/>
      <c r="B221" s="134"/>
      <c r="C221" s="134"/>
      <c r="D221" s="134"/>
      <c r="E221" s="134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</row>
    <row r="222">
      <c r="A222" s="134"/>
      <c r="B222" s="134"/>
      <c r="C222" s="134"/>
      <c r="D222" s="134"/>
      <c r="E222" s="134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34"/>
      <c r="R222" s="134"/>
      <c r="S222" s="134"/>
      <c r="T222" s="134"/>
      <c r="U222" s="134"/>
      <c r="V222" s="134"/>
      <c r="W222" s="134"/>
    </row>
    <row r="223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</row>
    <row r="224">
      <c r="A224" s="134"/>
      <c r="B224" s="134"/>
      <c r="C224" s="134"/>
      <c r="D224" s="134"/>
      <c r="E224" s="134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34"/>
      <c r="R224" s="134"/>
      <c r="S224" s="134"/>
      <c r="T224" s="134"/>
      <c r="U224" s="134"/>
      <c r="V224" s="134"/>
      <c r="W224" s="134"/>
    </row>
    <row r="225">
      <c r="A225" s="134"/>
      <c r="B225" s="134"/>
      <c r="C225" s="134"/>
      <c r="D225" s="134"/>
      <c r="E225" s="134"/>
      <c r="F225" s="134"/>
      <c r="G225" s="134"/>
      <c r="H225" s="134"/>
      <c r="I225" s="134"/>
      <c r="J225" s="134"/>
      <c r="K225" s="134"/>
      <c r="L225" s="134"/>
      <c r="M225" s="134"/>
      <c r="N225" s="134"/>
      <c r="O225" s="134"/>
      <c r="P225" s="134"/>
      <c r="Q225" s="134"/>
      <c r="R225" s="134"/>
      <c r="S225" s="134"/>
      <c r="T225" s="134"/>
      <c r="U225" s="134"/>
      <c r="V225" s="134"/>
      <c r="W225" s="134"/>
    </row>
    <row r="226">
      <c r="A226" s="134"/>
      <c r="B226" s="134"/>
      <c r="C226" s="134"/>
      <c r="D226" s="134"/>
      <c r="E226" s="134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</row>
    <row r="227">
      <c r="A227" s="134"/>
      <c r="B227" s="134"/>
      <c r="C227" s="134"/>
      <c r="D227" s="134"/>
      <c r="E227" s="134"/>
      <c r="F227" s="134"/>
      <c r="G227" s="134"/>
      <c r="H227" s="134"/>
      <c r="I227" s="134"/>
      <c r="J227" s="134"/>
      <c r="K227" s="134"/>
      <c r="L227" s="134"/>
      <c r="M227" s="134"/>
      <c r="N227" s="134"/>
      <c r="O227" s="134"/>
      <c r="P227" s="134"/>
      <c r="Q227" s="134"/>
      <c r="R227" s="134"/>
      <c r="S227" s="134"/>
      <c r="T227" s="134"/>
      <c r="U227" s="134"/>
      <c r="V227" s="134"/>
      <c r="W227" s="134"/>
    </row>
    <row r="228">
      <c r="A228" s="134"/>
      <c r="B228" s="134"/>
      <c r="C228" s="134"/>
      <c r="D228" s="134"/>
      <c r="E228" s="134"/>
      <c r="F228" s="134"/>
      <c r="G228" s="134"/>
      <c r="H228" s="134"/>
      <c r="I228" s="134"/>
      <c r="J228" s="134"/>
      <c r="K228" s="134"/>
      <c r="L228" s="134"/>
      <c r="M228" s="134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</row>
    <row r="229">
      <c r="A229" s="134"/>
      <c r="B229" s="134"/>
      <c r="C229" s="134"/>
      <c r="D229" s="134"/>
      <c r="E229" s="134"/>
      <c r="F229" s="134"/>
      <c r="G229" s="134"/>
      <c r="H229" s="134"/>
      <c r="I229" s="134"/>
      <c r="J229" s="134"/>
      <c r="K229" s="134"/>
      <c r="L229" s="134"/>
      <c r="M229" s="134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</row>
    <row r="230">
      <c r="A230" s="134"/>
      <c r="B230" s="134"/>
      <c r="C230" s="134"/>
      <c r="D230" s="134"/>
      <c r="E230" s="134"/>
      <c r="F230" s="134"/>
      <c r="G230" s="134"/>
      <c r="H230" s="134"/>
      <c r="I230" s="134"/>
      <c r="J230" s="134"/>
      <c r="K230" s="134"/>
      <c r="L230" s="134"/>
      <c r="M230" s="134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</row>
    <row r="231">
      <c r="A231" s="134"/>
      <c r="B231" s="134"/>
      <c r="C231" s="134"/>
      <c r="D231" s="134"/>
      <c r="E231" s="134"/>
      <c r="F231" s="134"/>
      <c r="G231" s="134"/>
      <c r="H231" s="134"/>
      <c r="I231" s="134"/>
      <c r="J231" s="134"/>
      <c r="K231" s="134"/>
      <c r="L231" s="134"/>
      <c r="M231" s="134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</row>
    <row r="232">
      <c r="A232" s="134"/>
      <c r="B232" s="134"/>
      <c r="C232" s="134"/>
      <c r="D232" s="134"/>
      <c r="E232" s="134"/>
      <c r="F232" s="134"/>
      <c r="G232" s="134"/>
      <c r="H232" s="134"/>
      <c r="I232" s="134"/>
      <c r="J232" s="134"/>
      <c r="K232" s="134"/>
      <c r="L232" s="134"/>
      <c r="M232" s="134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</row>
    <row r="233">
      <c r="A233" s="134"/>
      <c r="B233" s="134"/>
      <c r="C233" s="134"/>
      <c r="D233" s="134"/>
      <c r="E233" s="134"/>
      <c r="F233" s="134"/>
      <c r="G233" s="134"/>
      <c r="H233" s="134"/>
      <c r="I233" s="134"/>
      <c r="J233" s="134"/>
      <c r="K233" s="134"/>
      <c r="L233" s="134"/>
      <c r="M233" s="134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</row>
    <row r="234">
      <c r="A234" s="134"/>
      <c r="B234" s="134"/>
      <c r="C234" s="134"/>
      <c r="D234" s="134"/>
      <c r="E234" s="134"/>
      <c r="F234" s="134"/>
      <c r="G234" s="134"/>
      <c r="H234" s="134"/>
      <c r="I234" s="134"/>
      <c r="J234" s="134"/>
      <c r="K234" s="134"/>
      <c r="L234" s="134"/>
      <c r="M234" s="134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</row>
    <row r="235">
      <c r="A235" s="134"/>
      <c r="B235" s="134"/>
      <c r="C235" s="134"/>
      <c r="D235" s="134"/>
      <c r="E235" s="134"/>
      <c r="F235" s="134"/>
      <c r="G235" s="134"/>
      <c r="H235" s="134"/>
      <c r="I235" s="134"/>
      <c r="J235" s="134"/>
      <c r="K235" s="134"/>
      <c r="L235" s="134"/>
      <c r="M235" s="134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</row>
    <row r="236">
      <c r="A236" s="134"/>
      <c r="B236" s="134"/>
      <c r="C236" s="134"/>
      <c r="D236" s="134"/>
      <c r="E236" s="134"/>
      <c r="F236" s="134"/>
      <c r="G236" s="134"/>
      <c r="H236" s="134"/>
      <c r="I236" s="134"/>
      <c r="J236" s="134"/>
      <c r="K236" s="134"/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</row>
    <row r="237">
      <c r="A237" s="134"/>
      <c r="B237" s="134"/>
      <c r="C237" s="134"/>
      <c r="D237" s="134"/>
      <c r="E237" s="134"/>
      <c r="F237" s="134"/>
      <c r="G237" s="134"/>
      <c r="H237" s="134"/>
      <c r="I237" s="134"/>
      <c r="J237" s="134"/>
      <c r="K237" s="134"/>
      <c r="L237" s="134"/>
      <c r="M237" s="134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</row>
    <row r="238">
      <c r="A238" s="134"/>
      <c r="B238" s="134"/>
      <c r="C238" s="134"/>
      <c r="D238" s="134"/>
      <c r="E238" s="134"/>
      <c r="F238" s="134"/>
      <c r="G238" s="134"/>
      <c r="H238" s="134"/>
      <c r="I238" s="134"/>
      <c r="J238" s="134"/>
      <c r="K238" s="134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</row>
    <row r="239">
      <c r="A239" s="134"/>
      <c r="B239" s="134"/>
      <c r="C239" s="134"/>
      <c r="D239" s="134"/>
      <c r="E239" s="134"/>
      <c r="F239" s="134"/>
      <c r="G239" s="134"/>
      <c r="H239" s="134"/>
      <c r="I239" s="134"/>
      <c r="J239" s="134"/>
      <c r="K239" s="134"/>
      <c r="L239" s="134"/>
      <c r="M239" s="134"/>
      <c r="N239" s="134"/>
      <c r="O239" s="134"/>
      <c r="P239" s="134"/>
      <c r="Q239" s="134"/>
      <c r="R239" s="134"/>
      <c r="S239" s="134"/>
      <c r="T239" s="134"/>
      <c r="U239" s="134"/>
      <c r="V239" s="134"/>
      <c r="W239" s="134"/>
    </row>
    <row r="240">
      <c r="A240" s="134"/>
      <c r="B240" s="134"/>
      <c r="C240" s="134"/>
      <c r="D240" s="134"/>
      <c r="E240" s="134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4"/>
      <c r="S240" s="134"/>
      <c r="T240" s="134"/>
      <c r="U240" s="134"/>
      <c r="V240" s="134"/>
      <c r="W240" s="134"/>
    </row>
    <row r="241">
      <c r="A241" s="134"/>
      <c r="B241" s="134"/>
      <c r="C241" s="134"/>
      <c r="D241" s="134"/>
      <c r="E241" s="134"/>
      <c r="F241" s="134"/>
      <c r="G241" s="134"/>
      <c r="H241" s="134"/>
      <c r="I241" s="134"/>
      <c r="J241" s="134"/>
      <c r="K241" s="134"/>
      <c r="L241" s="134"/>
      <c r="M241" s="134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</row>
    <row r="242">
      <c r="A242" s="134"/>
      <c r="B242" s="134"/>
      <c r="C242" s="134"/>
      <c r="D242" s="134"/>
      <c r="E242" s="134"/>
      <c r="F242" s="134"/>
      <c r="G242" s="134"/>
      <c r="H242" s="134"/>
      <c r="I242" s="134"/>
      <c r="J242" s="134"/>
      <c r="K242" s="134"/>
      <c r="L242" s="134"/>
      <c r="M242" s="134"/>
      <c r="N242" s="134"/>
      <c r="O242" s="134"/>
      <c r="P242" s="134"/>
      <c r="Q242" s="134"/>
      <c r="R242" s="134"/>
      <c r="S242" s="134"/>
      <c r="T242" s="134"/>
      <c r="U242" s="134"/>
      <c r="V242" s="134"/>
      <c r="W242" s="134"/>
    </row>
    <row r="243">
      <c r="A243" s="134"/>
      <c r="B243" s="134"/>
      <c r="C243" s="134"/>
      <c r="D243" s="134"/>
      <c r="E243" s="134"/>
      <c r="F243" s="134"/>
      <c r="G243" s="134"/>
      <c r="H243" s="134"/>
      <c r="I243" s="134"/>
      <c r="J243" s="134"/>
      <c r="K243" s="134"/>
      <c r="L243" s="134"/>
      <c r="M243" s="134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</row>
    <row r="244">
      <c r="A244" s="134"/>
      <c r="B244" s="134"/>
      <c r="C244" s="134"/>
      <c r="D244" s="134"/>
      <c r="E244" s="134"/>
      <c r="F244" s="134"/>
      <c r="G244" s="134"/>
      <c r="H244" s="134"/>
      <c r="I244" s="134"/>
      <c r="J244" s="134"/>
      <c r="K244" s="134"/>
      <c r="L244" s="134"/>
      <c r="M244" s="134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</row>
    <row r="245">
      <c r="A245" s="134"/>
      <c r="B245" s="134"/>
      <c r="C245" s="134"/>
      <c r="D245" s="134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</row>
    <row r="246">
      <c r="A246" s="134"/>
      <c r="B246" s="134"/>
      <c r="C246" s="134"/>
      <c r="D246" s="134"/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</row>
    <row r="247">
      <c r="A247" s="134"/>
      <c r="B247" s="134"/>
      <c r="C247" s="134"/>
      <c r="D247" s="134"/>
      <c r="E247" s="134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</row>
    <row r="248">
      <c r="A248" s="134"/>
      <c r="B248" s="134"/>
      <c r="C248" s="134"/>
      <c r="D248" s="134"/>
      <c r="E248" s="134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</row>
    <row r="249">
      <c r="A249" s="134"/>
      <c r="B249" s="134"/>
      <c r="C249" s="134"/>
      <c r="D249" s="134"/>
      <c r="E249" s="134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</row>
    <row r="250">
      <c r="A250" s="134"/>
      <c r="B250" s="134"/>
      <c r="C250" s="134"/>
      <c r="D250" s="134"/>
      <c r="E250" s="134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</row>
    <row r="251">
      <c r="A251" s="134"/>
      <c r="B251" s="134"/>
      <c r="C251" s="134"/>
      <c r="D251" s="134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</row>
    <row r="252">
      <c r="A252" s="134"/>
      <c r="B252" s="134"/>
      <c r="C252" s="134"/>
      <c r="D252" s="134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</row>
    <row r="253">
      <c r="A253" s="134"/>
      <c r="B253" s="134"/>
      <c r="C253" s="134"/>
      <c r="D253" s="134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</row>
    <row r="254">
      <c r="A254" s="134"/>
      <c r="B254" s="134"/>
      <c r="C254" s="134"/>
      <c r="D254" s="134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</row>
    <row r="255">
      <c r="A255" s="134"/>
      <c r="B255" s="134"/>
      <c r="C255" s="134"/>
      <c r="D255" s="134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</row>
    <row r="256">
      <c r="A256" s="134"/>
      <c r="B256" s="134"/>
      <c r="C256" s="134"/>
      <c r="D256" s="134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</row>
    <row r="257">
      <c r="A257" s="134"/>
      <c r="B257" s="134"/>
      <c r="C257" s="134"/>
      <c r="D257" s="134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</row>
    <row r="258">
      <c r="A258" s="134"/>
      <c r="B258" s="134"/>
      <c r="C258" s="134"/>
      <c r="D258" s="134"/>
      <c r="E258" s="134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</row>
    <row r="259">
      <c r="A259" s="134"/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</row>
    <row r="260">
      <c r="A260" s="134"/>
      <c r="B260" s="134"/>
      <c r="C260" s="134"/>
      <c r="D260" s="134"/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</row>
    <row r="261">
      <c r="A261" s="134"/>
      <c r="B261" s="134"/>
      <c r="C261" s="134"/>
      <c r="D261" s="134"/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</row>
    <row r="262">
      <c r="A262" s="134"/>
      <c r="B262" s="134"/>
      <c r="C262" s="134"/>
      <c r="D262" s="134"/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</row>
    <row r="263">
      <c r="A263" s="134"/>
      <c r="B263" s="134"/>
      <c r="C263" s="134"/>
      <c r="D263" s="134"/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</row>
    <row r="264">
      <c r="A264" s="134"/>
      <c r="B264" s="134"/>
      <c r="C264" s="134"/>
      <c r="D264" s="134"/>
      <c r="E264" s="134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</row>
    <row r="265">
      <c r="A265" s="134"/>
      <c r="B265" s="134"/>
      <c r="C265" s="134"/>
      <c r="D265" s="134"/>
      <c r="E265" s="134"/>
      <c r="F265" s="134"/>
      <c r="G265" s="134"/>
      <c r="H265" s="134"/>
      <c r="I265" s="134"/>
      <c r="J265" s="134"/>
      <c r="K265" s="134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  <c r="V265" s="134"/>
      <c r="W265" s="134"/>
    </row>
    <row r="266">
      <c r="A266" s="134"/>
      <c r="B266" s="134"/>
      <c r="C266" s="134"/>
      <c r="D266" s="134"/>
      <c r="E266" s="134"/>
      <c r="F266" s="134"/>
      <c r="G266" s="134"/>
      <c r="H266" s="134"/>
      <c r="I266" s="134"/>
      <c r="J266" s="134"/>
      <c r="K266" s="134"/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</row>
    <row r="267">
      <c r="A267" s="134"/>
      <c r="B267" s="134"/>
      <c r="C267" s="134"/>
      <c r="D267" s="134"/>
      <c r="E267" s="134"/>
      <c r="F267" s="134"/>
      <c r="G267" s="134"/>
      <c r="H267" s="134"/>
      <c r="I267" s="134"/>
      <c r="J267" s="134"/>
      <c r="K267" s="134"/>
      <c r="L267" s="134"/>
      <c r="M267" s="134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</row>
    <row r="268">
      <c r="A268" s="134"/>
      <c r="B268" s="134"/>
      <c r="C268" s="134"/>
      <c r="D268" s="134"/>
      <c r="E268" s="134"/>
      <c r="F268" s="134"/>
      <c r="G268" s="134"/>
      <c r="H268" s="134"/>
      <c r="I268" s="134"/>
      <c r="J268" s="134"/>
      <c r="K268" s="134"/>
      <c r="L268" s="134"/>
      <c r="M268" s="134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</row>
    <row r="269">
      <c r="A269" s="134"/>
      <c r="B269" s="134"/>
      <c r="C269" s="134"/>
      <c r="D269" s="134"/>
      <c r="E269" s="134"/>
      <c r="F269" s="134"/>
      <c r="G269" s="134"/>
      <c r="H269" s="134"/>
      <c r="I269" s="134"/>
      <c r="J269" s="134"/>
      <c r="K269" s="134"/>
      <c r="L269" s="134"/>
      <c r="M269" s="134"/>
      <c r="N269" s="134"/>
      <c r="O269" s="134"/>
      <c r="P269" s="134"/>
      <c r="Q269" s="134"/>
      <c r="R269" s="134"/>
      <c r="S269" s="134"/>
      <c r="T269" s="134"/>
      <c r="U269" s="134"/>
      <c r="V269" s="134"/>
      <c r="W269" s="134"/>
    </row>
    <row r="270">
      <c r="A270" s="134"/>
      <c r="B270" s="134"/>
      <c r="C270" s="134"/>
      <c r="D270" s="134"/>
      <c r="E270" s="134"/>
      <c r="F270" s="134"/>
      <c r="G270" s="134"/>
      <c r="H270" s="134"/>
      <c r="I270" s="134"/>
      <c r="J270" s="134"/>
      <c r="K270" s="134"/>
      <c r="L270" s="134"/>
      <c r="M270" s="134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</row>
    <row r="271">
      <c r="A271" s="134"/>
      <c r="B271" s="134"/>
      <c r="C271" s="134"/>
      <c r="D271" s="134"/>
      <c r="E271" s="134"/>
      <c r="F271" s="134"/>
      <c r="G271" s="134"/>
      <c r="H271" s="134"/>
      <c r="I271" s="134"/>
      <c r="J271" s="134"/>
      <c r="K271" s="134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</row>
    <row r="272">
      <c r="A272" s="134"/>
      <c r="B272" s="134"/>
      <c r="C272" s="134"/>
      <c r="D272" s="134"/>
      <c r="E272" s="134"/>
      <c r="F272" s="134"/>
      <c r="G272" s="134"/>
      <c r="H272" s="134"/>
      <c r="I272" s="134"/>
      <c r="J272" s="134"/>
      <c r="K272" s="134"/>
      <c r="L272" s="134"/>
      <c r="M272" s="134"/>
      <c r="N272" s="134"/>
      <c r="O272" s="134"/>
      <c r="P272" s="134"/>
      <c r="Q272" s="134"/>
      <c r="R272" s="134"/>
      <c r="S272" s="134"/>
      <c r="T272" s="134"/>
      <c r="U272" s="134"/>
      <c r="V272" s="134"/>
      <c r="W272" s="134"/>
    </row>
    <row r="273">
      <c r="A273" s="134"/>
      <c r="B273" s="134"/>
      <c r="C273" s="134"/>
      <c r="D273" s="134"/>
      <c r="E273" s="134"/>
      <c r="F273" s="134"/>
      <c r="G273" s="134"/>
      <c r="H273" s="134"/>
      <c r="I273" s="134"/>
      <c r="J273" s="134"/>
      <c r="K273" s="134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</row>
    <row r="274">
      <c r="A274" s="134"/>
      <c r="B274" s="134"/>
      <c r="C274" s="134"/>
      <c r="D274" s="134"/>
      <c r="E274" s="134"/>
      <c r="F274" s="134"/>
      <c r="G274" s="134"/>
      <c r="H274" s="134"/>
      <c r="I274" s="134"/>
      <c r="J274" s="134"/>
      <c r="K274" s="134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</row>
    <row r="275">
      <c r="A275" s="134"/>
      <c r="B275" s="134"/>
      <c r="C275" s="134"/>
      <c r="D275" s="134"/>
      <c r="E275" s="134"/>
      <c r="F275" s="134"/>
      <c r="G275" s="134"/>
      <c r="H275" s="134"/>
      <c r="I275" s="134"/>
      <c r="J275" s="134"/>
      <c r="K275" s="134"/>
      <c r="L275" s="134"/>
      <c r="M275" s="134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</row>
    <row r="276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</row>
    <row r="277">
      <c r="A277" s="134"/>
      <c r="B277" s="134"/>
      <c r="C277" s="134"/>
      <c r="D277" s="134"/>
      <c r="E277" s="134"/>
      <c r="F277" s="134"/>
      <c r="G277" s="134"/>
      <c r="H277" s="134"/>
      <c r="I277" s="134"/>
      <c r="J277" s="134"/>
      <c r="K277" s="134"/>
      <c r="L277" s="134"/>
      <c r="M277" s="134"/>
      <c r="N277" s="134"/>
      <c r="O277" s="134"/>
      <c r="P277" s="134"/>
      <c r="Q277" s="134"/>
      <c r="R277" s="134"/>
      <c r="S277" s="134"/>
      <c r="T277" s="134"/>
      <c r="U277" s="134"/>
      <c r="V277" s="134"/>
      <c r="W277" s="134"/>
    </row>
    <row r="278">
      <c r="A278" s="134"/>
      <c r="B278" s="134"/>
      <c r="C278" s="134"/>
      <c r="D278" s="134"/>
      <c r="E278" s="134"/>
      <c r="F278" s="134"/>
      <c r="G278" s="134"/>
      <c r="H278" s="134"/>
      <c r="I278" s="134"/>
      <c r="J278" s="134"/>
      <c r="K278" s="134"/>
      <c r="L278" s="134"/>
      <c r="M278" s="134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</row>
    <row r="279">
      <c r="A279" s="134"/>
      <c r="B279" s="134"/>
      <c r="C279" s="134"/>
      <c r="D279" s="134"/>
      <c r="E279" s="134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</row>
    <row r="280">
      <c r="A280" s="134"/>
      <c r="B280" s="134"/>
      <c r="C280" s="134"/>
      <c r="D280" s="134"/>
      <c r="E280" s="134"/>
      <c r="F280" s="134"/>
      <c r="G280" s="134"/>
      <c r="H280" s="134"/>
      <c r="I280" s="134"/>
      <c r="J280" s="134"/>
      <c r="K280" s="134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</row>
    <row r="281">
      <c r="A281" s="134"/>
      <c r="B281" s="134"/>
      <c r="C281" s="134"/>
      <c r="D281" s="134"/>
      <c r="E281" s="134"/>
      <c r="F281" s="134"/>
      <c r="G281" s="134"/>
      <c r="H281" s="134"/>
      <c r="I281" s="134"/>
      <c r="J281" s="134"/>
      <c r="K281" s="134"/>
      <c r="L281" s="134"/>
      <c r="M281" s="134"/>
      <c r="N281" s="134"/>
      <c r="O281" s="134"/>
      <c r="P281" s="134"/>
      <c r="Q281" s="134"/>
      <c r="R281" s="134"/>
      <c r="S281" s="134"/>
      <c r="T281" s="134"/>
      <c r="U281" s="134"/>
      <c r="V281" s="134"/>
      <c r="W281" s="134"/>
    </row>
    <row r="282">
      <c r="A282" s="134"/>
      <c r="B282" s="134"/>
      <c r="C282" s="134"/>
      <c r="D282" s="134"/>
      <c r="E282" s="134"/>
      <c r="F282" s="134"/>
      <c r="G282" s="134"/>
      <c r="H282" s="134"/>
      <c r="I282" s="134"/>
      <c r="J282" s="134"/>
      <c r="K282" s="134"/>
      <c r="L282" s="134"/>
      <c r="M282" s="134"/>
      <c r="N282" s="134"/>
      <c r="O282" s="134"/>
      <c r="P282" s="134"/>
      <c r="Q282" s="134"/>
      <c r="R282" s="134"/>
      <c r="S282" s="134"/>
      <c r="T282" s="134"/>
      <c r="U282" s="134"/>
      <c r="V282" s="134"/>
      <c r="W282" s="134"/>
    </row>
    <row r="283">
      <c r="A283" s="134"/>
      <c r="B283" s="134"/>
      <c r="C283" s="134"/>
      <c r="D283" s="134"/>
      <c r="E283" s="134"/>
      <c r="F283" s="134"/>
      <c r="G283" s="134"/>
      <c r="H283" s="134"/>
      <c r="I283" s="134"/>
      <c r="J283" s="134"/>
      <c r="K283" s="134"/>
      <c r="L283" s="134"/>
      <c r="M283" s="134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</row>
    <row r="284">
      <c r="A284" s="134"/>
      <c r="B284" s="134"/>
      <c r="C284" s="134"/>
      <c r="D284" s="134"/>
      <c r="E284" s="134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</row>
    <row r="285">
      <c r="A285" s="134"/>
      <c r="B285" s="134"/>
      <c r="C285" s="134"/>
      <c r="D285" s="134"/>
      <c r="E285" s="134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</row>
    <row r="286">
      <c r="A286" s="134"/>
      <c r="B286" s="134"/>
      <c r="C286" s="134"/>
      <c r="D286" s="134"/>
      <c r="E286" s="134"/>
      <c r="F286" s="134"/>
      <c r="G286" s="134"/>
      <c r="H286" s="134"/>
      <c r="I286" s="134"/>
      <c r="J286" s="134"/>
      <c r="K286" s="134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</row>
    <row r="287">
      <c r="A287" s="134"/>
      <c r="B287" s="134"/>
      <c r="C287" s="134"/>
      <c r="D287" s="134"/>
      <c r="E287" s="134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</row>
    <row r="288">
      <c r="A288" s="134"/>
      <c r="B288" s="134"/>
      <c r="C288" s="134"/>
      <c r="D288" s="134"/>
      <c r="E288" s="134"/>
      <c r="F288" s="134"/>
      <c r="G288" s="134"/>
      <c r="H288" s="134"/>
      <c r="I288" s="134"/>
      <c r="J288" s="134"/>
      <c r="K288" s="134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</row>
    <row r="289">
      <c r="A289" s="134"/>
      <c r="B289" s="134"/>
      <c r="C289" s="134"/>
      <c r="D289" s="134"/>
      <c r="E289" s="134"/>
      <c r="F289" s="134"/>
      <c r="G289" s="134"/>
      <c r="H289" s="134"/>
      <c r="I289" s="134"/>
      <c r="J289" s="134"/>
      <c r="K289" s="134"/>
      <c r="L289" s="134"/>
      <c r="M289" s="134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</row>
    <row r="290">
      <c r="A290" s="134"/>
      <c r="B290" s="134"/>
      <c r="C290" s="134"/>
      <c r="D290" s="134"/>
      <c r="E290" s="134"/>
      <c r="F290" s="134"/>
      <c r="G290" s="134"/>
      <c r="H290" s="134"/>
      <c r="I290" s="134"/>
      <c r="J290" s="134"/>
      <c r="K290" s="134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</row>
    <row r="291">
      <c r="A291" s="134"/>
      <c r="B291" s="134"/>
      <c r="C291" s="134"/>
      <c r="D291" s="134"/>
      <c r="E291" s="134"/>
      <c r="F291" s="134"/>
      <c r="G291" s="134"/>
      <c r="H291" s="134"/>
      <c r="I291" s="134"/>
      <c r="J291" s="134"/>
      <c r="K291" s="134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</row>
    <row r="292">
      <c r="A292" s="134"/>
      <c r="B292" s="134"/>
      <c r="C292" s="134"/>
      <c r="D292" s="134"/>
      <c r="E292" s="134"/>
      <c r="F292" s="134"/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</row>
    <row r="293">
      <c r="A293" s="134"/>
      <c r="B293" s="134"/>
      <c r="C293" s="134"/>
      <c r="D293" s="134"/>
      <c r="E293" s="134"/>
      <c r="F293" s="134"/>
      <c r="G293" s="134"/>
      <c r="H293" s="134"/>
      <c r="I293" s="134"/>
      <c r="J293" s="134"/>
      <c r="K293" s="134"/>
      <c r="L293" s="134"/>
      <c r="M293" s="134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</row>
    <row r="294">
      <c r="A294" s="134"/>
      <c r="B294" s="134"/>
      <c r="C294" s="134"/>
      <c r="D294" s="134"/>
      <c r="E294" s="134"/>
      <c r="F294" s="134"/>
      <c r="G294" s="134"/>
      <c r="H294" s="134"/>
      <c r="I294" s="134"/>
      <c r="J294" s="134"/>
      <c r="K294" s="134"/>
      <c r="L294" s="134"/>
      <c r="M294" s="134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</row>
    <row r="295">
      <c r="A295" s="134"/>
      <c r="B295" s="134"/>
      <c r="C295" s="134"/>
      <c r="D295" s="134"/>
      <c r="E295" s="134"/>
      <c r="F295" s="134"/>
      <c r="G295" s="134"/>
      <c r="H295" s="134"/>
      <c r="I295" s="134"/>
      <c r="J295" s="134"/>
      <c r="K295" s="134"/>
      <c r="L295" s="134"/>
      <c r="M295" s="134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</row>
    <row r="296">
      <c r="A296" s="134"/>
      <c r="B296" s="134"/>
      <c r="C296" s="134"/>
      <c r="D296" s="134"/>
      <c r="E296" s="134"/>
      <c r="F296" s="134"/>
      <c r="G296" s="134"/>
      <c r="H296" s="134"/>
      <c r="I296" s="134"/>
      <c r="J296" s="134"/>
      <c r="K296" s="134"/>
      <c r="L296" s="134"/>
      <c r="M296" s="134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</row>
    <row r="297">
      <c r="A297" s="134"/>
      <c r="B297" s="134"/>
      <c r="C297" s="134"/>
      <c r="D297" s="134"/>
      <c r="E297" s="134"/>
      <c r="F297" s="134"/>
      <c r="G297" s="134"/>
      <c r="H297" s="134"/>
      <c r="I297" s="134"/>
      <c r="J297" s="134"/>
      <c r="K297" s="134"/>
      <c r="L297" s="134"/>
      <c r="M297" s="134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</row>
    <row r="298">
      <c r="A298" s="134"/>
      <c r="B298" s="134"/>
      <c r="C298" s="134"/>
      <c r="D298" s="134"/>
      <c r="E298" s="134"/>
      <c r="F298" s="134"/>
      <c r="G298" s="134"/>
      <c r="H298" s="134"/>
      <c r="I298" s="134"/>
      <c r="J298" s="134"/>
      <c r="K298" s="134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</row>
    <row r="299">
      <c r="A299" s="134"/>
      <c r="B299" s="134"/>
      <c r="C299" s="134"/>
      <c r="D299" s="134"/>
      <c r="E299" s="134"/>
      <c r="F299" s="134"/>
      <c r="G299" s="134"/>
      <c r="H299" s="134"/>
      <c r="I299" s="134"/>
      <c r="J299" s="134"/>
      <c r="K299" s="134"/>
      <c r="L299" s="134"/>
      <c r="M299" s="134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</row>
    <row r="300">
      <c r="A300" s="134"/>
      <c r="B300" s="134"/>
      <c r="C300" s="134"/>
      <c r="D300" s="134"/>
      <c r="E300" s="134"/>
      <c r="F300" s="134"/>
      <c r="G300" s="134"/>
      <c r="H300" s="134"/>
      <c r="I300" s="134"/>
      <c r="J300" s="134"/>
      <c r="K300" s="134"/>
      <c r="L300" s="134"/>
      <c r="M300" s="134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</row>
    <row r="301">
      <c r="A301" s="134"/>
      <c r="B301" s="134"/>
      <c r="C301" s="134"/>
      <c r="D301" s="134"/>
      <c r="E301" s="134"/>
      <c r="F301" s="134"/>
      <c r="G301" s="134"/>
      <c r="H301" s="134"/>
      <c r="I301" s="134"/>
      <c r="J301" s="134"/>
      <c r="K301" s="134"/>
      <c r="L301" s="134"/>
      <c r="M301" s="134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</row>
    <row r="302">
      <c r="A302" s="134"/>
      <c r="B302" s="134"/>
      <c r="C302" s="134"/>
      <c r="D302" s="134"/>
      <c r="E302" s="134"/>
      <c r="F302" s="134"/>
      <c r="G302" s="134"/>
      <c r="H302" s="134"/>
      <c r="I302" s="134"/>
      <c r="J302" s="134"/>
      <c r="K302" s="134"/>
      <c r="L302" s="134"/>
      <c r="M302" s="134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</row>
    <row r="303">
      <c r="A303" s="134"/>
      <c r="B303" s="134"/>
      <c r="C303" s="134"/>
      <c r="D303" s="134"/>
      <c r="E303" s="134"/>
      <c r="F303" s="134"/>
      <c r="G303" s="134"/>
      <c r="H303" s="134"/>
      <c r="I303" s="134"/>
      <c r="J303" s="134"/>
      <c r="K303" s="134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</row>
    <row r="304">
      <c r="A304" s="134"/>
      <c r="B304" s="134"/>
      <c r="C304" s="134"/>
      <c r="D304" s="134"/>
      <c r="E304" s="134"/>
      <c r="F304" s="134"/>
      <c r="G304" s="134"/>
      <c r="H304" s="134"/>
      <c r="I304" s="134"/>
      <c r="J304" s="134"/>
      <c r="K304" s="134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</row>
    <row r="305">
      <c r="A305" s="134"/>
      <c r="B305" s="134"/>
      <c r="C305" s="134"/>
      <c r="D305" s="134"/>
      <c r="E305" s="134"/>
      <c r="F305" s="134"/>
      <c r="G305" s="134"/>
      <c r="H305" s="134"/>
      <c r="I305" s="134"/>
      <c r="J305" s="134"/>
      <c r="K305" s="134"/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</row>
    <row r="306">
      <c r="A306" s="134"/>
      <c r="B306" s="134"/>
      <c r="C306" s="134"/>
      <c r="D306" s="134"/>
      <c r="E306" s="134"/>
      <c r="F306" s="134"/>
      <c r="G306" s="134"/>
      <c r="H306" s="134"/>
      <c r="I306" s="134"/>
      <c r="J306" s="134"/>
      <c r="K306" s="134"/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</row>
    <row r="307">
      <c r="A307" s="134"/>
      <c r="B307" s="134"/>
      <c r="C307" s="134"/>
      <c r="D307" s="134"/>
      <c r="E307" s="134"/>
      <c r="F307" s="134"/>
      <c r="G307" s="134"/>
      <c r="H307" s="134"/>
      <c r="I307" s="134"/>
      <c r="J307" s="134"/>
      <c r="K307" s="134"/>
      <c r="L307" s="134"/>
      <c r="M307" s="134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</row>
    <row r="308">
      <c r="A308" s="134"/>
      <c r="B308" s="134"/>
      <c r="C308" s="134"/>
      <c r="D308" s="134"/>
      <c r="E308" s="134"/>
      <c r="F308" s="134"/>
      <c r="G308" s="134"/>
      <c r="H308" s="134"/>
      <c r="I308" s="134"/>
      <c r="J308" s="134"/>
      <c r="K308" s="134"/>
      <c r="L308" s="134"/>
      <c r="M308" s="134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</row>
    <row r="309">
      <c r="A309" s="134"/>
      <c r="B309" s="134"/>
      <c r="C309" s="134"/>
      <c r="D309" s="134"/>
      <c r="E309" s="134"/>
      <c r="F309" s="134"/>
      <c r="G309" s="134"/>
      <c r="H309" s="134"/>
      <c r="I309" s="134"/>
      <c r="J309" s="134"/>
      <c r="K309" s="134"/>
      <c r="L309" s="134"/>
      <c r="M309" s="134"/>
      <c r="N309" s="134"/>
      <c r="O309" s="134"/>
      <c r="P309" s="134"/>
      <c r="Q309" s="134"/>
      <c r="R309" s="134"/>
      <c r="S309" s="134"/>
      <c r="T309" s="134"/>
      <c r="U309" s="134"/>
      <c r="V309" s="134"/>
      <c r="W309" s="134"/>
    </row>
    <row r="310">
      <c r="A310" s="134"/>
      <c r="B310" s="134"/>
      <c r="C310" s="134"/>
      <c r="D310" s="134"/>
      <c r="E310" s="134"/>
      <c r="F310" s="134"/>
      <c r="G310" s="134"/>
      <c r="H310" s="134"/>
      <c r="I310" s="134"/>
      <c r="J310" s="134"/>
      <c r="K310" s="134"/>
      <c r="L310" s="134"/>
      <c r="M310" s="134"/>
      <c r="N310" s="134"/>
      <c r="O310" s="134"/>
      <c r="P310" s="134"/>
      <c r="Q310" s="134"/>
      <c r="R310" s="134"/>
      <c r="S310" s="134"/>
      <c r="T310" s="134"/>
      <c r="U310" s="134"/>
      <c r="V310" s="134"/>
      <c r="W310" s="134"/>
    </row>
    <row r="311">
      <c r="A311" s="134"/>
      <c r="B311" s="134"/>
      <c r="C311" s="134"/>
      <c r="D311" s="134"/>
      <c r="E311" s="134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34"/>
      <c r="Q311" s="134"/>
      <c r="R311" s="134"/>
      <c r="S311" s="134"/>
      <c r="T311" s="134"/>
      <c r="U311" s="134"/>
      <c r="V311" s="134"/>
      <c r="W311" s="134"/>
    </row>
    <row r="312">
      <c r="A312" s="134"/>
      <c r="B312" s="134"/>
      <c r="C312" s="134"/>
      <c r="D312" s="134"/>
      <c r="E312" s="134"/>
      <c r="F312" s="134"/>
      <c r="G312" s="134"/>
      <c r="H312" s="134"/>
      <c r="I312" s="134"/>
      <c r="J312" s="134"/>
      <c r="K312" s="134"/>
      <c r="L312" s="134"/>
      <c r="M312" s="134"/>
      <c r="N312" s="134"/>
      <c r="O312" s="134"/>
      <c r="P312" s="134"/>
      <c r="Q312" s="134"/>
      <c r="R312" s="134"/>
      <c r="S312" s="134"/>
      <c r="T312" s="134"/>
      <c r="U312" s="134"/>
      <c r="V312" s="134"/>
      <c r="W312" s="134"/>
    </row>
    <row r="313">
      <c r="A313" s="134"/>
      <c r="B313" s="134"/>
      <c r="C313" s="134"/>
      <c r="D313" s="134"/>
      <c r="E313" s="134"/>
      <c r="F313" s="134"/>
      <c r="G313" s="134"/>
      <c r="H313" s="134"/>
      <c r="I313" s="134"/>
      <c r="J313" s="134"/>
      <c r="K313" s="134"/>
      <c r="L313" s="134"/>
      <c r="M313" s="134"/>
      <c r="N313" s="134"/>
      <c r="O313" s="134"/>
      <c r="P313" s="134"/>
      <c r="Q313" s="134"/>
      <c r="R313" s="134"/>
      <c r="S313" s="134"/>
      <c r="T313" s="134"/>
      <c r="U313" s="134"/>
      <c r="V313" s="134"/>
      <c r="W313" s="134"/>
    </row>
    <row r="314">
      <c r="A314" s="134"/>
      <c r="B314" s="134"/>
      <c r="C314" s="134"/>
      <c r="D314" s="134"/>
      <c r="E314" s="134"/>
      <c r="F314" s="134"/>
      <c r="G314" s="134"/>
      <c r="H314" s="134"/>
      <c r="I314" s="134"/>
      <c r="J314" s="134"/>
      <c r="K314" s="134"/>
      <c r="L314" s="134"/>
      <c r="M314" s="134"/>
      <c r="N314" s="134"/>
      <c r="O314" s="134"/>
      <c r="P314" s="134"/>
      <c r="Q314" s="134"/>
      <c r="R314" s="134"/>
      <c r="S314" s="134"/>
      <c r="T314" s="134"/>
      <c r="U314" s="134"/>
      <c r="V314" s="134"/>
      <c r="W314" s="134"/>
    </row>
    <row r="315">
      <c r="A315" s="134"/>
      <c r="B315" s="134"/>
      <c r="C315" s="134"/>
      <c r="D315" s="134"/>
      <c r="E315" s="134"/>
      <c r="F315" s="134"/>
      <c r="G315" s="134"/>
      <c r="H315" s="134"/>
      <c r="I315" s="134"/>
      <c r="J315" s="134"/>
      <c r="K315" s="134"/>
      <c r="L315" s="134"/>
      <c r="M315" s="134"/>
      <c r="N315" s="134"/>
      <c r="O315" s="134"/>
      <c r="P315" s="134"/>
      <c r="Q315" s="134"/>
      <c r="R315" s="134"/>
      <c r="S315" s="134"/>
      <c r="T315" s="134"/>
      <c r="U315" s="134"/>
      <c r="V315" s="134"/>
      <c r="W315" s="134"/>
    </row>
    <row r="316">
      <c r="A316" s="134"/>
      <c r="B316" s="134"/>
      <c r="C316" s="134"/>
      <c r="D316" s="134"/>
      <c r="E316" s="134"/>
      <c r="F316" s="134"/>
      <c r="G316" s="134"/>
      <c r="H316" s="134"/>
      <c r="I316" s="134"/>
      <c r="J316" s="134"/>
      <c r="K316" s="134"/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</row>
    <row r="317">
      <c r="A317" s="134"/>
      <c r="B317" s="134"/>
      <c r="C317" s="134"/>
      <c r="D317" s="134"/>
      <c r="E317" s="134"/>
      <c r="F317" s="134"/>
      <c r="G317" s="134"/>
      <c r="H317" s="134"/>
      <c r="I317" s="134"/>
      <c r="J317" s="134"/>
      <c r="K317" s="134"/>
      <c r="L317" s="134"/>
      <c r="M317" s="134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</row>
    <row r="318">
      <c r="A318" s="134"/>
      <c r="B318" s="134"/>
      <c r="C318" s="134"/>
      <c r="D318" s="134"/>
      <c r="E318" s="134"/>
      <c r="F318" s="134"/>
      <c r="G318" s="134"/>
      <c r="H318" s="134"/>
      <c r="I318" s="134"/>
      <c r="J318" s="134"/>
      <c r="K318" s="134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</row>
    <row r="319">
      <c r="A319" s="134"/>
      <c r="B319" s="134"/>
      <c r="C319" s="134"/>
      <c r="D319" s="134"/>
      <c r="E319" s="134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</row>
    <row r="320">
      <c r="A320" s="134"/>
      <c r="B320" s="134"/>
      <c r="C320" s="134"/>
      <c r="D320" s="134"/>
      <c r="E320" s="134"/>
      <c r="F320" s="134"/>
      <c r="G320" s="134"/>
      <c r="H320" s="134"/>
      <c r="I320" s="134"/>
      <c r="J320" s="134"/>
      <c r="K320" s="134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</row>
    <row r="321">
      <c r="A321" s="134"/>
      <c r="B321" s="134"/>
      <c r="C321" s="134"/>
      <c r="D321" s="134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</row>
    <row r="322">
      <c r="A322" s="134"/>
      <c r="B322" s="134"/>
      <c r="C322" s="134"/>
      <c r="D322" s="134"/>
      <c r="E322" s="134"/>
      <c r="F322" s="134"/>
      <c r="G322" s="134"/>
      <c r="H322" s="134"/>
      <c r="I322" s="134"/>
      <c r="J322" s="134"/>
      <c r="K322" s="134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</row>
    <row r="323">
      <c r="A323" s="134"/>
      <c r="B323" s="134"/>
      <c r="C323" s="134"/>
      <c r="D323" s="134"/>
      <c r="E323" s="134"/>
      <c r="F323" s="134"/>
      <c r="G323" s="134"/>
      <c r="H323" s="134"/>
      <c r="I323" s="134"/>
      <c r="J323" s="134"/>
      <c r="K323" s="134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</row>
    <row r="324">
      <c r="A324" s="134"/>
      <c r="B324" s="134"/>
      <c r="C324" s="134"/>
      <c r="D324" s="134"/>
      <c r="E324" s="134"/>
      <c r="F324" s="134"/>
      <c r="G324" s="134"/>
      <c r="H324" s="134"/>
      <c r="I324" s="134"/>
      <c r="J324" s="134"/>
      <c r="K324" s="134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</row>
    <row r="325">
      <c r="A325" s="134"/>
      <c r="B325" s="134"/>
      <c r="C325" s="134"/>
      <c r="D325" s="134"/>
      <c r="E325" s="134"/>
      <c r="F325" s="134"/>
      <c r="G325" s="134"/>
      <c r="H325" s="134"/>
      <c r="I325" s="134"/>
      <c r="J325" s="134"/>
      <c r="K325" s="134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</row>
    <row r="326">
      <c r="A326" s="134"/>
      <c r="B326" s="134"/>
      <c r="C326" s="134"/>
      <c r="D326" s="134"/>
      <c r="E326" s="134"/>
      <c r="F326" s="134"/>
      <c r="G326" s="134"/>
      <c r="H326" s="134"/>
      <c r="I326" s="134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</row>
    <row r="327">
      <c r="A327" s="134"/>
      <c r="B327" s="134"/>
      <c r="C327" s="134"/>
      <c r="D327" s="134"/>
      <c r="E327" s="134"/>
      <c r="F327" s="134"/>
      <c r="G327" s="134"/>
      <c r="H327" s="134"/>
      <c r="I327" s="134"/>
      <c r="J327" s="134"/>
      <c r="K327" s="134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</row>
    <row r="328">
      <c r="A328" s="134"/>
      <c r="B328" s="134"/>
      <c r="C328" s="134"/>
      <c r="D328" s="134"/>
      <c r="E328" s="134"/>
      <c r="F328" s="134"/>
      <c r="G328" s="134"/>
      <c r="H328" s="134"/>
      <c r="I328" s="134"/>
      <c r="J328" s="134"/>
      <c r="K328" s="134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</row>
    <row r="329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</row>
    <row r="330">
      <c r="A330" s="134"/>
      <c r="B330" s="134"/>
      <c r="C330" s="134"/>
      <c r="D330" s="134"/>
      <c r="E330" s="134"/>
      <c r="F330" s="134"/>
      <c r="G330" s="134"/>
      <c r="H330" s="134"/>
      <c r="I330" s="134"/>
      <c r="J330" s="134"/>
      <c r="K330" s="134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</row>
    <row r="331">
      <c r="A331" s="134"/>
      <c r="B331" s="134"/>
      <c r="C331" s="134"/>
      <c r="D331" s="134"/>
      <c r="E331" s="134"/>
      <c r="F331" s="134"/>
      <c r="G331" s="134"/>
      <c r="H331" s="134"/>
      <c r="I331" s="134"/>
      <c r="J331" s="134"/>
      <c r="K331" s="134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</row>
    <row r="332">
      <c r="A332" s="134"/>
      <c r="B332" s="134"/>
      <c r="C332" s="134"/>
      <c r="D332" s="134"/>
      <c r="E332" s="134"/>
      <c r="F332" s="134"/>
      <c r="G332" s="134"/>
      <c r="H332" s="134"/>
      <c r="I332" s="134"/>
      <c r="J332" s="134"/>
      <c r="K332" s="134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</row>
    <row r="333">
      <c r="A333" s="134"/>
      <c r="B333" s="134"/>
      <c r="C333" s="134"/>
      <c r="D333" s="134"/>
      <c r="E333" s="134"/>
      <c r="F333" s="134"/>
      <c r="G333" s="134"/>
      <c r="H333" s="134"/>
      <c r="I333" s="134"/>
      <c r="J333" s="134"/>
      <c r="K333" s="134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</row>
    <row r="334">
      <c r="A334" s="134"/>
      <c r="B334" s="134"/>
      <c r="C334" s="134"/>
      <c r="D334" s="134"/>
      <c r="E334" s="134"/>
      <c r="F334" s="134"/>
      <c r="G334" s="134"/>
      <c r="H334" s="134"/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</row>
    <row r="335">
      <c r="A335" s="134"/>
      <c r="B335" s="134"/>
      <c r="C335" s="134"/>
      <c r="D335" s="134"/>
      <c r="E335" s="134"/>
      <c r="F335" s="134"/>
      <c r="G335" s="134"/>
      <c r="H335" s="134"/>
      <c r="I335" s="134"/>
      <c r="J335" s="134"/>
      <c r="K335" s="134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  <c r="V335" s="134"/>
      <c r="W335" s="134"/>
    </row>
    <row r="336">
      <c r="A336" s="134"/>
      <c r="B336" s="134"/>
      <c r="C336" s="134"/>
      <c r="D336" s="134"/>
      <c r="E336" s="134"/>
      <c r="F336" s="134"/>
      <c r="G336" s="134"/>
      <c r="H336" s="134"/>
      <c r="I336" s="134"/>
      <c r="J336" s="134"/>
      <c r="K336" s="134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</row>
    <row r="337">
      <c r="A337" s="134"/>
      <c r="B337" s="134"/>
      <c r="C337" s="134"/>
      <c r="D337" s="134"/>
      <c r="E337" s="134"/>
      <c r="F337" s="134"/>
      <c r="G337" s="134"/>
      <c r="H337" s="134"/>
      <c r="I337" s="134"/>
      <c r="J337" s="134"/>
      <c r="K337" s="134"/>
      <c r="L337" s="134"/>
      <c r="M337" s="134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</row>
    <row r="338">
      <c r="A338" s="134"/>
      <c r="B338" s="134"/>
      <c r="C338" s="134"/>
      <c r="D338" s="134"/>
      <c r="E338" s="134"/>
      <c r="F338" s="134"/>
      <c r="G338" s="134"/>
      <c r="H338" s="134"/>
      <c r="I338" s="134"/>
      <c r="J338" s="134"/>
      <c r="K338" s="134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</row>
    <row r="339">
      <c r="A339" s="134"/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</row>
    <row r="340">
      <c r="A340" s="134"/>
      <c r="B340" s="134"/>
      <c r="C340" s="134"/>
      <c r="D340" s="134"/>
      <c r="E340" s="134"/>
      <c r="F340" s="134"/>
      <c r="G340" s="134"/>
      <c r="H340" s="134"/>
      <c r="I340" s="134"/>
      <c r="J340" s="134"/>
      <c r="K340" s="134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</row>
    <row r="341">
      <c r="A341" s="134"/>
      <c r="B341" s="134"/>
      <c r="C341" s="134"/>
      <c r="D341" s="134"/>
      <c r="E341" s="134"/>
      <c r="F341" s="134"/>
      <c r="G341" s="134"/>
      <c r="H341" s="134"/>
      <c r="I341" s="134"/>
      <c r="J341" s="134"/>
      <c r="K341" s="134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</row>
    <row r="342">
      <c r="A342" s="134"/>
      <c r="B342" s="134"/>
      <c r="C342" s="134"/>
      <c r="D342" s="134"/>
      <c r="E342" s="134"/>
      <c r="F342" s="134"/>
      <c r="G342" s="134"/>
      <c r="H342" s="134"/>
      <c r="I342" s="134"/>
      <c r="J342" s="134"/>
      <c r="K342" s="134"/>
      <c r="L342" s="134"/>
      <c r="M342" s="134"/>
      <c r="N342" s="134"/>
      <c r="O342" s="134"/>
      <c r="P342" s="134"/>
      <c r="Q342" s="134"/>
      <c r="R342" s="134"/>
      <c r="S342" s="134"/>
      <c r="T342" s="134"/>
      <c r="U342" s="134"/>
      <c r="V342" s="134"/>
      <c r="W342" s="134"/>
    </row>
    <row r="343">
      <c r="A343" s="134"/>
      <c r="B343" s="134"/>
      <c r="C343" s="134"/>
      <c r="D343" s="134"/>
      <c r="E343" s="134"/>
      <c r="F343" s="134"/>
      <c r="G343" s="134"/>
      <c r="H343" s="134"/>
      <c r="I343" s="134"/>
      <c r="J343" s="134"/>
      <c r="K343" s="134"/>
      <c r="L343" s="134"/>
      <c r="M343" s="134"/>
      <c r="N343" s="134"/>
      <c r="O343" s="134"/>
      <c r="P343" s="134"/>
      <c r="Q343" s="134"/>
      <c r="R343" s="134"/>
      <c r="S343" s="134"/>
      <c r="T343" s="134"/>
      <c r="U343" s="134"/>
      <c r="V343" s="134"/>
      <c r="W343" s="134"/>
    </row>
    <row r="344">
      <c r="A344" s="134"/>
      <c r="B344" s="134"/>
      <c r="C344" s="134"/>
      <c r="D344" s="134"/>
      <c r="E344" s="134"/>
      <c r="F344" s="134"/>
      <c r="G344" s="134"/>
      <c r="H344" s="134"/>
      <c r="I344" s="134"/>
      <c r="J344" s="134"/>
      <c r="K344" s="134"/>
      <c r="L344" s="134"/>
      <c r="M344" s="134"/>
      <c r="N344" s="134"/>
      <c r="O344" s="134"/>
      <c r="P344" s="134"/>
      <c r="Q344" s="134"/>
      <c r="R344" s="134"/>
      <c r="S344" s="134"/>
      <c r="T344" s="134"/>
      <c r="U344" s="134"/>
      <c r="V344" s="134"/>
      <c r="W344" s="134"/>
    </row>
    <row r="345">
      <c r="A345" s="134"/>
      <c r="B345" s="134"/>
      <c r="C345" s="134"/>
      <c r="D345" s="134"/>
      <c r="E345" s="134"/>
      <c r="F345" s="134"/>
      <c r="G345" s="134"/>
      <c r="H345" s="134"/>
      <c r="I345" s="134"/>
      <c r="J345" s="134"/>
      <c r="K345" s="134"/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  <c r="V345" s="134"/>
      <c r="W345" s="134"/>
    </row>
    <row r="346">
      <c r="A346" s="134"/>
      <c r="B346" s="134"/>
      <c r="C346" s="134"/>
      <c r="D346" s="134"/>
      <c r="E346" s="134"/>
      <c r="F346" s="134"/>
      <c r="G346" s="134"/>
      <c r="H346" s="134"/>
      <c r="I346" s="134"/>
      <c r="J346" s="134"/>
      <c r="K346" s="134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</row>
    <row r="347">
      <c r="A347" s="134"/>
      <c r="B347" s="134"/>
      <c r="C347" s="134"/>
      <c r="D347" s="134"/>
      <c r="E347" s="134"/>
      <c r="F347" s="134"/>
      <c r="G347" s="134"/>
      <c r="H347" s="134"/>
      <c r="I347" s="134"/>
      <c r="J347" s="134"/>
      <c r="K347" s="134"/>
      <c r="L347" s="134"/>
      <c r="M347" s="134"/>
      <c r="N347" s="134"/>
      <c r="O347" s="134"/>
      <c r="P347" s="134"/>
      <c r="Q347" s="134"/>
      <c r="R347" s="134"/>
      <c r="S347" s="134"/>
      <c r="T347" s="134"/>
      <c r="U347" s="134"/>
      <c r="V347" s="134"/>
      <c r="W347" s="134"/>
    </row>
    <row r="348">
      <c r="A348" s="134"/>
      <c r="B348" s="134"/>
      <c r="C348" s="134"/>
      <c r="D348" s="134"/>
      <c r="E348" s="134"/>
      <c r="F348" s="134"/>
      <c r="G348" s="134"/>
      <c r="H348" s="134"/>
      <c r="I348" s="134"/>
      <c r="J348" s="134"/>
      <c r="K348" s="134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  <c r="V348" s="134"/>
      <c r="W348" s="134"/>
    </row>
    <row r="349">
      <c r="A349" s="134"/>
      <c r="B349" s="134"/>
      <c r="C349" s="134"/>
      <c r="D349" s="134"/>
      <c r="E349" s="134"/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</row>
    <row r="350">
      <c r="A350" s="134"/>
      <c r="B350" s="134"/>
      <c r="C350" s="134"/>
      <c r="D350" s="134"/>
      <c r="E350" s="134"/>
      <c r="F350" s="134"/>
      <c r="G350" s="134"/>
      <c r="H350" s="134"/>
      <c r="I350" s="134"/>
      <c r="J350" s="134"/>
      <c r="K350" s="134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  <c r="V350" s="134"/>
      <c r="W350" s="134"/>
    </row>
    <row r="351">
      <c r="A351" s="134"/>
      <c r="B351" s="134"/>
      <c r="C351" s="134"/>
      <c r="D351" s="134"/>
      <c r="E351" s="134"/>
      <c r="F351" s="134"/>
      <c r="G351" s="134"/>
      <c r="H351" s="134"/>
      <c r="I351" s="134"/>
      <c r="J351" s="134"/>
      <c r="K351" s="134"/>
      <c r="L351" s="134"/>
      <c r="M351" s="134"/>
      <c r="N351" s="134"/>
      <c r="O351" s="134"/>
      <c r="P351" s="134"/>
      <c r="Q351" s="134"/>
      <c r="R351" s="134"/>
      <c r="S351" s="134"/>
      <c r="T351" s="134"/>
      <c r="U351" s="134"/>
      <c r="V351" s="134"/>
      <c r="W351" s="134"/>
    </row>
    <row r="352">
      <c r="A352" s="134"/>
      <c r="B352" s="134"/>
      <c r="C352" s="134"/>
      <c r="D352" s="134"/>
      <c r="E352" s="134"/>
      <c r="F352" s="134"/>
      <c r="G352" s="134"/>
      <c r="H352" s="134"/>
      <c r="I352" s="134"/>
      <c r="J352" s="134"/>
      <c r="K352" s="134"/>
      <c r="L352" s="134"/>
      <c r="M352" s="134"/>
      <c r="N352" s="134"/>
      <c r="O352" s="134"/>
      <c r="P352" s="134"/>
      <c r="Q352" s="134"/>
      <c r="R352" s="134"/>
      <c r="S352" s="134"/>
      <c r="T352" s="134"/>
      <c r="U352" s="134"/>
      <c r="V352" s="134"/>
      <c r="W352" s="134"/>
    </row>
    <row r="353">
      <c r="A353" s="134"/>
      <c r="B353" s="134"/>
      <c r="C353" s="134"/>
      <c r="D353" s="134"/>
      <c r="E353" s="134"/>
      <c r="F353" s="134"/>
      <c r="G353" s="134"/>
      <c r="H353" s="134"/>
      <c r="I353" s="134"/>
      <c r="J353" s="134"/>
      <c r="K353" s="134"/>
      <c r="L353" s="134"/>
      <c r="M353" s="134"/>
      <c r="N353" s="134"/>
      <c r="O353" s="134"/>
      <c r="P353" s="134"/>
      <c r="Q353" s="134"/>
      <c r="R353" s="134"/>
      <c r="S353" s="134"/>
      <c r="T353" s="134"/>
      <c r="U353" s="134"/>
      <c r="V353" s="134"/>
      <c r="W353" s="134"/>
    </row>
    <row r="354">
      <c r="A354" s="134"/>
      <c r="B354" s="134"/>
      <c r="C354" s="134"/>
      <c r="D354" s="134"/>
      <c r="E354" s="134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  <c r="V354" s="134"/>
      <c r="W354" s="134"/>
    </row>
    <row r="355">
      <c r="A355" s="134"/>
      <c r="B355" s="134"/>
      <c r="C355" s="134"/>
      <c r="D355" s="134"/>
      <c r="E355" s="134"/>
      <c r="F355" s="134"/>
      <c r="G355" s="134"/>
      <c r="H355" s="134"/>
      <c r="I355" s="134"/>
      <c r="J355" s="134"/>
      <c r="K355" s="134"/>
      <c r="L355" s="134"/>
      <c r="M355" s="134"/>
      <c r="N355" s="134"/>
      <c r="O355" s="134"/>
      <c r="P355" s="134"/>
      <c r="Q355" s="134"/>
      <c r="R355" s="134"/>
      <c r="S355" s="134"/>
      <c r="T355" s="134"/>
      <c r="U355" s="134"/>
      <c r="V355" s="134"/>
      <c r="W355" s="134"/>
    </row>
    <row r="356">
      <c r="A356" s="134"/>
      <c r="B356" s="134"/>
      <c r="C356" s="134"/>
      <c r="D356" s="134"/>
      <c r="E356" s="134"/>
      <c r="F356" s="134"/>
      <c r="G356" s="134"/>
      <c r="H356" s="134"/>
      <c r="I356" s="134"/>
      <c r="J356" s="134"/>
      <c r="K356" s="134"/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  <c r="V356" s="134"/>
      <c r="W356" s="134"/>
    </row>
    <row r="357">
      <c r="A357" s="134"/>
      <c r="B357" s="134"/>
      <c r="C357" s="134"/>
      <c r="D357" s="134"/>
      <c r="E357" s="134"/>
      <c r="F357" s="134"/>
      <c r="G357" s="134"/>
      <c r="H357" s="134"/>
      <c r="I357" s="134"/>
      <c r="J357" s="134"/>
      <c r="K357" s="134"/>
      <c r="L357" s="134"/>
      <c r="M357" s="134"/>
      <c r="N357" s="134"/>
      <c r="O357" s="134"/>
      <c r="P357" s="134"/>
      <c r="Q357" s="134"/>
      <c r="R357" s="134"/>
      <c r="S357" s="134"/>
      <c r="T357" s="134"/>
      <c r="U357" s="134"/>
      <c r="V357" s="134"/>
      <c r="W357" s="134"/>
    </row>
    <row r="358">
      <c r="A358" s="134"/>
      <c r="B358" s="134"/>
      <c r="C358" s="134"/>
      <c r="D358" s="134"/>
      <c r="E358" s="134"/>
      <c r="F358" s="134"/>
      <c r="G358" s="134"/>
      <c r="H358" s="134"/>
      <c r="I358" s="134"/>
      <c r="J358" s="134"/>
      <c r="K358" s="134"/>
      <c r="L358" s="134"/>
      <c r="M358" s="134"/>
      <c r="N358" s="134"/>
      <c r="O358" s="134"/>
      <c r="P358" s="134"/>
      <c r="Q358" s="134"/>
      <c r="R358" s="134"/>
      <c r="S358" s="134"/>
      <c r="T358" s="134"/>
      <c r="U358" s="134"/>
      <c r="V358" s="134"/>
      <c r="W358" s="134"/>
    </row>
    <row r="359">
      <c r="A359" s="134"/>
      <c r="B359" s="134"/>
      <c r="C359" s="134"/>
      <c r="D359" s="134"/>
      <c r="E359" s="134"/>
      <c r="F359" s="134"/>
      <c r="G359" s="134"/>
      <c r="H359" s="134"/>
      <c r="I359" s="134"/>
      <c r="J359" s="134"/>
      <c r="K359" s="134"/>
      <c r="L359" s="134"/>
      <c r="M359" s="134"/>
      <c r="N359" s="134"/>
      <c r="O359" s="134"/>
      <c r="P359" s="134"/>
      <c r="Q359" s="134"/>
      <c r="R359" s="134"/>
      <c r="S359" s="134"/>
      <c r="T359" s="134"/>
      <c r="U359" s="134"/>
      <c r="V359" s="134"/>
      <c r="W359" s="134"/>
    </row>
    <row r="360">
      <c r="A360" s="134"/>
      <c r="B360" s="134"/>
      <c r="C360" s="134"/>
      <c r="D360" s="134"/>
      <c r="E360" s="134"/>
      <c r="F360" s="134"/>
      <c r="G360" s="134"/>
      <c r="H360" s="134"/>
      <c r="I360" s="134"/>
      <c r="J360" s="134"/>
      <c r="K360" s="134"/>
      <c r="L360" s="134"/>
      <c r="M360" s="134"/>
      <c r="N360" s="134"/>
      <c r="O360" s="134"/>
      <c r="P360" s="134"/>
      <c r="Q360" s="134"/>
      <c r="R360" s="134"/>
      <c r="S360" s="134"/>
      <c r="T360" s="134"/>
      <c r="U360" s="134"/>
      <c r="V360" s="134"/>
      <c r="W360" s="134"/>
    </row>
    <row r="361">
      <c r="A361" s="134"/>
      <c r="B361" s="134"/>
      <c r="C361" s="134"/>
      <c r="D361" s="134"/>
      <c r="E361" s="134"/>
      <c r="F361" s="134"/>
      <c r="G361" s="134"/>
      <c r="H361" s="134"/>
      <c r="I361" s="134"/>
      <c r="J361" s="134"/>
      <c r="K361" s="134"/>
      <c r="L361" s="134"/>
      <c r="M361" s="134"/>
      <c r="N361" s="134"/>
      <c r="O361" s="134"/>
      <c r="P361" s="134"/>
      <c r="Q361" s="134"/>
      <c r="R361" s="134"/>
      <c r="S361" s="134"/>
      <c r="T361" s="134"/>
      <c r="U361" s="134"/>
      <c r="V361" s="134"/>
      <c r="W361" s="134"/>
    </row>
    <row r="362">
      <c r="A362" s="134"/>
      <c r="B362" s="134"/>
      <c r="C362" s="134"/>
      <c r="D362" s="134"/>
      <c r="E362" s="134"/>
      <c r="F362" s="134"/>
      <c r="G362" s="134"/>
      <c r="H362" s="134"/>
      <c r="I362" s="134"/>
      <c r="J362" s="134"/>
      <c r="K362" s="134"/>
      <c r="L362" s="134"/>
      <c r="M362" s="134"/>
      <c r="N362" s="134"/>
      <c r="O362" s="134"/>
      <c r="P362" s="134"/>
      <c r="Q362" s="134"/>
      <c r="R362" s="134"/>
      <c r="S362" s="134"/>
      <c r="T362" s="134"/>
      <c r="U362" s="134"/>
      <c r="V362" s="134"/>
      <c r="W362" s="134"/>
    </row>
    <row r="363">
      <c r="A363" s="134"/>
      <c r="B363" s="134"/>
      <c r="C363" s="134"/>
      <c r="D363" s="134"/>
      <c r="E363" s="134"/>
      <c r="F363" s="134"/>
      <c r="G363" s="134"/>
      <c r="H363" s="134"/>
      <c r="I363" s="134"/>
      <c r="J363" s="134"/>
      <c r="K363" s="134"/>
      <c r="L363" s="134"/>
      <c r="M363" s="134"/>
      <c r="N363" s="134"/>
      <c r="O363" s="134"/>
      <c r="P363" s="134"/>
      <c r="Q363" s="134"/>
      <c r="R363" s="134"/>
      <c r="S363" s="134"/>
      <c r="T363" s="134"/>
      <c r="U363" s="134"/>
      <c r="V363" s="134"/>
      <c r="W363" s="134"/>
    </row>
    <row r="364">
      <c r="A364" s="134"/>
      <c r="B364" s="134"/>
      <c r="C364" s="134"/>
      <c r="D364" s="134"/>
      <c r="E364" s="134"/>
      <c r="F364" s="134"/>
      <c r="G364" s="134"/>
      <c r="H364" s="134"/>
      <c r="I364" s="134"/>
      <c r="J364" s="134"/>
      <c r="K364" s="134"/>
      <c r="L364" s="134"/>
      <c r="M364" s="134"/>
      <c r="N364" s="134"/>
      <c r="O364" s="134"/>
      <c r="P364" s="134"/>
      <c r="Q364" s="134"/>
      <c r="R364" s="134"/>
      <c r="S364" s="134"/>
      <c r="T364" s="134"/>
      <c r="U364" s="134"/>
      <c r="V364" s="134"/>
      <c r="W364" s="134"/>
    </row>
    <row r="365">
      <c r="A365" s="134"/>
      <c r="B365" s="134"/>
      <c r="C365" s="134"/>
      <c r="D365" s="134"/>
      <c r="E365" s="134"/>
      <c r="F365" s="134"/>
      <c r="G365" s="134"/>
      <c r="H365" s="134"/>
      <c r="I365" s="134"/>
      <c r="J365" s="134"/>
      <c r="K365" s="134"/>
      <c r="L365" s="134"/>
      <c r="M365" s="134"/>
      <c r="N365" s="134"/>
      <c r="O365" s="134"/>
      <c r="P365" s="134"/>
      <c r="Q365" s="134"/>
      <c r="R365" s="134"/>
      <c r="S365" s="134"/>
      <c r="T365" s="134"/>
      <c r="U365" s="134"/>
      <c r="V365" s="134"/>
      <c r="W365" s="134"/>
    </row>
    <row r="366">
      <c r="A366" s="134"/>
      <c r="B366" s="134"/>
      <c r="C366" s="134"/>
      <c r="D366" s="134"/>
      <c r="E366" s="134"/>
      <c r="F366" s="134"/>
      <c r="G366" s="134"/>
      <c r="H366" s="134"/>
      <c r="I366" s="134"/>
      <c r="J366" s="134"/>
      <c r="K366" s="134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  <c r="V366" s="134"/>
      <c r="W366" s="134"/>
    </row>
    <row r="367">
      <c r="A367" s="134"/>
      <c r="B367" s="134"/>
      <c r="C367" s="134"/>
      <c r="D367" s="134"/>
      <c r="E367" s="134"/>
      <c r="F367" s="134"/>
      <c r="G367" s="134"/>
      <c r="H367" s="134"/>
      <c r="I367" s="134"/>
      <c r="J367" s="134"/>
      <c r="K367" s="134"/>
      <c r="L367" s="134"/>
      <c r="M367" s="134"/>
      <c r="N367" s="134"/>
      <c r="O367" s="134"/>
      <c r="P367" s="134"/>
      <c r="Q367" s="134"/>
      <c r="R367" s="134"/>
      <c r="S367" s="134"/>
      <c r="T367" s="134"/>
      <c r="U367" s="134"/>
      <c r="V367" s="134"/>
      <c r="W367" s="134"/>
    </row>
    <row r="368">
      <c r="A368" s="134"/>
      <c r="B368" s="134"/>
      <c r="C368" s="134"/>
      <c r="D368" s="134"/>
      <c r="E368" s="134"/>
      <c r="F368" s="134"/>
      <c r="G368" s="134"/>
      <c r="H368" s="134"/>
      <c r="I368" s="134"/>
      <c r="J368" s="134"/>
      <c r="K368" s="134"/>
      <c r="L368" s="134"/>
      <c r="M368" s="134"/>
      <c r="N368" s="134"/>
      <c r="O368" s="134"/>
      <c r="P368" s="134"/>
      <c r="Q368" s="134"/>
      <c r="R368" s="134"/>
      <c r="S368" s="134"/>
      <c r="T368" s="134"/>
      <c r="U368" s="134"/>
      <c r="V368" s="134"/>
      <c r="W368" s="134"/>
    </row>
    <row r="369">
      <c r="A369" s="134"/>
      <c r="B369" s="134"/>
      <c r="C369" s="134"/>
      <c r="D369" s="134"/>
      <c r="E369" s="134"/>
      <c r="F369" s="134"/>
      <c r="G369" s="134"/>
      <c r="H369" s="134"/>
      <c r="I369" s="134"/>
      <c r="J369" s="134"/>
      <c r="K369" s="134"/>
      <c r="L369" s="134"/>
      <c r="M369" s="134"/>
      <c r="N369" s="134"/>
      <c r="O369" s="134"/>
      <c r="P369" s="134"/>
      <c r="Q369" s="134"/>
      <c r="R369" s="134"/>
      <c r="S369" s="134"/>
      <c r="T369" s="134"/>
      <c r="U369" s="134"/>
      <c r="V369" s="134"/>
      <c r="W369" s="134"/>
    </row>
    <row r="370">
      <c r="A370" s="134"/>
      <c r="B370" s="134"/>
      <c r="C370" s="134"/>
      <c r="D370" s="134"/>
      <c r="E370" s="134"/>
      <c r="F370" s="134"/>
      <c r="G370" s="134"/>
      <c r="H370" s="134"/>
      <c r="I370" s="134"/>
      <c r="J370" s="134"/>
      <c r="K370" s="134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  <c r="V370" s="134"/>
      <c r="W370" s="134"/>
    </row>
    <row r="371">
      <c r="A371" s="134"/>
      <c r="B371" s="134"/>
      <c r="C371" s="134"/>
      <c r="D371" s="134"/>
      <c r="E371" s="134"/>
      <c r="F371" s="134"/>
      <c r="G371" s="134"/>
      <c r="H371" s="134"/>
      <c r="I371" s="134"/>
      <c r="J371" s="134"/>
      <c r="K371" s="134"/>
      <c r="L371" s="134"/>
      <c r="M371" s="134"/>
      <c r="N371" s="134"/>
      <c r="O371" s="134"/>
      <c r="P371" s="134"/>
      <c r="Q371" s="134"/>
      <c r="R371" s="134"/>
      <c r="S371" s="134"/>
      <c r="T371" s="134"/>
      <c r="U371" s="134"/>
      <c r="V371" s="134"/>
      <c r="W371" s="134"/>
    </row>
    <row r="372">
      <c r="A372" s="134"/>
      <c r="B372" s="134"/>
      <c r="C372" s="134"/>
      <c r="D372" s="134"/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</row>
    <row r="373">
      <c r="A373" s="134"/>
      <c r="B373" s="134"/>
      <c r="C373" s="134"/>
      <c r="D373" s="134"/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</row>
    <row r="374">
      <c r="A374" s="134"/>
      <c r="B374" s="134"/>
      <c r="C374" s="134"/>
      <c r="D374" s="134"/>
      <c r="E374" s="134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  <c r="V374" s="134"/>
      <c r="W374" s="134"/>
    </row>
    <row r="375">
      <c r="A375" s="134"/>
      <c r="B375" s="134"/>
      <c r="C375" s="134"/>
      <c r="D375" s="134"/>
      <c r="E375" s="134"/>
      <c r="F375" s="134"/>
      <c r="G375" s="134"/>
      <c r="H375" s="134"/>
      <c r="I375" s="134"/>
      <c r="J375" s="134"/>
      <c r="K375" s="134"/>
      <c r="L375" s="134"/>
      <c r="M375" s="134"/>
      <c r="N375" s="134"/>
      <c r="O375" s="134"/>
      <c r="P375" s="134"/>
      <c r="Q375" s="134"/>
      <c r="R375" s="134"/>
      <c r="S375" s="134"/>
      <c r="T375" s="134"/>
      <c r="U375" s="134"/>
      <c r="V375" s="134"/>
      <c r="W375" s="134"/>
    </row>
    <row r="376">
      <c r="A376" s="134"/>
      <c r="B376" s="134"/>
      <c r="C376" s="134"/>
      <c r="D376" s="134"/>
      <c r="E376" s="134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  <c r="V376" s="134"/>
      <c r="W376" s="134"/>
    </row>
    <row r="377">
      <c r="A377" s="134"/>
      <c r="B377" s="134"/>
      <c r="C377" s="134"/>
      <c r="D377" s="134"/>
      <c r="E377" s="134"/>
      <c r="F377" s="134"/>
      <c r="G377" s="134"/>
      <c r="H377" s="134"/>
      <c r="I377" s="134"/>
      <c r="J377" s="134"/>
      <c r="K377" s="134"/>
      <c r="L377" s="134"/>
      <c r="M377" s="134"/>
      <c r="N377" s="134"/>
      <c r="O377" s="134"/>
      <c r="P377" s="134"/>
      <c r="Q377" s="134"/>
      <c r="R377" s="134"/>
      <c r="S377" s="134"/>
      <c r="T377" s="134"/>
      <c r="U377" s="134"/>
      <c r="V377" s="134"/>
      <c r="W377" s="134"/>
    </row>
    <row r="378">
      <c r="A378" s="134"/>
      <c r="B378" s="134"/>
      <c r="C378" s="134"/>
      <c r="D378" s="134"/>
      <c r="E378" s="134"/>
      <c r="F378" s="134"/>
      <c r="G378" s="134"/>
      <c r="H378" s="134"/>
      <c r="I378" s="134"/>
      <c r="J378" s="134"/>
      <c r="K378" s="134"/>
      <c r="L378" s="134"/>
      <c r="M378" s="134"/>
      <c r="N378" s="134"/>
      <c r="O378" s="134"/>
      <c r="P378" s="134"/>
      <c r="Q378" s="134"/>
      <c r="R378" s="134"/>
      <c r="S378" s="134"/>
      <c r="T378" s="134"/>
      <c r="U378" s="134"/>
      <c r="V378" s="134"/>
      <c r="W378" s="134"/>
    </row>
    <row r="379">
      <c r="A379" s="134"/>
      <c r="B379" s="134"/>
      <c r="C379" s="134"/>
      <c r="D379" s="134"/>
      <c r="E379" s="134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134"/>
      <c r="Q379" s="134"/>
      <c r="R379" s="134"/>
      <c r="S379" s="134"/>
      <c r="T379" s="134"/>
      <c r="U379" s="134"/>
      <c r="V379" s="134"/>
      <c r="W379" s="134"/>
    </row>
    <row r="380">
      <c r="A380" s="134"/>
      <c r="B380" s="134"/>
      <c r="C380" s="134"/>
      <c r="D380" s="134"/>
      <c r="E380" s="134"/>
      <c r="F380" s="134"/>
      <c r="G380" s="134"/>
      <c r="H380" s="134"/>
      <c r="I380" s="134"/>
      <c r="J380" s="134"/>
      <c r="K380" s="134"/>
      <c r="L380" s="134"/>
      <c r="M380" s="134"/>
      <c r="N380" s="134"/>
      <c r="O380" s="134"/>
      <c r="P380" s="134"/>
      <c r="Q380" s="134"/>
      <c r="R380" s="134"/>
      <c r="S380" s="134"/>
      <c r="T380" s="134"/>
      <c r="U380" s="134"/>
      <c r="V380" s="134"/>
      <c r="W380" s="134"/>
    </row>
    <row r="381">
      <c r="A381" s="134"/>
      <c r="B381" s="134"/>
      <c r="C381" s="134"/>
      <c r="D381" s="134"/>
      <c r="E381" s="134"/>
      <c r="F381" s="134"/>
      <c r="G381" s="134"/>
      <c r="H381" s="134"/>
      <c r="I381" s="134"/>
      <c r="J381" s="134"/>
      <c r="K381" s="134"/>
      <c r="L381" s="134"/>
      <c r="M381" s="134"/>
      <c r="N381" s="134"/>
      <c r="O381" s="134"/>
      <c r="P381" s="134"/>
      <c r="Q381" s="134"/>
      <c r="R381" s="134"/>
      <c r="S381" s="134"/>
      <c r="T381" s="134"/>
      <c r="U381" s="134"/>
      <c r="V381" s="134"/>
      <c r="W381" s="134"/>
    </row>
    <row r="382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</row>
    <row r="383">
      <c r="A383" s="134"/>
      <c r="B383" s="134"/>
      <c r="C383" s="134"/>
      <c r="D383" s="134"/>
      <c r="E383" s="134"/>
      <c r="F383" s="134"/>
      <c r="G383" s="134"/>
      <c r="H383" s="134"/>
      <c r="I383" s="134"/>
      <c r="J383" s="134"/>
      <c r="K383" s="134"/>
      <c r="L383" s="134"/>
      <c r="M383" s="134"/>
      <c r="N383" s="134"/>
      <c r="O383" s="134"/>
      <c r="P383" s="134"/>
      <c r="Q383" s="134"/>
      <c r="R383" s="134"/>
      <c r="S383" s="134"/>
      <c r="T383" s="134"/>
      <c r="U383" s="134"/>
      <c r="V383" s="134"/>
      <c r="W383" s="134"/>
    </row>
    <row r="384">
      <c r="A384" s="134"/>
      <c r="B384" s="134"/>
      <c r="C384" s="134"/>
      <c r="D384" s="134"/>
      <c r="E384" s="134"/>
      <c r="F384" s="134"/>
      <c r="G384" s="134"/>
      <c r="H384" s="134"/>
      <c r="I384" s="134"/>
      <c r="J384" s="134"/>
      <c r="K384" s="134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  <c r="V384" s="134"/>
      <c r="W384" s="134"/>
    </row>
    <row r="385">
      <c r="A385" s="134"/>
      <c r="B385" s="134"/>
      <c r="C385" s="134"/>
      <c r="D385" s="134"/>
      <c r="E385" s="134"/>
      <c r="F385" s="134"/>
      <c r="G385" s="134"/>
      <c r="H385" s="134"/>
      <c r="I385" s="134"/>
      <c r="J385" s="134"/>
      <c r="K385" s="134"/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  <c r="V385" s="134"/>
      <c r="W385" s="134"/>
    </row>
    <row r="386">
      <c r="A386" s="134"/>
      <c r="B386" s="134"/>
      <c r="C386" s="134"/>
      <c r="D386" s="134"/>
      <c r="E386" s="134"/>
      <c r="F386" s="134"/>
      <c r="G386" s="134"/>
      <c r="H386" s="134"/>
      <c r="I386" s="134"/>
      <c r="J386" s="134"/>
      <c r="K386" s="134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  <c r="V386" s="134"/>
      <c r="W386" s="134"/>
    </row>
    <row r="387">
      <c r="A387" s="134"/>
      <c r="B387" s="134"/>
      <c r="C387" s="134"/>
      <c r="D387" s="134"/>
      <c r="E387" s="134"/>
      <c r="F387" s="134"/>
      <c r="G387" s="134"/>
      <c r="H387" s="134"/>
      <c r="I387" s="134"/>
      <c r="J387" s="134"/>
      <c r="K387" s="134"/>
      <c r="L387" s="134"/>
      <c r="M387" s="134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</row>
    <row r="388">
      <c r="A388" s="134"/>
      <c r="B388" s="134"/>
      <c r="C388" s="134"/>
      <c r="D388" s="134"/>
      <c r="E388" s="134"/>
      <c r="F388" s="134"/>
      <c r="G388" s="134"/>
      <c r="H388" s="134"/>
      <c r="I388" s="134"/>
      <c r="J388" s="134"/>
      <c r="K388" s="134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  <c r="V388" s="134"/>
      <c r="W388" s="134"/>
    </row>
    <row r="389">
      <c r="A389" s="134"/>
      <c r="B389" s="134"/>
      <c r="C389" s="134"/>
      <c r="D389" s="134"/>
      <c r="E389" s="134"/>
      <c r="F389" s="134"/>
      <c r="G389" s="134"/>
      <c r="H389" s="134"/>
      <c r="I389" s="134"/>
      <c r="J389" s="134"/>
      <c r="K389" s="134"/>
      <c r="L389" s="134"/>
      <c r="M389" s="134"/>
      <c r="N389" s="134"/>
      <c r="O389" s="134"/>
      <c r="P389" s="134"/>
      <c r="Q389" s="134"/>
      <c r="R389" s="134"/>
      <c r="S389" s="134"/>
      <c r="T389" s="134"/>
      <c r="U389" s="134"/>
      <c r="V389" s="134"/>
      <c r="W389" s="134"/>
    </row>
    <row r="390">
      <c r="A390" s="134"/>
      <c r="B390" s="134"/>
      <c r="C390" s="134"/>
      <c r="D390" s="134"/>
      <c r="E390" s="134"/>
      <c r="F390" s="134"/>
      <c r="G390" s="134"/>
      <c r="H390" s="134"/>
      <c r="I390" s="134"/>
      <c r="J390" s="134"/>
      <c r="K390" s="134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  <c r="V390" s="134"/>
      <c r="W390" s="134"/>
    </row>
    <row r="391">
      <c r="A391" s="134"/>
      <c r="B391" s="134"/>
      <c r="C391" s="134"/>
      <c r="D391" s="134"/>
      <c r="E391" s="134"/>
      <c r="F391" s="134"/>
      <c r="G391" s="134"/>
      <c r="H391" s="134"/>
      <c r="I391" s="134"/>
      <c r="J391" s="134"/>
      <c r="K391" s="134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</row>
    <row r="392">
      <c r="A392" s="134"/>
      <c r="B392" s="134"/>
      <c r="C392" s="134"/>
      <c r="D392" s="134"/>
      <c r="E392" s="134"/>
      <c r="F392" s="134"/>
      <c r="G392" s="134"/>
      <c r="H392" s="134"/>
      <c r="I392" s="134"/>
      <c r="J392" s="134"/>
      <c r="K392" s="134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  <c r="V392" s="134"/>
      <c r="W392" s="134"/>
    </row>
    <row r="393">
      <c r="A393" s="134"/>
      <c r="B393" s="134"/>
      <c r="C393" s="134"/>
      <c r="D393" s="134"/>
      <c r="E393" s="134"/>
      <c r="F393" s="134"/>
      <c r="G393" s="134"/>
      <c r="H393" s="134"/>
      <c r="I393" s="134"/>
      <c r="J393" s="134"/>
      <c r="K393" s="134"/>
      <c r="L393" s="134"/>
      <c r="M393" s="134"/>
      <c r="N393" s="134"/>
      <c r="O393" s="134"/>
      <c r="P393" s="134"/>
      <c r="Q393" s="134"/>
      <c r="R393" s="134"/>
      <c r="S393" s="134"/>
      <c r="T393" s="134"/>
      <c r="U393" s="134"/>
      <c r="V393" s="134"/>
      <c r="W393" s="134"/>
    </row>
    <row r="394">
      <c r="A394" s="134"/>
      <c r="B394" s="134"/>
      <c r="C394" s="134"/>
      <c r="D394" s="134"/>
      <c r="E394" s="134"/>
      <c r="F394" s="134"/>
      <c r="G394" s="134"/>
      <c r="H394" s="134"/>
      <c r="I394" s="134"/>
      <c r="J394" s="134"/>
      <c r="K394" s="134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  <c r="V394" s="134"/>
      <c r="W394" s="134"/>
    </row>
    <row r="395">
      <c r="A395" s="134"/>
      <c r="B395" s="134"/>
      <c r="C395" s="134"/>
      <c r="D395" s="134"/>
      <c r="E395" s="134"/>
      <c r="F395" s="134"/>
      <c r="G395" s="134"/>
      <c r="H395" s="134"/>
      <c r="I395" s="134"/>
      <c r="J395" s="134"/>
      <c r="K395" s="134"/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  <c r="V395" s="134"/>
      <c r="W395" s="134"/>
    </row>
    <row r="396">
      <c r="A396" s="134"/>
      <c r="B396" s="134"/>
      <c r="C396" s="134"/>
      <c r="D396" s="134"/>
      <c r="E396" s="134"/>
      <c r="F396" s="134"/>
      <c r="G396" s="134"/>
      <c r="H396" s="134"/>
      <c r="I396" s="134"/>
      <c r="J396" s="134"/>
      <c r="K396" s="134"/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  <c r="V396" s="134"/>
      <c r="W396" s="134"/>
    </row>
    <row r="397">
      <c r="A397" s="134"/>
      <c r="B397" s="134"/>
      <c r="C397" s="134"/>
      <c r="D397" s="134"/>
      <c r="E397" s="134"/>
      <c r="F397" s="134"/>
      <c r="G397" s="134"/>
      <c r="H397" s="134"/>
      <c r="I397" s="134"/>
      <c r="J397" s="134"/>
      <c r="K397" s="134"/>
      <c r="L397" s="134"/>
      <c r="M397" s="134"/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</row>
    <row r="398">
      <c r="A398" s="134"/>
      <c r="B398" s="134"/>
      <c r="C398" s="134"/>
      <c r="D398" s="134"/>
      <c r="E398" s="134"/>
      <c r="F398" s="134"/>
      <c r="G398" s="134"/>
      <c r="H398" s="134"/>
      <c r="I398" s="134"/>
      <c r="J398" s="134"/>
      <c r="K398" s="134"/>
      <c r="L398" s="134"/>
      <c r="M398" s="134"/>
      <c r="N398" s="134"/>
      <c r="O398" s="134"/>
      <c r="P398" s="134"/>
      <c r="Q398" s="134"/>
      <c r="R398" s="134"/>
      <c r="S398" s="134"/>
      <c r="T398" s="134"/>
      <c r="U398" s="134"/>
      <c r="V398" s="134"/>
      <c r="W398" s="134"/>
    </row>
    <row r="399">
      <c r="A399" s="134"/>
      <c r="B399" s="134"/>
      <c r="C399" s="134"/>
      <c r="D399" s="134"/>
      <c r="E399" s="134"/>
      <c r="F399" s="134"/>
      <c r="G399" s="134"/>
      <c r="H399" s="134"/>
      <c r="I399" s="134"/>
      <c r="J399" s="134"/>
      <c r="K399" s="134"/>
      <c r="L399" s="134"/>
      <c r="M399" s="134"/>
      <c r="N399" s="134"/>
      <c r="O399" s="134"/>
      <c r="P399" s="134"/>
      <c r="Q399" s="134"/>
      <c r="R399" s="134"/>
      <c r="S399" s="134"/>
      <c r="T399" s="134"/>
      <c r="U399" s="134"/>
      <c r="V399" s="134"/>
      <c r="W399" s="134"/>
    </row>
    <row r="400">
      <c r="A400" s="134"/>
      <c r="B400" s="134"/>
      <c r="C400" s="134"/>
      <c r="D400" s="134"/>
      <c r="E400" s="134"/>
      <c r="F400" s="134"/>
      <c r="G400" s="134"/>
      <c r="H400" s="134"/>
      <c r="I400" s="134"/>
      <c r="J400" s="134"/>
      <c r="K400" s="134"/>
      <c r="L400" s="134"/>
      <c r="M400" s="134"/>
      <c r="N400" s="134"/>
      <c r="O400" s="134"/>
      <c r="P400" s="134"/>
      <c r="Q400" s="134"/>
      <c r="R400" s="134"/>
      <c r="S400" s="134"/>
      <c r="T400" s="134"/>
      <c r="U400" s="134"/>
      <c r="V400" s="134"/>
      <c r="W400" s="134"/>
    </row>
    <row r="401">
      <c r="A401" s="134"/>
      <c r="B401" s="134"/>
      <c r="C401" s="134"/>
      <c r="D401" s="134"/>
      <c r="E401" s="134"/>
      <c r="F401" s="134"/>
      <c r="G401" s="134"/>
      <c r="H401" s="134"/>
      <c r="I401" s="134"/>
      <c r="J401" s="134"/>
      <c r="K401" s="134"/>
      <c r="L401" s="134"/>
      <c r="M401" s="134"/>
      <c r="N401" s="134"/>
      <c r="O401" s="134"/>
      <c r="P401" s="134"/>
      <c r="Q401" s="134"/>
      <c r="R401" s="134"/>
      <c r="S401" s="134"/>
      <c r="T401" s="134"/>
      <c r="U401" s="134"/>
      <c r="V401" s="134"/>
      <c r="W401" s="134"/>
    </row>
    <row r="402">
      <c r="A402" s="134"/>
      <c r="B402" s="134"/>
      <c r="C402" s="134"/>
      <c r="D402" s="134"/>
      <c r="E402" s="134"/>
      <c r="F402" s="134"/>
      <c r="G402" s="134"/>
      <c r="H402" s="134"/>
      <c r="I402" s="134"/>
      <c r="J402" s="134"/>
      <c r="K402" s="134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  <c r="V402" s="134"/>
      <c r="W402" s="134"/>
    </row>
    <row r="403">
      <c r="A403" s="134"/>
      <c r="B403" s="134"/>
      <c r="C403" s="134"/>
      <c r="D403" s="134"/>
      <c r="E403" s="134"/>
      <c r="F403" s="134"/>
      <c r="G403" s="134"/>
      <c r="H403" s="134"/>
      <c r="I403" s="134"/>
      <c r="J403" s="134"/>
      <c r="K403" s="134"/>
      <c r="L403" s="134"/>
      <c r="M403" s="134"/>
      <c r="N403" s="134"/>
      <c r="O403" s="134"/>
      <c r="P403" s="134"/>
      <c r="Q403" s="134"/>
      <c r="R403" s="134"/>
      <c r="S403" s="134"/>
      <c r="T403" s="134"/>
      <c r="U403" s="134"/>
      <c r="V403" s="134"/>
      <c r="W403" s="134"/>
    </row>
    <row r="404">
      <c r="A404" s="134"/>
      <c r="B404" s="134"/>
      <c r="C404" s="134"/>
      <c r="D404" s="134"/>
      <c r="E404" s="134"/>
      <c r="F404" s="134"/>
      <c r="G404" s="134"/>
      <c r="H404" s="134"/>
      <c r="I404" s="134"/>
      <c r="J404" s="134"/>
      <c r="K404" s="134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  <c r="V404" s="134"/>
      <c r="W404" s="134"/>
    </row>
    <row r="405">
      <c r="A405" s="134"/>
      <c r="B405" s="134"/>
      <c r="C405" s="134"/>
      <c r="D405" s="134"/>
      <c r="E405" s="134"/>
      <c r="F405" s="134"/>
      <c r="G405" s="134"/>
      <c r="H405" s="134"/>
      <c r="I405" s="134"/>
      <c r="J405" s="134"/>
      <c r="K405" s="134"/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  <c r="V405" s="134"/>
      <c r="W405" s="134"/>
    </row>
    <row r="406">
      <c r="A406" s="134"/>
      <c r="B406" s="134"/>
      <c r="C406" s="134"/>
      <c r="D406" s="134"/>
      <c r="E406" s="134"/>
      <c r="F406" s="134"/>
      <c r="G406" s="134"/>
      <c r="H406" s="134"/>
      <c r="I406" s="134"/>
      <c r="J406" s="134"/>
      <c r="K406" s="134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  <c r="V406" s="134"/>
      <c r="W406" s="134"/>
    </row>
    <row r="407">
      <c r="A407" s="134"/>
      <c r="B407" s="134"/>
      <c r="C407" s="134"/>
      <c r="D407" s="134"/>
      <c r="E407" s="134"/>
      <c r="F407" s="134"/>
      <c r="G407" s="134"/>
      <c r="H407" s="134"/>
      <c r="I407" s="134"/>
      <c r="J407" s="134"/>
      <c r="K407" s="134"/>
      <c r="L407" s="134"/>
      <c r="M407" s="134"/>
      <c r="N407" s="134"/>
      <c r="O407" s="134"/>
      <c r="P407" s="134"/>
      <c r="Q407" s="134"/>
      <c r="R407" s="134"/>
      <c r="S407" s="134"/>
      <c r="T407" s="134"/>
      <c r="U407" s="134"/>
      <c r="V407" s="134"/>
      <c r="W407" s="134"/>
    </row>
    <row r="408">
      <c r="A408" s="134"/>
      <c r="B408" s="134"/>
      <c r="C408" s="134"/>
      <c r="D408" s="134"/>
      <c r="E408" s="134"/>
      <c r="F408" s="134"/>
      <c r="G408" s="134"/>
      <c r="H408" s="134"/>
      <c r="I408" s="134"/>
      <c r="J408" s="134"/>
      <c r="K408" s="134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  <c r="V408" s="134"/>
      <c r="W408" s="134"/>
    </row>
    <row r="409">
      <c r="A409" s="134"/>
      <c r="B409" s="134"/>
      <c r="C409" s="134"/>
      <c r="D409" s="134"/>
      <c r="E409" s="134"/>
      <c r="F409" s="134"/>
      <c r="G409" s="134"/>
      <c r="H409" s="134"/>
      <c r="I409" s="134"/>
      <c r="J409" s="134"/>
      <c r="K409" s="134"/>
      <c r="L409" s="134"/>
      <c r="M409" s="134"/>
      <c r="N409" s="134"/>
      <c r="O409" s="134"/>
      <c r="P409" s="134"/>
      <c r="Q409" s="134"/>
      <c r="R409" s="134"/>
      <c r="S409" s="134"/>
      <c r="T409" s="134"/>
      <c r="U409" s="134"/>
      <c r="V409" s="134"/>
      <c r="W409" s="134"/>
    </row>
    <row r="410">
      <c r="A410" s="134"/>
      <c r="B410" s="134"/>
      <c r="C410" s="134"/>
      <c r="D410" s="134"/>
      <c r="E410" s="134"/>
      <c r="F410" s="134"/>
      <c r="G410" s="134"/>
      <c r="H410" s="134"/>
      <c r="I410" s="134"/>
      <c r="J410" s="134"/>
      <c r="K410" s="134"/>
      <c r="L410" s="134"/>
      <c r="M410" s="134"/>
      <c r="N410" s="134"/>
      <c r="O410" s="134"/>
      <c r="P410" s="134"/>
      <c r="Q410" s="134"/>
      <c r="R410" s="134"/>
      <c r="S410" s="134"/>
      <c r="T410" s="134"/>
      <c r="U410" s="134"/>
      <c r="V410" s="134"/>
      <c r="W410" s="134"/>
    </row>
    <row r="411">
      <c r="A411" s="134"/>
      <c r="B411" s="134"/>
      <c r="C411" s="134"/>
      <c r="D411" s="134"/>
      <c r="E411" s="134"/>
      <c r="F411" s="134"/>
      <c r="G411" s="134"/>
      <c r="H411" s="134"/>
      <c r="I411" s="134"/>
      <c r="J411" s="134"/>
      <c r="K411" s="134"/>
      <c r="L411" s="134"/>
      <c r="M411" s="134"/>
      <c r="N411" s="134"/>
      <c r="O411" s="134"/>
      <c r="P411" s="134"/>
      <c r="Q411" s="134"/>
      <c r="R411" s="134"/>
      <c r="S411" s="134"/>
      <c r="T411" s="134"/>
      <c r="U411" s="134"/>
      <c r="V411" s="134"/>
      <c r="W411" s="134"/>
    </row>
    <row r="412">
      <c r="A412" s="134"/>
      <c r="B412" s="134"/>
      <c r="C412" s="134"/>
      <c r="D412" s="134"/>
      <c r="E412" s="134"/>
      <c r="F412" s="134"/>
      <c r="G412" s="134"/>
      <c r="H412" s="134"/>
      <c r="I412" s="134"/>
      <c r="J412" s="134"/>
      <c r="K412" s="134"/>
      <c r="L412" s="134"/>
      <c r="M412" s="134"/>
      <c r="N412" s="134"/>
      <c r="O412" s="134"/>
      <c r="P412" s="134"/>
      <c r="Q412" s="134"/>
      <c r="R412" s="134"/>
      <c r="S412" s="134"/>
      <c r="T412" s="134"/>
      <c r="U412" s="134"/>
      <c r="V412" s="134"/>
      <c r="W412" s="134"/>
    </row>
    <row r="413">
      <c r="A413" s="134"/>
      <c r="B413" s="134"/>
      <c r="C413" s="134"/>
      <c r="D413" s="134"/>
      <c r="E413" s="134"/>
      <c r="F413" s="134"/>
      <c r="G413" s="134"/>
      <c r="H413" s="134"/>
      <c r="I413" s="134"/>
      <c r="J413" s="134"/>
      <c r="K413" s="134"/>
      <c r="L413" s="134"/>
      <c r="M413" s="134"/>
      <c r="N413" s="134"/>
      <c r="O413" s="134"/>
      <c r="P413" s="134"/>
      <c r="Q413" s="134"/>
      <c r="R413" s="134"/>
      <c r="S413" s="134"/>
      <c r="T413" s="134"/>
      <c r="U413" s="134"/>
      <c r="V413" s="134"/>
      <c r="W413" s="134"/>
    </row>
    <row r="414">
      <c r="A414" s="134"/>
      <c r="B414" s="134"/>
      <c r="C414" s="134"/>
      <c r="D414" s="134"/>
      <c r="E414" s="134"/>
      <c r="F414" s="134"/>
      <c r="G414" s="134"/>
      <c r="H414" s="134"/>
      <c r="I414" s="134"/>
      <c r="J414" s="134"/>
      <c r="K414" s="134"/>
      <c r="L414" s="134"/>
      <c r="M414" s="134"/>
      <c r="N414" s="134"/>
      <c r="O414" s="134"/>
      <c r="P414" s="134"/>
      <c r="Q414" s="134"/>
      <c r="R414" s="134"/>
      <c r="S414" s="134"/>
      <c r="T414" s="134"/>
      <c r="U414" s="134"/>
      <c r="V414" s="134"/>
      <c r="W414" s="134"/>
    </row>
    <row r="415">
      <c r="A415" s="134"/>
      <c r="B415" s="134"/>
      <c r="C415" s="134"/>
      <c r="D415" s="134"/>
      <c r="E415" s="134"/>
      <c r="F415" s="134"/>
      <c r="G415" s="134"/>
      <c r="H415" s="134"/>
      <c r="I415" s="134"/>
      <c r="J415" s="134"/>
      <c r="K415" s="134"/>
      <c r="L415" s="134"/>
      <c r="M415" s="134"/>
      <c r="N415" s="134"/>
      <c r="O415" s="134"/>
      <c r="P415" s="134"/>
      <c r="Q415" s="134"/>
      <c r="R415" s="134"/>
      <c r="S415" s="134"/>
      <c r="T415" s="134"/>
      <c r="U415" s="134"/>
      <c r="V415" s="134"/>
      <c r="W415" s="134"/>
    </row>
    <row r="416">
      <c r="A416" s="134"/>
      <c r="B416" s="134"/>
      <c r="C416" s="134"/>
      <c r="D416" s="134"/>
      <c r="E416" s="134"/>
      <c r="F416" s="134"/>
      <c r="G416" s="134"/>
      <c r="H416" s="134"/>
      <c r="I416" s="134"/>
      <c r="J416" s="134"/>
      <c r="K416" s="134"/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  <c r="V416" s="134"/>
      <c r="W416" s="134"/>
    </row>
    <row r="417">
      <c r="A417" s="134"/>
      <c r="B417" s="134"/>
      <c r="C417" s="134"/>
      <c r="D417" s="134"/>
      <c r="E417" s="134"/>
      <c r="F417" s="134"/>
      <c r="G417" s="134"/>
      <c r="H417" s="134"/>
      <c r="I417" s="134"/>
      <c r="J417" s="134"/>
      <c r="K417" s="134"/>
      <c r="L417" s="134"/>
      <c r="M417" s="134"/>
      <c r="N417" s="134"/>
      <c r="O417" s="134"/>
      <c r="P417" s="134"/>
      <c r="Q417" s="134"/>
      <c r="R417" s="134"/>
      <c r="S417" s="134"/>
      <c r="T417" s="134"/>
      <c r="U417" s="134"/>
      <c r="V417" s="134"/>
      <c r="W417" s="134"/>
    </row>
    <row r="418">
      <c r="A418" s="134"/>
      <c r="B418" s="134"/>
      <c r="C418" s="134"/>
      <c r="D418" s="134"/>
      <c r="E418" s="134"/>
      <c r="F418" s="134"/>
      <c r="G418" s="134"/>
      <c r="H418" s="134"/>
      <c r="I418" s="134"/>
      <c r="J418" s="134"/>
      <c r="K418" s="134"/>
      <c r="L418" s="134"/>
      <c r="M418" s="134"/>
      <c r="N418" s="134"/>
      <c r="O418" s="134"/>
      <c r="P418" s="134"/>
      <c r="Q418" s="134"/>
      <c r="R418" s="134"/>
      <c r="S418" s="134"/>
      <c r="T418" s="134"/>
      <c r="U418" s="134"/>
      <c r="V418" s="134"/>
      <c r="W418" s="134"/>
    </row>
    <row r="419">
      <c r="A419" s="134"/>
      <c r="B419" s="134"/>
      <c r="C419" s="134"/>
      <c r="D419" s="134"/>
      <c r="E419" s="134"/>
      <c r="F419" s="134"/>
      <c r="G419" s="134"/>
      <c r="H419" s="134"/>
      <c r="I419" s="134"/>
      <c r="J419" s="134"/>
      <c r="K419" s="134"/>
      <c r="L419" s="134"/>
      <c r="M419" s="134"/>
      <c r="N419" s="134"/>
      <c r="O419" s="134"/>
      <c r="P419" s="134"/>
      <c r="Q419" s="134"/>
      <c r="R419" s="134"/>
      <c r="S419" s="134"/>
      <c r="T419" s="134"/>
      <c r="U419" s="134"/>
      <c r="V419" s="134"/>
      <c r="W419" s="134"/>
    </row>
    <row r="420">
      <c r="A420" s="134"/>
      <c r="B420" s="134"/>
      <c r="C420" s="134"/>
      <c r="D420" s="134"/>
      <c r="E420" s="134"/>
      <c r="F420" s="134"/>
      <c r="G420" s="134"/>
      <c r="H420" s="134"/>
      <c r="I420" s="134"/>
      <c r="J420" s="134"/>
      <c r="K420" s="134"/>
      <c r="L420" s="134"/>
      <c r="M420" s="134"/>
      <c r="N420" s="134"/>
      <c r="O420" s="134"/>
      <c r="P420" s="134"/>
      <c r="Q420" s="134"/>
      <c r="R420" s="134"/>
      <c r="S420" s="134"/>
      <c r="T420" s="134"/>
      <c r="U420" s="134"/>
      <c r="V420" s="134"/>
      <c r="W420" s="134"/>
    </row>
    <row r="421">
      <c r="A421" s="134"/>
      <c r="B421" s="134"/>
      <c r="C421" s="134"/>
      <c r="D421" s="134"/>
      <c r="E421" s="134"/>
      <c r="F421" s="134"/>
      <c r="G421" s="134"/>
      <c r="H421" s="134"/>
      <c r="I421" s="134"/>
      <c r="J421" s="134"/>
      <c r="K421" s="134"/>
      <c r="L421" s="134"/>
      <c r="M421" s="134"/>
      <c r="N421" s="134"/>
      <c r="O421" s="134"/>
      <c r="P421" s="134"/>
      <c r="Q421" s="134"/>
      <c r="R421" s="134"/>
      <c r="S421" s="134"/>
      <c r="T421" s="134"/>
      <c r="U421" s="134"/>
      <c r="V421" s="134"/>
      <c r="W421" s="134"/>
    </row>
    <row r="422">
      <c r="A422" s="134"/>
      <c r="B422" s="134"/>
      <c r="C422" s="134"/>
      <c r="D422" s="134"/>
      <c r="E422" s="134"/>
      <c r="F422" s="134"/>
      <c r="G422" s="134"/>
      <c r="H422" s="134"/>
      <c r="I422" s="134"/>
      <c r="J422" s="134"/>
      <c r="K422" s="134"/>
      <c r="L422" s="134"/>
      <c r="M422" s="134"/>
      <c r="N422" s="134"/>
      <c r="O422" s="134"/>
      <c r="P422" s="134"/>
      <c r="Q422" s="134"/>
      <c r="R422" s="134"/>
      <c r="S422" s="134"/>
      <c r="T422" s="134"/>
      <c r="U422" s="134"/>
      <c r="V422" s="134"/>
      <c r="W422" s="134"/>
    </row>
    <row r="423">
      <c r="A423" s="134"/>
      <c r="B423" s="134"/>
      <c r="C423" s="134"/>
      <c r="D423" s="134"/>
      <c r="E423" s="134"/>
      <c r="F423" s="134"/>
      <c r="G423" s="134"/>
      <c r="H423" s="134"/>
      <c r="I423" s="134"/>
      <c r="J423" s="134"/>
      <c r="K423" s="134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</row>
    <row r="424">
      <c r="A424" s="134"/>
      <c r="B424" s="134"/>
      <c r="C424" s="134"/>
      <c r="D424" s="134"/>
      <c r="E424" s="134"/>
      <c r="F424" s="134"/>
      <c r="G424" s="134"/>
      <c r="H424" s="134"/>
      <c r="I424" s="134"/>
      <c r="J424" s="134"/>
      <c r="K424" s="134"/>
      <c r="L424" s="134"/>
      <c r="M424" s="134"/>
      <c r="N424" s="134"/>
      <c r="O424" s="134"/>
      <c r="P424" s="134"/>
      <c r="Q424" s="134"/>
      <c r="R424" s="134"/>
      <c r="S424" s="134"/>
      <c r="T424" s="134"/>
      <c r="U424" s="134"/>
      <c r="V424" s="134"/>
      <c r="W424" s="134"/>
    </row>
    <row r="425">
      <c r="A425" s="134"/>
      <c r="B425" s="134"/>
      <c r="C425" s="134"/>
      <c r="D425" s="134"/>
      <c r="E425" s="134"/>
      <c r="F425" s="134"/>
      <c r="G425" s="134"/>
      <c r="H425" s="134"/>
      <c r="I425" s="134"/>
      <c r="J425" s="134"/>
      <c r="K425" s="134"/>
      <c r="L425" s="134"/>
      <c r="M425" s="134"/>
      <c r="N425" s="134"/>
      <c r="O425" s="134"/>
      <c r="P425" s="134"/>
      <c r="Q425" s="134"/>
      <c r="R425" s="134"/>
      <c r="S425" s="134"/>
      <c r="T425" s="134"/>
      <c r="U425" s="134"/>
      <c r="V425" s="134"/>
      <c r="W425" s="134"/>
    </row>
    <row r="426">
      <c r="A426" s="134"/>
      <c r="B426" s="134"/>
      <c r="C426" s="134"/>
      <c r="D426" s="134"/>
      <c r="E426" s="134"/>
      <c r="F426" s="134"/>
      <c r="G426" s="134"/>
      <c r="H426" s="134"/>
      <c r="I426" s="134"/>
      <c r="J426" s="134"/>
      <c r="K426" s="134"/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</row>
    <row r="427">
      <c r="A427" s="134"/>
      <c r="B427" s="134"/>
      <c r="C427" s="134"/>
      <c r="D427" s="134"/>
      <c r="E427" s="134"/>
      <c r="F427" s="134"/>
      <c r="G427" s="134"/>
      <c r="H427" s="134"/>
      <c r="I427" s="134"/>
      <c r="J427" s="134"/>
      <c r="K427" s="134"/>
      <c r="L427" s="134"/>
      <c r="M427" s="134"/>
      <c r="N427" s="134"/>
      <c r="O427" s="134"/>
      <c r="P427" s="134"/>
      <c r="Q427" s="134"/>
      <c r="R427" s="134"/>
      <c r="S427" s="134"/>
      <c r="T427" s="134"/>
      <c r="U427" s="134"/>
      <c r="V427" s="134"/>
      <c r="W427" s="134"/>
    </row>
    <row r="428">
      <c r="A428" s="134"/>
      <c r="B428" s="134"/>
      <c r="C428" s="134"/>
      <c r="D428" s="134"/>
      <c r="E428" s="134"/>
      <c r="F428" s="134"/>
      <c r="G428" s="134"/>
      <c r="H428" s="134"/>
      <c r="I428" s="134"/>
      <c r="J428" s="134"/>
      <c r="K428" s="134"/>
      <c r="L428" s="134"/>
      <c r="M428" s="134"/>
      <c r="N428" s="134"/>
      <c r="O428" s="134"/>
      <c r="P428" s="134"/>
      <c r="Q428" s="134"/>
      <c r="R428" s="134"/>
      <c r="S428" s="134"/>
      <c r="T428" s="134"/>
      <c r="U428" s="134"/>
      <c r="V428" s="134"/>
      <c r="W428" s="134"/>
    </row>
    <row r="429">
      <c r="A429" s="134"/>
      <c r="B429" s="134"/>
      <c r="C429" s="134"/>
      <c r="D429" s="134"/>
      <c r="E429" s="134"/>
      <c r="F429" s="134"/>
      <c r="G429" s="134"/>
      <c r="H429" s="134"/>
      <c r="I429" s="134"/>
      <c r="J429" s="134"/>
      <c r="K429" s="134"/>
      <c r="L429" s="134"/>
      <c r="M429" s="134"/>
      <c r="N429" s="134"/>
      <c r="O429" s="134"/>
      <c r="P429" s="134"/>
      <c r="Q429" s="134"/>
      <c r="R429" s="134"/>
      <c r="S429" s="134"/>
      <c r="T429" s="134"/>
      <c r="U429" s="134"/>
      <c r="V429" s="134"/>
      <c r="W429" s="134"/>
    </row>
    <row r="430">
      <c r="A430" s="134"/>
      <c r="B430" s="134"/>
      <c r="C430" s="134"/>
      <c r="D430" s="134"/>
      <c r="E430" s="134"/>
      <c r="F430" s="134"/>
      <c r="G430" s="134"/>
      <c r="H430" s="134"/>
      <c r="I430" s="134"/>
      <c r="J430" s="134"/>
      <c r="K430" s="134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  <c r="V430" s="134"/>
      <c r="W430" s="134"/>
    </row>
    <row r="431">
      <c r="A431" s="134"/>
      <c r="B431" s="134"/>
      <c r="C431" s="134"/>
      <c r="D431" s="134"/>
      <c r="E431" s="134"/>
      <c r="F431" s="134"/>
      <c r="G431" s="134"/>
      <c r="H431" s="134"/>
      <c r="I431" s="134"/>
      <c r="J431" s="134"/>
      <c r="K431" s="134"/>
      <c r="L431" s="134"/>
      <c r="M431" s="134"/>
      <c r="N431" s="134"/>
      <c r="O431" s="134"/>
      <c r="P431" s="134"/>
      <c r="Q431" s="134"/>
      <c r="R431" s="134"/>
      <c r="S431" s="134"/>
      <c r="T431" s="134"/>
      <c r="U431" s="134"/>
      <c r="V431" s="134"/>
      <c r="W431" s="134"/>
    </row>
    <row r="432">
      <c r="A432" s="134"/>
      <c r="B432" s="134"/>
      <c r="C432" s="134"/>
      <c r="D432" s="134"/>
      <c r="E432" s="134"/>
      <c r="F432" s="134"/>
      <c r="G432" s="134"/>
      <c r="H432" s="134"/>
      <c r="I432" s="134"/>
      <c r="J432" s="134"/>
      <c r="K432" s="134"/>
      <c r="L432" s="134"/>
      <c r="M432" s="134"/>
      <c r="N432" s="134"/>
      <c r="O432" s="134"/>
      <c r="P432" s="134"/>
      <c r="Q432" s="134"/>
      <c r="R432" s="134"/>
      <c r="S432" s="134"/>
      <c r="T432" s="134"/>
      <c r="U432" s="134"/>
      <c r="V432" s="134"/>
      <c r="W432" s="134"/>
    </row>
    <row r="433">
      <c r="A433" s="134"/>
      <c r="B433" s="134"/>
      <c r="C433" s="134"/>
      <c r="D433" s="134"/>
      <c r="E433" s="134"/>
      <c r="F433" s="134"/>
      <c r="G433" s="134"/>
      <c r="H433" s="134"/>
      <c r="I433" s="134"/>
      <c r="J433" s="134"/>
      <c r="K433" s="134"/>
      <c r="L433" s="134"/>
      <c r="M433" s="134"/>
      <c r="N433" s="134"/>
      <c r="O433" s="134"/>
      <c r="P433" s="134"/>
      <c r="Q433" s="134"/>
      <c r="R433" s="134"/>
      <c r="S433" s="134"/>
      <c r="T433" s="134"/>
      <c r="U433" s="134"/>
      <c r="V433" s="134"/>
      <c r="W433" s="134"/>
    </row>
    <row r="434">
      <c r="A434" s="134"/>
      <c r="B434" s="134"/>
      <c r="C434" s="134"/>
      <c r="D434" s="134"/>
      <c r="E434" s="134"/>
      <c r="F434" s="134"/>
      <c r="G434" s="134"/>
      <c r="H434" s="134"/>
      <c r="I434" s="134"/>
      <c r="J434" s="134"/>
      <c r="K434" s="134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  <c r="V434" s="134"/>
      <c r="W434" s="134"/>
    </row>
    <row r="435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</row>
    <row r="436">
      <c r="A436" s="134"/>
      <c r="B436" s="134"/>
      <c r="C436" s="134"/>
      <c r="D436" s="134"/>
      <c r="E436" s="134"/>
      <c r="F436" s="134"/>
      <c r="G436" s="134"/>
      <c r="H436" s="134"/>
      <c r="I436" s="134"/>
      <c r="J436" s="134"/>
      <c r="K436" s="134"/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  <c r="V436" s="134"/>
      <c r="W436" s="134"/>
    </row>
    <row r="437">
      <c r="A437" s="134"/>
      <c r="B437" s="134"/>
      <c r="C437" s="134"/>
      <c r="D437" s="134"/>
      <c r="E437" s="134"/>
      <c r="F437" s="134"/>
      <c r="G437" s="134"/>
      <c r="H437" s="134"/>
      <c r="I437" s="134"/>
      <c r="J437" s="134"/>
      <c r="K437" s="134"/>
      <c r="L437" s="134"/>
      <c r="M437" s="134"/>
      <c r="N437" s="134"/>
      <c r="O437" s="134"/>
      <c r="P437" s="134"/>
      <c r="Q437" s="134"/>
      <c r="R437" s="134"/>
      <c r="S437" s="134"/>
      <c r="T437" s="134"/>
      <c r="U437" s="134"/>
      <c r="V437" s="134"/>
      <c r="W437" s="134"/>
    </row>
    <row r="438">
      <c r="A438" s="134"/>
      <c r="B438" s="134"/>
      <c r="C438" s="134"/>
      <c r="D438" s="134"/>
      <c r="E438" s="134"/>
      <c r="F438" s="134"/>
      <c r="G438" s="134"/>
      <c r="H438" s="134"/>
      <c r="I438" s="134"/>
      <c r="J438" s="134"/>
      <c r="K438" s="134"/>
      <c r="L438" s="134"/>
      <c r="M438" s="134"/>
      <c r="N438" s="134"/>
      <c r="O438" s="134"/>
      <c r="P438" s="134"/>
      <c r="Q438" s="134"/>
      <c r="R438" s="134"/>
      <c r="S438" s="134"/>
      <c r="T438" s="134"/>
      <c r="U438" s="134"/>
      <c r="V438" s="134"/>
      <c r="W438" s="134"/>
    </row>
    <row r="439">
      <c r="A439" s="134"/>
      <c r="B439" s="134"/>
      <c r="C439" s="134"/>
      <c r="D439" s="134"/>
      <c r="E439" s="134"/>
      <c r="F439" s="134"/>
      <c r="G439" s="134"/>
      <c r="H439" s="134"/>
      <c r="I439" s="134"/>
      <c r="J439" s="134"/>
      <c r="K439" s="134"/>
      <c r="L439" s="134"/>
      <c r="M439" s="134"/>
      <c r="N439" s="134"/>
      <c r="O439" s="134"/>
      <c r="P439" s="134"/>
      <c r="Q439" s="134"/>
      <c r="R439" s="134"/>
      <c r="S439" s="134"/>
      <c r="T439" s="134"/>
      <c r="U439" s="134"/>
      <c r="V439" s="134"/>
      <c r="W439" s="134"/>
    </row>
    <row r="440">
      <c r="A440" s="134"/>
      <c r="B440" s="134"/>
      <c r="C440" s="134"/>
      <c r="D440" s="134"/>
      <c r="E440" s="134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  <c r="V440" s="134"/>
      <c r="W440" s="134"/>
    </row>
    <row r="441">
      <c r="A441" s="134"/>
      <c r="B441" s="134"/>
      <c r="C441" s="134"/>
      <c r="D441" s="134"/>
      <c r="E441" s="134"/>
      <c r="F441" s="134"/>
      <c r="G441" s="134"/>
      <c r="H441" s="134"/>
      <c r="I441" s="134"/>
      <c r="J441" s="134"/>
      <c r="K441" s="134"/>
      <c r="L441" s="134"/>
      <c r="M441" s="134"/>
      <c r="N441" s="134"/>
      <c r="O441" s="134"/>
      <c r="P441" s="134"/>
      <c r="Q441" s="134"/>
      <c r="R441" s="134"/>
      <c r="S441" s="134"/>
      <c r="T441" s="134"/>
      <c r="U441" s="134"/>
      <c r="V441" s="134"/>
      <c r="W441" s="134"/>
    </row>
    <row r="442">
      <c r="A442" s="134"/>
      <c r="B442" s="134"/>
      <c r="C442" s="134"/>
      <c r="D442" s="134"/>
      <c r="E442" s="134"/>
      <c r="F442" s="134"/>
      <c r="G442" s="134"/>
      <c r="H442" s="134"/>
      <c r="I442" s="134"/>
      <c r="J442" s="134"/>
      <c r="K442" s="134"/>
      <c r="L442" s="134"/>
      <c r="M442" s="134"/>
      <c r="N442" s="134"/>
      <c r="O442" s="134"/>
      <c r="P442" s="134"/>
      <c r="Q442" s="134"/>
      <c r="R442" s="134"/>
      <c r="S442" s="134"/>
      <c r="T442" s="134"/>
      <c r="U442" s="134"/>
      <c r="V442" s="134"/>
      <c r="W442" s="134"/>
    </row>
    <row r="443">
      <c r="A443" s="134"/>
      <c r="B443" s="134"/>
      <c r="C443" s="134"/>
      <c r="D443" s="134"/>
      <c r="E443" s="134"/>
      <c r="F443" s="134"/>
      <c r="G443" s="134"/>
      <c r="H443" s="134"/>
      <c r="I443" s="134"/>
      <c r="J443" s="134"/>
      <c r="K443" s="134"/>
      <c r="L443" s="134"/>
      <c r="M443" s="134"/>
      <c r="N443" s="134"/>
      <c r="O443" s="134"/>
      <c r="P443" s="134"/>
      <c r="Q443" s="134"/>
      <c r="R443" s="134"/>
      <c r="S443" s="134"/>
      <c r="T443" s="134"/>
      <c r="U443" s="134"/>
      <c r="V443" s="134"/>
      <c r="W443" s="134"/>
    </row>
    <row r="444">
      <c r="A444" s="134"/>
      <c r="B444" s="134"/>
      <c r="C444" s="134"/>
      <c r="D444" s="134"/>
      <c r="E444" s="134"/>
      <c r="F444" s="134"/>
      <c r="G444" s="134"/>
      <c r="H444" s="134"/>
      <c r="I444" s="134"/>
      <c r="J444" s="134"/>
      <c r="K444" s="134"/>
      <c r="L444" s="134"/>
      <c r="M444" s="134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</row>
    <row r="445">
      <c r="A445" s="134"/>
      <c r="B445" s="134"/>
      <c r="C445" s="134"/>
      <c r="D445" s="134"/>
      <c r="E445" s="134"/>
      <c r="F445" s="134"/>
      <c r="G445" s="134"/>
      <c r="H445" s="134"/>
      <c r="I445" s="134"/>
      <c r="J445" s="134"/>
      <c r="K445" s="134"/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</row>
    <row r="446">
      <c r="A446" s="134"/>
      <c r="B446" s="134"/>
      <c r="C446" s="134"/>
      <c r="D446" s="134"/>
      <c r="E446" s="134"/>
      <c r="F446" s="134"/>
      <c r="G446" s="134"/>
      <c r="H446" s="134"/>
      <c r="I446" s="134"/>
      <c r="J446" s="134"/>
      <c r="K446" s="134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</row>
    <row r="447">
      <c r="A447" s="134"/>
      <c r="B447" s="134"/>
      <c r="C447" s="134"/>
      <c r="D447" s="134"/>
      <c r="E447" s="134"/>
      <c r="F447" s="134"/>
      <c r="G447" s="134"/>
      <c r="H447" s="134"/>
      <c r="I447" s="134"/>
      <c r="J447" s="134"/>
      <c r="K447" s="134"/>
      <c r="L447" s="134"/>
      <c r="M447" s="134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</row>
    <row r="448">
      <c r="A448" s="134"/>
      <c r="B448" s="134"/>
      <c r="C448" s="134"/>
      <c r="D448" s="134"/>
      <c r="E448" s="134"/>
      <c r="F448" s="134"/>
      <c r="G448" s="134"/>
      <c r="H448" s="134"/>
      <c r="I448" s="134"/>
      <c r="J448" s="134"/>
      <c r="K448" s="134"/>
      <c r="L448" s="134"/>
      <c r="M448" s="134"/>
      <c r="N448" s="134"/>
      <c r="O448" s="134"/>
      <c r="P448" s="134"/>
      <c r="Q448" s="134"/>
      <c r="R448" s="134"/>
      <c r="S448" s="134"/>
      <c r="T448" s="134"/>
      <c r="U448" s="134"/>
      <c r="V448" s="134"/>
      <c r="W448" s="134"/>
    </row>
    <row r="449">
      <c r="A449" s="134"/>
      <c r="B449" s="134"/>
      <c r="C449" s="134"/>
      <c r="D449" s="134"/>
      <c r="E449" s="134"/>
      <c r="F449" s="134"/>
      <c r="G449" s="134"/>
      <c r="H449" s="134"/>
      <c r="I449" s="134"/>
      <c r="J449" s="134"/>
      <c r="K449" s="134"/>
      <c r="L449" s="134"/>
      <c r="M449" s="134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</row>
    <row r="450">
      <c r="A450" s="134"/>
      <c r="B450" s="134"/>
      <c r="C450" s="134"/>
      <c r="D450" s="134"/>
      <c r="E450" s="134"/>
      <c r="F450" s="134"/>
      <c r="G450" s="134"/>
      <c r="H450" s="134"/>
      <c r="I450" s="134"/>
      <c r="J450" s="134"/>
      <c r="K450" s="134"/>
      <c r="L450" s="134"/>
      <c r="M450" s="134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</row>
    <row r="451">
      <c r="A451" s="134"/>
      <c r="B451" s="134"/>
      <c r="C451" s="134"/>
      <c r="D451" s="134"/>
      <c r="E451" s="134"/>
      <c r="F451" s="134"/>
      <c r="G451" s="134"/>
      <c r="H451" s="134"/>
      <c r="I451" s="134"/>
      <c r="J451" s="134"/>
      <c r="K451" s="134"/>
      <c r="L451" s="134"/>
      <c r="M451" s="134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</row>
    <row r="452">
      <c r="A452" s="134"/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</row>
    <row r="453">
      <c r="A453" s="134"/>
      <c r="B453" s="134"/>
      <c r="C453" s="134"/>
      <c r="D453" s="134"/>
      <c r="E453" s="134"/>
      <c r="F453" s="134"/>
      <c r="G453" s="134"/>
      <c r="H453" s="134"/>
      <c r="I453" s="134"/>
      <c r="J453" s="134"/>
      <c r="K453" s="134"/>
      <c r="L453" s="134"/>
      <c r="M453" s="134"/>
      <c r="N453" s="134"/>
      <c r="O453" s="134"/>
      <c r="P453" s="134"/>
      <c r="Q453" s="134"/>
      <c r="R453" s="134"/>
      <c r="S453" s="134"/>
      <c r="T453" s="134"/>
      <c r="U453" s="134"/>
      <c r="V453" s="134"/>
      <c r="W453" s="134"/>
    </row>
    <row r="454">
      <c r="A454" s="134"/>
      <c r="B454" s="134"/>
      <c r="C454" s="134"/>
      <c r="D454" s="134"/>
      <c r="E454" s="134"/>
      <c r="F454" s="134"/>
      <c r="G454" s="134"/>
      <c r="H454" s="134"/>
      <c r="I454" s="134"/>
      <c r="J454" s="134"/>
      <c r="K454" s="134"/>
      <c r="L454" s="134"/>
      <c r="M454" s="134"/>
      <c r="N454" s="134"/>
      <c r="O454" s="134"/>
      <c r="P454" s="134"/>
      <c r="Q454" s="134"/>
      <c r="R454" s="134"/>
      <c r="S454" s="134"/>
      <c r="T454" s="134"/>
      <c r="U454" s="134"/>
      <c r="V454" s="134"/>
      <c r="W454" s="134"/>
    </row>
    <row r="455">
      <c r="A455" s="134"/>
      <c r="B455" s="134"/>
      <c r="C455" s="134"/>
      <c r="D455" s="134"/>
      <c r="E455" s="134"/>
      <c r="F455" s="134"/>
      <c r="G455" s="134"/>
      <c r="H455" s="134"/>
      <c r="I455" s="134"/>
      <c r="J455" s="134"/>
      <c r="K455" s="134"/>
      <c r="L455" s="134"/>
      <c r="M455" s="134"/>
      <c r="N455" s="134"/>
      <c r="O455" s="134"/>
      <c r="P455" s="134"/>
      <c r="Q455" s="134"/>
      <c r="R455" s="134"/>
      <c r="S455" s="134"/>
      <c r="T455" s="134"/>
      <c r="U455" s="134"/>
      <c r="V455" s="134"/>
      <c r="W455" s="134"/>
    </row>
    <row r="456">
      <c r="A456" s="134"/>
      <c r="B456" s="134"/>
      <c r="C456" s="134"/>
      <c r="D456" s="134"/>
      <c r="E456" s="134"/>
      <c r="F456" s="134"/>
      <c r="G456" s="134"/>
      <c r="H456" s="134"/>
      <c r="I456" s="134"/>
      <c r="J456" s="134"/>
      <c r="K456" s="134"/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  <c r="V456" s="134"/>
      <c r="W456" s="134"/>
    </row>
    <row r="457">
      <c r="A457" s="134"/>
      <c r="B457" s="134"/>
      <c r="C457" s="134"/>
      <c r="D457" s="134"/>
      <c r="E457" s="134"/>
      <c r="F457" s="134"/>
      <c r="G457" s="134"/>
      <c r="H457" s="134"/>
      <c r="I457" s="134"/>
      <c r="J457" s="134"/>
      <c r="K457" s="134"/>
      <c r="L457" s="134"/>
      <c r="M457" s="134"/>
      <c r="N457" s="134"/>
      <c r="O457" s="134"/>
      <c r="P457" s="134"/>
      <c r="Q457" s="134"/>
      <c r="R457" s="134"/>
      <c r="S457" s="134"/>
      <c r="T457" s="134"/>
      <c r="U457" s="134"/>
      <c r="V457" s="134"/>
      <c r="W457" s="134"/>
    </row>
    <row r="458">
      <c r="A458" s="134"/>
      <c r="B458" s="134"/>
      <c r="C458" s="134"/>
      <c r="D458" s="134"/>
      <c r="E458" s="134"/>
      <c r="F458" s="134"/>
      <c r="G458" s="134"/>
      <c r="H458" s="134"/>
      <c r="I458" s="134"/>
      <c r="J458" s="134"/>
      <c r="K458" s="134"/>
      <c r="L458" s="134"/>
      <c r="M458" s="134"/>
      <c r="N458" s="134"/>
      <c r="O458" s="134"/>
      <c r="P458" s="134"/>
      <c r="Q458" s="134"/>
      <c r="R458" s="134"/>
      <c r="S458" s="134"/>
      <c r="T458" s="134"/>
      <c r="U458" s="134"/>
      <c r="V458" s="134"/>
      <c r="W458" s="134"/>
    </row>
    <row r="459">
      <c r="A459" s="134"/>
      <c r="B459" s="134"/>
      <c r="C459" s="134"/>
      <c r="D459" s="134"/>
      <c r="E459" s="134"/>
      <c r="F459" s="134"/>
      <c r="G459" s="134"/>
      <c r="H459" s="134"/>
      <c r="I459" s="134"/>
      <c r="J459" s="134"/>
      <c r="K459" s="134"/>
      <c r="L459" s="134"/>
      <c r="M459" s="134"/>
      <c r="N459" s="134"/>
      <c r="O459" s="134"/>
      <c r="P459" s="134"/>
      <c r="Q459" s="134"/>
      <c r="R459" s="134"/>
      <c r="S459" s="134"/>
      <c r="T459" s="134"/>
      <c r="U459" s="134"/>
      <c r="V459" s="134"/>
      <c r="W459" s="134"/>
    </row>
    <row r="460">
      <c r="A460" s="134"/>
      <c r="B460" s="134"/>
      <c r="C460" s="134"/>
      <c r="D460" s="134"/>
      <c r="E460" s="134"/>
      <c r="F460" s="134"/>
      <c r="G460" s="134"/>
      <c r="H460" s="134"/>
      <c r="I460" s="134"/>
      <c r="J460" s="134"/>
      <c r="K460" s="134"/>
      <c r="L460" s="134"/>
      <c r="M460" s="134"/>
      <c r="N460" s="134"/>
      <c r="O460" s="134"/>
      <c r="P460" s="134"/>
      <c r="Q460" s="134"/>
      <c r="R460" s="134"/>
      <c r="S460" s="134"/>
      <c r="T460" s="134"/>
      <c r="U460" s="134"/>
      <c r="V460" s="134"/>
      <c r="W460" s="134"/>
    </row>
    <row r="461">
      <c r="A461" s="134"/>
      <c r="B461" s="134"/>
      <c r="C461" s="134"/>
      <c r="D461" s="134"/>
      <c r="E461" s="134"/>
      <c r="F461" s="134"/>
      <c r="G461" s="134"/>
      <c r="H461" s="134"/>
      <c r="I461" s="134"/>
      <c r="J461" s="134"/>
      <c r="K461" s="134"/>
      <c r="L461" s="134"/>
      <c r="M461" s="134"/>
      <c r="N461" s="134"/>
      <c r="O461" s="134"/>
      <c r="P461" s="134"/>
      <c r="Q461" s="134"/>
      <c r="R461" s="134"/>
      <c r="S461" s="134"/>
      <c r="T461" s="134"/>
      <c r="U461" s="134"/>
      <c r="V461" s="134"/>
      <c r="W461" s="134"/>
    </row>
    <row r="462">
      <c r="A462" s="134"/>
      <c r="B462" s="134"/>
      <c r="C462" s="134"/>
      <c r="D462" s="134"/>
      <c r="E462" s="134"/>
      <c r="F462" s="134"/>
      <c r="G462" s="134"/>
      <c r="H462" s="134"/>
      <c r="I462" s="134"/>
      <c r="J462" s="134"/>
      <c r="K462" s="134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  <c r="V462" s="134"/>
      <c r="W462" s="134"/>
    </row>
    <row r="463">
      <c r="A463" s="134"/>
      <c r="B463" s="134"/>
      <c r="C463" s="134"/>
      <c r="D463" s="134"/>
      <c r="E463" s="134"/>
      <c r="F463" s="134"/>
      <c r="G463" s="134"/>
      <c r="H463" s="134"/>
      <c r="I463" s="134"/>
      <c r="J463" s="134"/>
      <c r="K463" s="134"/>
      <c r="L463" s="134"/>
      <c r="M463" s="134"/>
      <c r="N463" s="134"/>
      <c r="O463" s="134"/>
      <c r="P463" s="134"/>
      <c r="Q463" s="134"/>
      <c r="R463" s="134"/>
      <c r="S463" s="134"/>
      <c r="T463" s="134"/>
      <c r="U463" s="134"/>
      <c r="V463" s="134"/>
      <c r="W463" s="134"/>
    </row>
    <row r="464">
      <c r="A464" s="134"/>
      <c r="B464" s="134"/>
      <c r="C464" s="134"/>
      <c r="D464" s="134"/>
      <c r="E464" s="134"/>
      <c r="F464" s="134"/>
      <c r="G464" s="134"/>
      <c r="H464" s="134"/>
      <c r="I464" s="134"/>
      <c r="J464" s="134"/>
      <c r="K464" s="134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  <c r="V464" s="134"/>
      <c r="W464" s="134"/>
    </row>
    <row r="465">
      <c r="A465" s="134"/>
      <c r="B465" s="134"/>
      <c r="C465" s="134"/>
      <c r="D465" s="134"/>
      <c r="E465" s="134"/>
      <c r="F465" s="134"/>
      <c r="G465" s="134"/>
      <c r="H465" s="134"/>
      <c r="I465" s="134"/>
      <c r="J465" s="134"/>
      <c r="K465" s="134"/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  <c r="V465" s="134"/>
      <c r="W465" s="134"/>
    </row>
    <row r="466">
      <c r="A466" s="134"/>
      <c r="B466" s="134"/>
      <c r="C466" s="134"/>
      <c r="D466" s="134"/>
      <c r="E466" s="134"/>
      <c r="F466" s="134"/>
      <c r="G466" s="134"/>
      <c r="H466" s="134"/>
      <c r="I466" s="134"/>
      <c r="J466" s="134"/>
      <c r="K466" s="134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  <c r="V466" s="134"/>
      <c r="W466" s="134"/>
    </row>
    <row r="467">
      <c r="A467" s="134"/>
      <c r="B467" s="134"/>
      <c r="C467" s="134"/>
      <c r="D467" s="134"/>
      <c r="E467" s="134"/>
      <c r="F467" s="134"/>
      <c r="G467" s="134"/>
      <c r="H467" s="134"/>
      <c r="I467" s="134"/>
      <c r="J467" s="134"/>
      <c r="K467" s="134"/>
      <c r="L467" s="134"/>
      <c r="M467" s="134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</row>
    <row r="468">
      <c r="A468" s="134"/>
      <c r="B468" s="134"/>
      <c r="C468" s="134"/>
      <c r="D468" s="134"/>
      <c r="E468" s="134"/>
      <c r="F468" s="134"/>
      <c r="G468" s="134"/>
      <c r="H468" s="134"/>
      <c r="I468" s="134"/>
      <c r="J468" s="134"/>
      <c r="K468" s="134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  <c r="V468" s="134"/>
      <c r="W468" s="134"/>
    </row>
    <row r="469">
      <c r="A469" s="134"/>
      <c r="B469" s="134"/>
      <c r="C469" s="134"/>
      <c r="D469" s="134"/>
      <c r="E469" s="134"/>
      <c r="F469" s="134"/>
      <c r="G469" s="134"/>
      <c r="H469" s="134"/>
      <c r="I469" s="134"/>
      <c r="J469" s="134"/>
      <c r="K469" s="134"/>
      <c r="L469" s="134"/>
      <c r="M469" s="134"/>
      <c r="N469" s="134"/>
      <c r="O469" s="134"/>
      <c r="P469" s="134"/>
      <c r="Q469" s="134"/>
      <c r="R469" s="134"/>
      <c r="S469" s="134"/>
      <c r="T469" s="134"/>
      <c r="U469" s="134"/>
      <c r="V469" s="134"/>
      <c r="W469" s="134"/>
    </row>
    <row r="470">
      <c r="A470" s="134"/>
      <c r="B470" s="134"/>
      <c r="C470" s="134"/>
      <c r="D470" s="134"/>
      <c r="E470" s="134"/>
      <c r="F470" s="134"/>
      <c r="G470" s="134"/>
      <c r="H470" s="134"/>
      <c r="I470" s="134"/>
      <c r="J470" s="134"/>
      <c r="K470" s="134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  <c r="V470" s="134"/>
      <c r="W470" s="134"/>
    </row>
    <row r="471">
      <c r="A471" s="134"/>
      <c r="B471" s="134"/>
      <c r="C471" s="134"/>
      <c r="D471" s="134"/>
      <c r="E471" s="134"/>
      <c r="F471" s="134"/>
      <c r="G471" s="134"/>
      <c r="H471" s="134"/>
      <c r="I471" s="134"/>
      <c r="J471" s="134"/>
      <c r="K471" s="134"/>
      <c r="L471" s="134"/>
      <c r="M471" s="134"/>
      <c r="N471" s="134"/>
      <c r="O471" s="134"/>
      <c r="P471" s="134"/>
      <c r="Q471" s="134"/>
      <c r="R471" s="134"/>
      <c r="S471" s="134"/>
      <c r="T471" s="134"/>
      <c r="U471" s="134"/>
      <c r="V471" s="134"/>
      <c r="W471" s="134"/>
    </row>
    <row r="472">
      <c r="A472" s="134"/>
      <c r="B472" s="134"/>
      <c r="C472" s="134"/>
      <c r="D472" s="134"/>
      <c r="E472" s="134"/>
      <c r="F472" s="134"/>
      <c r="G472" s="134"/>
      <c r="H472" s="134"/>
      <c r="I472" s="134"/>
      <c r="J472" s="134"/>
      <c r="K472" s="134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  <c r="V472" s="134"/>
      <c r="W472" s="134"/>
    </row>
    <row r="473">
      <c r="A473" s="134"/>
      <c r="B473" s="134"/>
      <c r="C473" s="134"/>
      <c r="D473" s="134"/>
      <c r="E473" s="134"/>
      <c r="F473" s="134"/>
      <c r="G473" s="134"/>
      <c r="H473" s="134"/>
      <c r="I473" s="134"/>
      <c r="J473" s="134"/>
      <c r="K473" s="134"/>
      <c r="L473" s="134"/>
      <c r="M473" s="134"/>
      <c r="N473" s="134"/>
      <c r="O473" s="134"/>
      <c r="P473" s="134"/>
      <c r="Q473" s="134"/>
      <c r="R473" s="134"/>
      <c r="S473" s="134"/>
      <c r="T473" s="134"/>
      <c r="U473" s="134"/>
      <c r="V473" s="134"/>
      <c r="W473" s="134"/>
    </row>
    <row r="474">
      <c r="A474" s="134"/>
      <c r="B474" s="134"/>
      <c r="C474" s="134"/>
      <c r="D474" s="134"/>
      <c r="E474" s="134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  <c r="V474" s="134"/>
      <c r="W474" s="134"/>
    </row>
    <row r="475">
      <c r="A475" s="134"/>
      <c r="B475" s="134"/>
      <c r="C475" s="134"/>
      <c r="D475" s="134"/>
      <c r="E475" s="134"/>
      <c r="F475" s="134"/>
      <c r="G475" s="134"/>
      <c r="H475" s="134"/>
      <c r="I475" s="134"/>
      <c r="J475" s="134"/>
      <c r="K475" s="134"/>
      <c r="L475" s="134"/>
      <c r="M475" s="134"/>
      <c r="N475" s="134"/>
      <c r="O475" s="134"/>
      <c r="P475" s="134"/>
      <c r="Q475" s="134"/>
      <c r="R475" s="134"/>
      <c r="S475" s="134"/>
      <c r="T475" s="134"/>
      <c r="U475" s="134"/>
      <c r="V475" s="134"/>
      <c r="W475" s="134"/>
    </row>
    <row r="476">
      <c r="A476" s="134"/>
      <c r="B476" s="134"/>
      <c r="C476" s="134"/>
      <c r="D476" s="134"/>
      <c r="E476" s="134"/>
      <c r="F476" s="134"/>
      <c r="G476" s="134"/>
      <c r="H476" s="134"/>
      <c r="I476" s="134"/>
      <c r="J476" s="134"/>
      <c r="K476" s="134"/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  <c r="V476" s="134"/>
      <c r="W476" s="134"/>
    </row>
    <row r="477">
      <c r="A477" s="134"/>
      <c r="B477" s="134"/>
      <c r="C477" s="134"/>
      <c r="D477" s="134"/>
      <c r="E477" s="134"/>
      <c r="F477" s="134"/>
      <c r="G477" s="134"/>
      <c r="H477" s="134"/>
      <c r="I477" s="134"/>
      <c r="J477" s="134"/>
      <c r="K477" s="134"/>
      <c r="L477" s="134"/>
      <c r="M477" s="134"/>
      <c r="N477" s="134"/>
      <c r="O477" s="134"/>
      <c r="P477" s="134"/>
      <c r="Q477" s="134"/>
      <c r="R477" s="134"/>
      <c r="S477" s="134"/>
      <c r="T477" s="134"/>
      <c r="U477" s="134"/>
      <c r="V477" s="134"/>
      <c r="W477" s="134"/>
    </row>
    <row r="478">
      <c r="A478" s="134"/>
      <c r="B478" s="134"/>
      <c r="C478" s="134"/>
      <c r="D478" s="134"/>
      <c r="E478" s="134"/>
      <c r="F478" s="134"/>
      <c r="G478" s="134"/>
      <c r="H478" s="134"/>
      <c r="I478" s="134"/>
      <c r="J478" s="134"/>
      <c r="K478" s="134"/>
      <c r="L478" s="134"/>
      <c r="M478" s="134"/>
      <c r="N478" s="134"/>
      <c r="O478" s="134"/>
      <c r="P478" s="134"/>
      <c r="Q478" s="134"/>
      <c r="R478" s="134"/>
      <c r="S478" s="134"/>
      <c r="T478" s="134"/>
      <c r="U478" s="134"/>
      <c r="V478" s="134"/>
      <c r="W478" s="134"/>
    </row>
    <row r="479">
      <c r="A479" s="134"/>
      <c r="B479" s="134"/>
      <c r="C479" s="134"/>
      <c r="D479" s="134"/>
      <c r="E479" s="134"/>
      <c r="F479" s="134"/>
      <c r="G479" s="134"/>
      <c r="H479" s="134"/>
      <c r="I479" s="134"/>
      <c r="J479" s="134"/>
      <c r="K479" s="134"/>
      <c r="L479" s="134"/>
      <c r="M479" s="134"/>
      <c r="N479" s="134"/>
      <c r="O479" s="134"/>
      <c r="P479" s="134"/>
      <c r="Q479" s="134"/>
      <c r="R479" s="134"/>
      <c r="S479" s="134"/>
      <c r="T479" s="134"/>
      <c r="U479" s="134"/>
      <c r="V479" s="134"/>
      <c r="W479" s="134"/>
    </row>
    <row r="480">
      <c r="A480" s="134"/>
      <c r="B480" s="134"/>
      <c r="C480" s="134"/>
      <c r="D480" s="134"/>
      <c r="E480" s="134"/>
      <c r="F480" s="134"/>
      <c r="G480" s="134"/>
      <c r="H480" s="134"/>
      <c r="I480" s="134"/>
      <c r="J480" s="134"/>
      <c r="K480" s="134"/>
      <c r="L480" s="134"/>
      <c r="M480" s="134"/>
      <c r="N480" s="134"/>
      <c r="O480" s="134"/>
      <c r="P480" s="134"/>
      <c r="Q480" s="134"/>
      <c r="R480" s="134"/>
      <c r="S480" s="134"/>
      <c r="T480" s="134"/>
      <c r="U480" s="134"/>
      <c r="V480" s="134"/>
      <c r="W480" s="134"/>
    </row>
    <row r="481">
      <c r="A481" s="134"/>
      <c r="B481" s="134"/>
      <c r="C481" s="134"/>
      <c r="D481" s="134"/>
      <c r="E481" s="134"/>
      <c r="F481" s="134"/>
      <c r="G481" s="134"/>
      <c r="H481" s="134"/>
      <c r="I481" s="134"/>
      <c r="J481" s="134"/>
      <c r="K481" s="134"/>
      <c r="L481" s="134"/>
      <c r="M481" s="134"/>
      <c r="N481" s="134"/>
      <c r="O481" s="134"/>
      <c r="P481" s="134"/>
      <c r="Q481" s="134"/>
      <c r="R481" s="134"/>
      <c r="S481" s="134"/>
      <c r="T481" s="134"/>
      <c r="U481" s="134"/>
      <c r="V481" s="134"/>
      <c r="W481" s="134"/>
    </row>
    <row r="482">
      <c r="A482" s="134"/>
      <c r="B482" s="134"/>
      <c r="C482" s="134"/>
      <c r="D482" s="134"/>
      <c r="E482" s="134"/>
      <c r="F482" s="134"/>
      <c r="G482" s="134"/>
      <c r="H482" s="134"/>
      <c r="I482" s="134"/>
      <c r="J482" s="134"/>
      <c r="K482" s="134"/>
      <c r="L482" s="134"/>
      <c r="M482" s="134"/>
      <c r="N482" s="134"/>
      <c r="O482" s="134"/>
      <c r="P482" s="134"/>
      <c r="Q482" s="134"/>
      <c r="R482" s="134"/>
      <c r="S482" s="134"/>
      <c r="T482" s="134"/>
      <c r="U482" s="134"/>
      <c r="V482" s="134"/>
      <c r="W482" s="134"/>
    </row>
    <row r="483">
      <c r="A483" s="134"/>
      <c r="B483" s="134"/>
      <c r="C483" s="134"/>
      <c r="D483" s="134"/>
      <c r="E483" s="134"/>
      <c r="F483" s="134"/>
      <c r="G483" s="134"/>
      <c r="H483" s="134"/>
      <c r="I483" s="134"/>
      <c r="J483" s="134"/>
      <c r="K483" s="134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  <c r="V483" s="134"/>
      <c r="W483" s="134"/>
    </row>
    <row r="484">
      <c r="A484" s="134"/>
      <c r="B484" s="134"/>
      <c r="C484" s="134"/>
      <c r="D484" s="134"/>
      <c r="E484" s="134"/>
      <c r="F484" s="134"/>
      <c r="G484" s="134"/>
      <c r="H484" s="134"/>
      <c r="I484" s="134"/>
      <c r="J484" s="134"/>
      <c r="K484" s="134"/>
      <c r="L484" s="134"/>
      <c r="M484" s="134"/>
      <c r="N484" s="134"/>
      <c r="O484" s="134"/>
      <c r="P484" s="134"/>
      <c r="Q484" s="134"/>
      <c r="R484" s="134"/>
      <c r="S484" s="134"/>
      <c r="T484" s="134"/>
      <c r="U484" s="134"/>
      <c r="V484" s="134"/>
      <c r="W484" s="134"/>
    </row>
    <row r="485">
      <c r="A485" s="134"/>
      <c r="B485" s="134"/>
      <c r="C485" s="134"/>
      <c r="D485" s="134"/>
      <c r="E485" s="134"/>
      <c r="F485" s="134"/>
      <c r="G485" s="134"/>
      <c r="H485" s="134"/>
      <c r="I485" s="134"/>
      <c r="J485" s="134"/>
      <c r="K485" s="134"/>
      <c r="L485" s="134"/>
      <c r="M485" s="134"/>
      <c r="N485" s="134"/>
      <c r="O485" s="134"/>
      <c r="P485" s="134"/>
      <c r="Q485" s="134"/>
      <c r="R485" s="134"/>
      <c r="S485" s="134"/>
      <c r="T485" s="134"/>
      <c r="U485" s="134"/>
      <c r="V485" s="134"/>
      <c r="W485" s="134"/>
    </row>
    <row r="486">
      <c r="A486" s="134"/>
      <c r="B486" s="134"/>
      <c r="C486" s="134"/>
      <c r="D486" s="134"/>
      <c r="E486" s="134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  <c r="V486" s="134"/>
      <c r="W486" s="134"/>
    </row>
    <row r="487">
      <c r="A487" s="134"/>
      <c r="B487" s="134"/>
      <c r="C487" s="134"/>
      <c r="D487" s="134"/>
      <c r="E487" s="134"/>
      <c r="F487" s="134"/>
      <c r="G487" s="134"/>
      <c r="H487" s="134"/>
      <c r="I487" s="134"/>
      <c r="J487" s="134"/>
      <c r="K487" s="134"/>
      <c r="L487" s="134"/>
      <c r="M487" s="134"/>
      <c r="N487" s="134"/>
      <c r="O487" s="134"/>
      <c r="P487" s="134"/>
      <c r="Q487" s="134"/>
      <c r="R487" s="134"/>
      <c r="S487" s="134"/>
      <c r="T487" s="134"/>
      <c r="U487" s="134"/>
      <c r="V487" s="134"/>
      <c r="W487" s="134"/>
    </row>
    <row r="488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</row>
    <row r="489">
      <c r="A489" s="134"/>
      <c r="B489" s="134"/>
      <c r="C489" s="134"/>
      <c r="D489" s="134"/>
      <c r="E489" s="134"/>
      <c r="F489" s="134"/>
      <c r="G489" s="134"/>
      <c r="H489" s="134"/>
      <c r="I489" s="134"/>
      <c r="J489" s="134"/>
      <c r="K489" s="134"/>
      <c r="L489" s="134"/>
      <c r="M489" s="134"/>
      <c r="N489" s="134"/>
      <c r="O489" s="134"/>
      <c r="P489" s="134"/>
      <c r="Q489" s="134"/>
      <c r="R489" s="134"/>
      <c r="S489" s="134"/>
      <c r="T489" s="134"/>
      <c r="U489" s="134"/>
      <c r="V489" s="134"/>
      <c r="W489" s="134"/>
    </row>
    <row r="490">
      <c r="A490" s="134"/>
      <c r="B490" s="134"/>
      <c r="C490" s="134"/>
      <c r="D490" s="134"/>
      <c r="E490" s="134"/>
      <c r="F490" s="134"/>
      <c r="G490" s="134"/>
      <c r="H490" s="134"/>
      <c r="I490" s="134"/>
      <c r="J490" s="134"/>
      <c r="K490" s="134"/>
      <c r="L490" s="134"/>
      <c r="M490" s="134"/>
      <c r="N490" s="134"/>
      <c r="O490" s="134"/>
      <c r="P490" s="134"/>
      <c r="Q490" s="134"/>
      <c r="R490" s="134"/>
      <c r="S490" s="134"/>
      <c r="T490" s="134"/>
      <c r="U490" s="134"/>
      <c r="V490" s="134"/>
      <c r="W490" s="134"/>
    </row>
    <row r="491">
      <c r="A491" s="134"/>
      <c r="B491" s="134"/>
      <c r="C491" s="134"/>
      <c r="D491" s="134"/>
      <c r="E491" s="134"/>
      <c r="F491" s="134"/>
      <c r="G491" s="134"/>
      <c r="H491" s="134"/>
      <c r="I491" s="134"/>
      <c r="J491" s="134"/>
      <c r="K491" s="134"/>
      <c r="L491" s="134"/>
      <c r="M491" s="134"/>
      <c r="N491" s="134"/>
      <c r="O491" s="134"/>
      <c r="P491" s="134"/>
      <c r="Q491" s="134"/>
      <c r="R491" s="134"/>
      <c r="S491" s="134"/>
      <c r="T491" s="134"/>
      <c r="U491" s="134"/>
      <c r="V491" s="134"/>
      <c r="W491" s="134"/>
    </row>
    <row r="492">
      <c r="A492" s="134"/>
      <c r="B492" s="134"/>
      <c r="C492" s="134"/>
      <c r="D492" s="134"/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  <c r="V492" s="134"/>
      <c r="W492" s="134"/>
    </row>
    <row r="493">
      <c r="A493" s="134"/>
      <c r="B493" s="134"/>
      <c r="C493" s="134"/>
      <c r="D493" s="134"/>
      <c r="E493" s="134"/>
      <c r="F493" s="134"/>
      <c r="G493" s="134"/>
      <c r="H493" s="134"/>
      <c r="I493" s="134"/>
      <c r="J493" s="134"/>
      <c r="K493" s="134"/>
      <c r="L493" s="134"/>
      <c r="M493" s="134"/>
      <c r="N493" s="134"/>
      <c r="O493" s="134"/>
      <c r="P493" s="134"/>
      <c r="Q493" s="134"/>
      <c r="R493" s="134"/>
      <c r="S493" s="134"/>
      <c r="T493" s="134"/>
      <c r="U493" s="134"/>
      <c r="V493" s="134"/>
      <c r="W493" s="134"/>
    </row>
    <row r="494">
      <c r="A494" s="134"/>
      <c r="B494" s="134"/>
      <c r="C494" s="134"/>
      <c r="D494" s="134"/>
      <c r="E494" s="134"/>
      <c r="F494" s="134"/>
      <c r="G494" s="134"/>
      <c r="H494" s="134"/>
      <c r="I494" s="134"/>
      <c r="J494" s="134"/>
      <c r="K494" s="134"/>
      <c r="L494" s="134"/>
      <c r="M494" s="134"/>
      <c r="N494" s="134"/>
      <c r="O494" s="134"/>
      <c r="P494" s="134"/>
      <c r="Q494" s="134"/>
      <c r="R494" s="134"/>
      <c r="S494" s="134"/>
      <c r="T494" s="134"/>
      <c r="U494" s="134"/>
      <c r="V494" s="134"/>
      <c r="W494" s="134"/>
    </row>
    <row r="495">
      <c r="A495" s="134"/>
      <c r="B495" s="134"/>
      <c r="C495" s="134"/>
      <c r="D495" s="134"/>
      <c r="E495" s="134"/>
      <c r="F495" s="134"/>
      <c r="G495" s="134"/>
      <c r="H495" s="134"/>
      <c r="I495" s="134"/>
      <c r="J495" s="134"/>
      <c r="K495" s="134"/>
      <c r="L495" s="134"/>
      <c r="M495" s="134"/>
      <c r="N495" s="134"/>
      <c r="O495" s="134"/>
      <c r="P495" s="134"/>
      <c r="Q495" s="134"/>
      <c r="R495" s="134"/>
      <c r="S495" s="134"/>
      <c r="T495" s="134"/>
      <c r="U495" s="134"/>
      <c r="V495" s="134"/>
      <c r="W495" s="134"/>
    </row>
    <row r="496">
      <c r="A496" s="134"/>
      <c r="B496" s="134"/>
      <c r="C496" s="134"/>
      <c r="D496" s="134"/>
      <c r="E496" s="134"/>
      <c r="F496" s="134"/>
      <c r="G496" s="134"/>
      <c r="H496" s="134"/>
      <c r="I496" s="134"/>
      <c r="J496" s="134"/>
      <c r="K496" s="134"/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  <c r="V496" s="134"/>
      <c r="W496" s="134"/>
    </row>
    <row r="497">
      <c r="A497" s="134"/>
      <c r="B497" s="134"/>
      <c r="C497" s="134"/>
      <c r="D497" s="134"/>
      <c r="E497" s="134"/>
      <c r="F497" s="134"/>
      <c r="G497" s="134"/>
      <c r="H497" s="134"/>
      <c r="I497" s="134"/>
      <c r="J497" s="134"/>
      <c r="K497" s="134"/>
      <c r="L497" s="134"/>
      <c r="M497" s="134"/>
      <c r="N497" s="134"/>
      <c r="O497" s="134"/>
      <c r="P497" s="134"/>
      <c r="Q497" s="134"/>
      <c r="R497" s="134"/>
      <c r="S497" s="134"/>
      <c r="T497" s="134"/>
      <c r="U497" s="134"/>
      <c r="V497" s="134"/>
      <c r="W497" s="134"/>
    </row>
    <row r="498">
      <c r="A498" s="134"/>
      <c r="B498" s="134"/>
      <c r="C498" s="134"/>
      <c r="D498" s="134"/>
      <c r="E498" s="134"/>
      <c r="F498" s="134"/>
      <c r="G498" s="134"/>
      <c r="H498" s="134"/>
      <c r="I498" s="134"/>
      <c r="J498" s="134"/>
      <c r="K498" s="134"/>
      <c r="L498" s="134"/>
      <c r="M498" s="134"/>
      <c r="N498" s="134"/>
      <c r="O498" s="134"/>
      <c r="P498" s="134"/>
      <c r="Q498" s="134"/>
      <c r="R498" s="134"/>
      <c r="S498" s="134"/>
      <c r="T498" s="134"/>
      <c r="U498" s="134"/>
      <c r="V498" s="134"/>
      <c r="W498" s="134"/>
    </row>
    <row r="499">
      <c r="A499" s="134"/>
      <c r="B499" s="134"/>
      <c r="C499" s="134"/>
      <c r="D499" s="134"/>
      <c r="E499" s="134"/>
      <c r="F499" s="134"/>
      <c r="G499" s="134"/>
      <c r="H499" s="134"/>
      <c r="I499" s="134"/>
      <c r="J499" s="134"/>
      <c r="K499" s="134"/>
      <c r="L499" s="134"/>
      <c r="M499" s="134"/>
      <c r="N499" s="134"/>
      <c r="O499" s="134"/>
      <c r="P499" s="134"/>
      <c r="Q499" s="134"/>
      <c r="R499" s="134"/>
      <c r="S499" s="134"/>
      <c r="T499" s="134"/>
      <c r="U499" s="134"/>
      <c r="V499" s="134"/>
      <c r="W499" s="134"/>
    </row>
    <row r="500">
      <c r="A500" s="134"/>
      <c r="B500" s="134"/>
      <c r="C500" s="134"/>
      <c r="D500" s="134"/>
      <c r="E500" s="134"/>
      <c r="F500" s="134"/>
      <c r="G500" s="134"/>
      <c r="H500" s="134"/>
      <c r="I500" s="134"/>
      <c r="J500" s="134"/>
      <c r="K500" s="134"/>
      <c r="L500" s="134"/>
      <c r="M500" s="134"/>
      <c r="N500" s="134"/>
      <c r="O500" s="134"/>
      <c r="P500" s="134"/>
      <c r="Q500" s="134"/>
      <c r="R500" s="134"/>
      <c r="S500" s="134"/>
      <c r="T500" s="134"/>
      <c r="U500" s="134"/>
      <c r="V500" s="134"/>
      <c r="W500" s="134"/>
    </row>
    <row r="501">
      <c r="A501" s="134"/>
      <c r="B501" s="134"/>
      <c r="C501" s="134"/>
      <c r="D501" s="134"/>
      <c r="E501" s="134"/>
      <c r="F501" s="134"/>
      <c r="G501" s="134"/>
      <c r="H501" s="134"/>
      <c r="I501" s="134"/>
      <c r="J501" s="134"/>
      <c r="K501" s="134"/>
      <c r="L501" s="134"/>
      <c r="M501" s="134"/>
      <c r="N501" s="134"/>
      <c r="O501" s="134"/>
      <c r="P501" s="134"/>
      <c r="Q501" s="134"/>
      <c r="R501" s="134"/>
      <c r="S501" s="134"/>
      <c r="T501" s="134"/>
      <c r="U501" s="134"/>
      <c r="V501" s="134"/>
      <c r="W501" s="134"/>
    </row>
    <row r="502">
      <c r="A502" s="134"/>
      <c r="B502" s="134"/>
      <c r="C502" s="134"/>
      <c r="D502" s="134"/>
      <c r="E502" s="134"/>
      <c r="F502" s="134"/>
      <c r="G502" s="134"/>
      <c r="H502" s="134"/>
      <c r="I502" s="134"/>
      <c r="J502" s="134"/>
      <c r="K502" s="134"/>
      <c r="L502" s="134"/>
      <c r="M502" s="134"/>
      <c r="N502" s="134"/>
      <c r="O502" s="134"/>
      <c r="P502" s="134"/>
      <c r="Q502" s="134"/>
      <c r="R502" s="134"/>
      <c r="S502" s="134"/>
      <c r="T502" s="134"/>
      <c r="U502" s="134"/>
      <c r="V502" s="134"/>
      <c r="W502" s="134"/>
    </row>
    <row r="503">
      <c r="A503" s="134"/>
      <c r="B503" s="134"/>
      <c r="C503" s="134"/>
      <c r="D503" s="134"/>
      <c r="E503" s="134"/>
      <c r="F503" s="134"/>
      <c r="G503" s="134"/>
      <c r="H503" s="134"/>
      <c r="I503" s="134"/>
      <c r="J503" s="134"/>
      <c r="K503" s="134"/>
      <c r="L503" s="134"/>
      <c r="M503" s="134"/>
      <c r="N503" s="134"/>
      <c r="O503" s="134"/>
      <c r="P503" s="134"/>
      <c r="Q503" s="134"/>
      <c r="R503" s="134"/>
      <c r="S503" s="134"/>
      <c r="T503" s="134"/>
      <c r="U503" s="134"/>
      <c r="V503" s="134"/>
      <c r="W503" s="134"/>
    </row>
    <row r="504">
      <c r="A504" s="134"/>
      <c r="B504" s="134"/>
      <c r="C504" s="134"/>
      <c r="D504" s="134"/>
      <c r="E504" s="134"/>
      <c r="F504" s="134"/>
      <c r="G504" s="134"/>
      <c r="H504" s="134"/>
      <c r="I504" s="134"/>
      <c r="J504" s="134"/>
      <c r="K504" s="134"/>
      <c r="L504" s="134"/>
      <c r="M504" s="134"/>
      <c r="N504" s="134"/>
      <c r="O504" s="134"/>
      <c r="P504" s="134"/>
      <c r="Q504" s="134"/>
      <c r="R504" s="134"/>
      <c r="S504" s="134"/>
      <c r="T504" s="134"/>
      <c r="U504" s="134"/>
      <c r="V504" s="134"/>
      <c r="W504" s="134"/>
    </row>
    <row r="505">
      <c r="A505" s="134"/>
      <c r="B505" s="134"/>
      <c r="C505" s="134"/>
      <c r="D505" s="134"/>
      <c r="E505" s="134"/>
      <c r="F505" s="134"/>
      <c r="G505" s="134"/>
      <c r="H505" s="134"/>
      <c r="I505" s="134"/>
      <c r="J505" s="134"/>
      <c r="K505" s="134"/>
      <c r="L505" s="134"/>
      <c r="M505" s="134"/>
      <c r="N505" s="134"/>
      <c r="O505" s="134"/>
      <c r="P505" s="134"/>
      <c r="Q505" s="134"/>
      <c r="R505" s="134"/>
      <c r="S505" s="134"/>
      <c r="T505" s="134"/>
      <c r="U505" s="134"/>
      <c r="V505" s="134"/>
      <c r="W505" s="134"/>
    </row>
    <row r="506">
      <c r="A506" s="134"/>
      <c r="B506" s="134"/>
      <c r="C506" s="134"/>
      <c r="D506" s="134"/>
      <c r="E506" s="134"/>
      <c r="F506" s="134"/>
      <c r="G506" s="134"/>
      <c r="H506" s="134"/>
      <c r="I506" s="134"/>
      <c r="J506" s="134"/>
      <c r="K506" s="134"/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  <c r="V506" s="134"/>
      <c r="W506" s="134"/>
    </row>
    <row r="507">
      <c r="A507" s="134"/>
      <c r="B507" s="134"/>
      <c r="C507" s="134"/>
      <c r="D507" s="134"/>
      <c r="E507" s="134"/>
      <c r="F507" s="134"/>
      <c r="G507" s="134"/>
      <c r="H507" s="134"/>
      <c r="I507" s="134"/>
      <c r="J507" s="134"/>
      <c r="K507" s="134"/>
      <c r="L507" s="134"/>
      <c r="M507" s="134"/>
      <c r="N507" s="134"/>
      <c r="O507" s="134"/>
      <c r="P507" s="134"/>
      <c r="Q507" s="134"/>
      <c r="R507" s="134"/>
      <c r="S507" s="134"/>
      <c r="T507" s="134"/>
      <c r="U507" s="134"/>
      <c r="V507" s="134"/>
      <c r="W507" s="134"/>
    </row>
    <row r="508">
      <c r="A508" s="134"/>
      <c r="B508" s="134"/>
      <c r="C508" s="134"/>
      <c r="D508" s="134"/>
      <c r="E508" s="134"/>
      <c r="F508" s="134"/>
      <c r="G508" s="134"/>
      <c r="H508" s="134"/>
      <c r="I508" s="134"/>
      <c r="J508" s="134"/>
      <c r="K508" s="134"/>
      <c r="L508" s="134"/>
      <c r="M508" s="134"/>
      <c r="N508" s="134"/>
      <c r="O508" s="134"/>
      <c r="P508" s="134"/>
      <c r="Q508" s="134"/>
      <c r="R508" s="134"/>
      <c r="S508" s="134"/>
      <c r="T508" s="134"/>
      <c r="U508" s="134"/>
      <c r="V508" s="134"/>
      <c r="W508" s="134"/>
    </row>
    <row r="509">
      <c r="A509" s="134"/>
      <c r="B509" s="134"/>
      <c r="C509" s="134"/>
      <c r="D509" s="134"/>
      <c r="E509" s="134"/>
      <c r="F509" s="134"/>
      <c r="G509" s="134"/>
      <c r="H509" s="134"/>
      <c r="I509" s="134"/>
      <c r="J509" s="134"/>
      <c r="K509" s="134"/>
      <c r="L509" s="134"/>
      <c r="M509" s="134"/>
      <c r="N509" s="134"/>
      <c r="O509" s="134"/>
      <c r="P509" s="134"/>
      <c r="Q509" s="134"/>
      <c r="R509" s="134"/>
      <c r="S509" s="134"/>
      <c r="T509" s="134"/>
      <c r="U509" s="134"/>
      <c r="V509" s="134"/>
      <c r="W509" s="134"/>
    </row>
    <row r="510">
      <c r="A510" s="134"/>
      <c r="B510" s="134"/>
      <c r="C510" s="134"/>
      <c r="D510" s="134"/>
      <c r="E510" s="134"/>
      <c r="F510" s="134"/>
      <c r="G510" s="134"/>
      <c r="H510" s="134"/>
      <c r="I510" s="134"/>
      <c r="J510" s="134"/>
      <c r="K510" s="134"/>
      <c r="L510" s="134"/>
      <c r="M510" s="134"/>
      <c r="N510" s="134"/>
      <c r="O510" s="134"/>
      <c r="P510" s="134"/>
      <c r="Q510" s="134"/>
      <c r="R510" s="134"/>
      <c r="S510" s="134"/>
      <c r="T510" s="134"/>
      <c r="U510" s="134"/>
      <c r="V510" s="134"/>
      <c r="W510" s="134"/>
    </row>
    <row r="511">
      <c r="A511" s="134"/>
      <c r="B511" s="134"/>
      <c r="C511" s="134"/>
      <c r="D511" s="134"/>
      <c r="E511" s="134"/>
      <c r="F511" s="134"/>
      <c r="G511" s="134"/>
      <c r="H511" s="134"/>
      <c r="I511" s="134"/>
      <c r="J511" s="134"/>
      <c r="K511" s="134"/>
      <c r="L511" s="134"/>
      <c r="M511" s="134"/>
      <c r="N511" s="134"/>
      <c r="O511" s="134"/>
      <c r="P511" s="134"/>
      <c r="Q511" s="134"/>
      <c r="R511" s="134"/>
      <c r="S511" s="134"/>
      <c r="T511" s="134"/>
      <c r="U511" s="134"/>
      <c r="V511" s="134"/>
      <c r="W511" s="134"/>
    </row>
    <row r="512">
      <c r="A512" s="134"/>
      <c r="B512" s="134"/>
      <c r="C512" s="134"/>
      <c r="D512" s="134"/>
      <c r="E512" s="134"/>
      <c r="F512" s="134"/>
      <c r="G512" s="134"/>
      <c r="H512" s="134"/>
      <c r="I512" s="134"/>
      <c r="J512" s="134"/>
      <c r="K512" s="134"/>
      <c r="L512" s="134"/>
      <c r="M512" s="134"/>
      <c r="N512" s="134"/>
      <c r="O512" s="134"/>
      <c r="P512" s="134"/>
      <c r="Q512" s="134"/>
      <c r="R512" s="134"/>
      <c r="S512" s="134"/>
      <c r="T512" s="134"/>
      <c r="U512" s="134"/>
      <c r="V512" s="134"/>
      <c r="W512" s="134"/>
    </row>
    <row r="513">
      <c r="A513" s="134"/>
      <c r="B513" s="134"/>
      <c r="C513" s="134"/>
      <c r="D513" s="134"/>
      <c r="E513" s="134"/>
      <c r="F513" s="134"/>
      <c r="G513" s="134"/>
      <c r="H513" s="134"/>
      <c r="I513" s="134"/>
      <c r="J513" s="134"/>
      <c r="K513" s="134"/>
      <c r="L513" s="134"/>
      <c r="M513" s="134"/>
      <c r="N513" s="134"/>
      <c r="O513" s="134"/>
      <c r="P513" s="134"/>
      <c r="Q513" s="134"/>
      <c r="R513" s="134"/>
      <c r="S513" s="134"/>
      <c r="T513" s="134"/>
      <c r="U513" s="134"/>
      <c r="V513" s="134"/>
      <c r="W513" s="134"/>
    </row>
    <row r="514">
      <c r="A514" s="134"/>
      <c r="B514" s="134"/>
      <c r="C514" s="134"/>
      <c r="D514" s="134"/>
      <c r="E514" s="134"/>
      <c r="F514" s="134"/>
      <c r="G514" s="134"/>
      <c r="H514" s="134"/>
      <c r="I514" s="134"/>
      <c r="J514" s="134"/>
      <c r="K514" s="134"/>
      <c r="L514" s="134"/>
      <c r="M514" s="134"/>
      <c r="N514" s="134"/>
      <c r="O514" s="134"/>
      <c r="P514" s="134"/>
      <c r="Q514" s="134"/>
      <c r="R514" s="134"/>
      <c r="S514" s="134"/>
      <c r="T514" s="134"/>
      <c r="U514" s="134"/>
      <c r="V514" s="134"/>
      <c r="W514" s="134"/>
    </row>
    <row r="515">
      <c r="A515" s="134"/>
      <c r="B515" s="134"/>
      <c r="C515" s="134"/>
      <c r="D515" s="134"/>
      <c r="E515" s="134"/>
      <c r="F515" s="134"/>
      <c r="G515" s="134"/>
      <c r="H515" s="134"/>
      <c r="I515" s="134"/>
      <c r="J515" s="134"/>
      <c r="K515" s="134"/>
      <c r="L515" s="134"/>
      <c r="M515" s="134"/>
      <c r="N515" s="134"/>
      <c r="O515" s="134"/>
      <c r="P515" s="134"/>
      <c r="Q515" s="134"/>
      <c r="R515" s="134"/>
      <c r="S515" s="134"/>
      <c r="T515" s="134"/>
      <c r="U515" s="134"/>
      <c r="V515" s="134"/>
      <c r="W515" s="134"/>
    </row>
    <row r="516">
      <c r="A516" s="134"/>
      <c r="B516" s="134"/>
      <c r="C516" s="134"/>
      <c r="D516" s="134"/>
      <c r="E516" s="134"/>
      <c r="F516" s="134"/>
      <c r="G516" s="134"/>
      <c r="H516" s="134"/>
      <c r="I516" s="134"/>
      <c r="J516" s="134"/>
      <c r="K516" s="134"/>
      <c r="L516" s="134"/>
      <c r="M516" s="134"/>
      <c r="N516" s="134"/>
      <c r="O516" s="134"/>
      <c r="P516" s="134"/>
      <c r="Q516" s="134"/>
      <c r="R516" s="134"/>
      <c r="S516" s="134"/>
      <c r="T516" s="134"/>
      <c r="U516" s="134"/>
      <c r="V516" s="134"/>
      <c r="W516" s="134"/>
    </row>
    <row r="517">
      <c r="A517" s="134"/>
      <c r="B517" s="134"/>
      <c r="C517" s="134"/>
      <c r="D517" s="134"/>
      <c r="E517" s="134"/>
      <c r="F517" s="134"/>
      <c r="G517" s="134"/>
      <c r="H517" s="134"/>
      <c r="I517" s="134"/>
      <c r="J517" s="134"/>
      <c r="K517" s="134"/>
      <c r="L517" s="134"/>
      <c r="M517" s="134"/>
      <c r="N517" s="134"/>
      <c r="O517" s="134"/>
      <c r="P517" s="134"/>
      <c r="Q517" s="134"/>
      <c r="R517" s="134"/>
      <c r="S517" s="134"/>
      <c r="T517" s="134"/>
      <c r="U517" s="134"/>
      <c r="V517" s="134"/>
      <c r="W517" s="134"/>
    </row>
    <row r="518">
      <c r="A518" s="134"/>
      <c r="B518" s="134"/>
      <c r="C518" s="134"/>
      <c r="D518" s="134"/>
      <c r="E518" s="134"/>
      <c r="F518" s="134"/>
      <c r="G518" s="134"/>
      <c r="H518" s="134"/>
      <c r="I518" s="134"/>
      <c r="J518" s="134"/>
      <c r="K518" s="134"/>
      <c r="L518" s="134"/>
      <c r="M518" s="134"/>
      <c r="N518" s="134"/>
      <c r="O518" s="134"/>
      <c r="P518" s="134"/>
      <c r="Q518" s="134"/>
      <c r="R518" s="134"/>
      <c r="S518" s="134"/>
      <c r="T518" s="134"/>
      <c r="U518" s="134"/>
      <c r="V518" s="134"/>
      <c r="W518" s="134"/>
    </row>
    <row r="519">
      <c r="A519" s="134"/>
      <c r="B519" s="134"/>
      <c r="C519" s="134"/>
      <c r="D519" s="134"/>
      <c r="E519" s="134"/>
      <c r="F519" s="134"/>
      <c r="G519" s="134"/>
      <c r="H519" s="134"/>
      <c r="I519" s="134"/>
      <c r="J519" s="134"/>
      <c r="K519" s="134"/>
      <c r="L519" s="134"/>
      <c r="M519" s="134"/>
      <c r="N519" s="134"/>
      <c r="O519" s="134"/>
      <c r="P519" s="134"/>
      <c r="Q519" s="134"/>
      <c r="R519" s="134"/>
      <c r="S519" s="134"/>
      <c r="T519" s="134"/>
      <c r="U519" s="134"/>
      <c r="V519" s="134"/>
      <c r="W519" s="134"/>
    </row>
    <row r="520">
      <c r="A520" s="134"/>
      <c r="B520" s="134"/>
      <c r="C520" s="134"/>
      <c r="D520" s="134"/>
      <c r="E520" s="134"/>
      <c r="F520" s="134"/>
      <c r="G520" s="134"/>
      <c r="H520" s="134"/>
      <c r="I520" s="134"/>
      <c r="J520" s="134"/>
      <c r="K520" s="134"/>
      <c r="L520" s="134"/>
      <c r="M520" s="134"/>
      <c r="N520" s="134"/>
      <c r="O520" s="134"/>
      <c r="P520" s="134"/>
      <c r="Q520" s="134"/>
      <c r="R520" s="134"/>
      <c r="S520" s="134"/>
      <c r="T520" s="134"/>
      <c r="U520" s="134"/>
      <c r="V520" s="134"/>
      <c r="W520" s="134"/>
    </row>
    <row r="521">
      <c r="A521" s="134"/>
      <c r="B521" s="134"/>
      <c r="C521" s="134"/>
      <c r="D521" s="134"/>
      <c r="E521" s="134"/>
      <c r="F521" s="134"/>
      <c r="G521" s="134"/>
      <c r="H521" s="134"/>
      <c r="I521" s="134"/>
      <c r="J521" s="134"/>
      <c r="K521" s="134"/>
      <c r="L521" s="134"/>
      <c r="M521" s="134"/>
      <c r="N521" s="134"/>
      <c r="O521" s="134"/>
      <c r="P521" s="134"/>
      <c r="Q521" s="134"/>
      <c r="R521" s="134"/>
      <c r="S521" s="134"/>
      <c r="T521" s="134"/>
      <c r="U521" s="134"/>
      <c r="V521" s="134"/>
      <c r="W521" s="134"/>
    </row>
    <row r="522">
      <c r="A522" s="134"/>
      <c r="B522" s="134"/>
      <c r="C522" s="134"/>
      <c r="D522" s="134"/>
      <c r="E522" s="134"/>
      <c r="F522" s="134"/>
      <c r="G522" s="134"/>
      <c r="H522" s="134"/>
      <c r="I522" s="134"/>
      <c r="J522" s="134"/>
      <c r="K522" s="134"/>
      <c r="L522" s="134"/>
      <c r="M522" s="134"/>
      <c r="N522" s="134"/>
      <c r="O522" s="134"/>
      <c r="P522" s="134"/>
      <c r="Q522" s="134"/>
      <c r="R522" s="134"/>
      <c r="S522" s="134"/>
      <c r="T522" s="134"/>
      <c r="U522" s="134"/>
      <c r="V522" s="134"/>
      <c r="W522" s="134"/>
    </row>
    <row r="523">
      <c r="A523" s="134"/>
      <c r="B523" s="134"/>
      <c r="C523" s="134"/>
      <c r="D523" s="134"/>
      <c r="E523" s="134"/>
      <c r="F523" s="134"/>
      <c r="G523" s="134"/>
      <c r="H523" s="134"/>
      <c r="I523" s="134"/>
      <c r="J523" s="134"/>
      <c r="K523" s="134"/>
      <c r="L523" s="134"/>
      <c r="M523" s="134"/>
      <c r="N523" s="134"/>
      <c r="O523" s="134"/>
      <c r="P523" s="134"/>
      <c r="Q523" s="134"/>
      <c r="R523" s="134"/>
      <c r="S523" s="134"/>
      <c r="T523" s="134"/>
      <c r="U523" s="134"/>
      <c r="V523" s="134"/>
      <c r="W523" s="134"/>
    </row>
    <row r="524">
      <c r="A524" s="134"/>
      <c r="B524" s="134"/>
      <c r="C524" s="134"/>
      <c r="D524" s="134"/>
      <c r="E524" s="134"/>
      <c r="F524" s="134"/>
      <c r="G524" s="134"/>
      <c r="H524" s="134"/>
      <c r="I524" s="134"/>
      <c r="J524" s="134"/>
      <c r="K524" s="134"/>
      <c r="L524" s="134"/>
      <c r="M524" s="134"/>
      <c r="N524" s="134"/>
      <c r="O524" s="134"/>
      <c r="P524" s="134"/>
      <c r="Q524" s="134"/>
      <c r="R524" s="134"/>
      <c r="S524" s="134"/>
      <c r="T524" s="134"/>
      <c r="U524" s="134"/>
      <c r="V524" s="134"/>
      <c r="W524" s="134"/>
    </row>
    <row r="525">
      <c r="A525" s="134"/>
      <c r="B525" s="134"/>
      <c r="C525" s="134"/>
      <c r="D525" s="134"/>
      <c r="E525" s="134"/>
      <c r="F525" s="134"/>
      <c r="G525" s="134"/>
      <c r="H525" s="134"/>
      <c r="I525" s="134"/>
      <c r="J525" s="134"/>
      <c r="K525" s="134"/>
      <c r="L525" s="134"/>
      <c r="M525" s="134"/>
      <c r="N525" s="134"/>
      <c r="O525" s="134"/>
      <c r="P525" s="134"/>
      <c r="Q525" s="134"/>
      <c r="R525" s="134"/>
      <c r="S525" s="134"/>
      <c r="T525" s="134"/>
      <c r="U525" s="134"/>
      <c r="V525" s="134"/>
      <c r="W525" s="134"/>
    </row>
    <row r="526">
      <c r="A526" s="134"/>
      <c r="B526" s="134"/>
      <c r="C526" s="134"/>
      <c r="D526" s="134"/>
      <c r="E526" s="134"/>
      <c r="F526" s="134"/>
      <c r="G526" s="134"/>
      <c r="H526" s="134"/>
      <c r="I526" s="134"/>
      <c r="J526" s="134"/>
      <c r="K526" s="134"/>
      <c r="L526" s="134"/>
      <c r="M526" s="134"/>
      <c r="N526" s="134"/>
      <c r="O526" s="134"/>
      <c r="P526" s="134"/>
      <c r="Q526" s="134"/>
      <c r="R526" s="134"/>
      <c r="S526" s="134"/>
      <c r="T526" s="134"/>
      <c r="U526" s="134"/>
      <c r="V526" s="134"/>
      <c r="W526" s="134"/>
    </row>
    <row r="527">
      <c r="A527" s="134"/>
      <c r="B527" s="134"/>
      <c r="C527" s="134"/>
      <c r="D527" s="134"/>
      <c r="E527" s="134"/>
      <c r="F527" s="134"/>
      <c r="G527" s="134"/>
      <c r="H527" s="134"/>
      <c r="I527" s="134"/>
      <c r="J527" s="134"/>
      <c r="K527" s="134"/>
      <c r="L527" s="134"/>
      <c r="M527" s="134"/>
      <c r="N527" s="134"/>
      <c r="O527" s="134"/>
      <c r="P527" s="134"/>
      <c r="Q527" s="134"/>
      <c r="R527" s="134"/>
      <c r="S527" s="134"/>
      <c r="T527" s="134"/>
      <c r="U527" s="134"/>
      <c r="V527" s="134"/>
      <c r="W527" s="134"/>
    </row>
    <row r="528">
      <c r="A528" s="134"/>
      <c r="B528" s="134"/>
      <c r="C528" s="134"/>
      <c r="D528" s="134"/>
      <c r="E528" s="134"/>
      <c r="F528" s="134"/>
      <c r="G528" s="134"/>
      <c r="H528" s="134"/>
      <c r="I528" s="134"/>
      <c r="J528" s="134"/>
      <c r="K528" s="134"/>
      <c r="L528" s="134"/>
      <c r="M528" s="134"/>
      <c r="N528" s="134"/>
      <c r="O528" s="134"/>
      <c r="P528" s="134"/>
      <c r="Q528" s="134"/>
      <c r="R528" s="134"/>
      <c r="S528" s="134"/>
      <c r="T528" s="134"/>
      <c r="U528" s="134"/>
      <c r="V528" s="134"/>
      <c r="W528" s="134"/>
    </row>
    <row r="529">
      <c r="A529" s="134"/>
      <c r="B529" s="134"/>
      <c r="C529" s="134"/>
      <c r="D529" s="134"/>
      <c r="E529" s="134"/>
      <c r="F529" s="134"/>
      <c r="G529" s="134"/>
      <c r="H529" s="134"/>
      <c r="I529" s="134"/>
      <c r="J529" s="134"/>
      <c r="K529" s="134"/>
      <c r="L529" s="134"/>
      <c r="M529" s="134"/>
      <c r="N529" s="134"/>
      <c r="O529" s="134"/>
      <c r="P529" s="134"/>
      <c r="Q529" s="134"/>
      <c r="R529" s="134"/>
      <c r="S529" s="134"/>
      <c r="T529" s="134"/>
      <c r="U529" s="134"/>
      <c r="V529" s="134"/>
      <c r="W529" s="134"/>
    </row>
    <row r="530">
      <c r="A530" s="134"/>
      <c r="B530" s="134"/>
      <c r="C530" s="134"/>
      <c r="D530" s="134"/>
      <c r="E530" s="134"/>
      <c r="F530" s="134"/>
      <c r="G530" s="134"/>
      <c r="H530" s="134"/>
      <c r="I530" s="134"/>
      <c r="J530" s="134"/>
      <c r="K530" s="134"/>
      <c r="L530" s="134"/>
      <c r="M530" s="134"/>
      <c r="N530" s="134"/>
      <c r="O530" s="134"/>
      <c r="P530" s="134"/>
      <c r="Q530" s="134"/>
      <c r="R530" s="134"/>
      <c r="S530" s="134"/>
      <c r="T530" s="134"/>
      <c r="U530" s="134"/>
      <c r="V530" s="134"/>
      <c r="W530" s="134"/>
    </row>
    <row r="531">
      <c r="A531" s="134"/>
      <c r="B531" s="134"/>
      <c r="C531" s="134"/>
      <c r="D531" s="134"/>
      <c r="E531" s="134"/>
      <c r="F531" s="134"/>
      <c r="G531" s="134"/>
      <c r="H531" s="134"/>
      <c r="I531" s="134"/>
      <c r="J531" s="134"/>
      <c r="K531" s="134"/>
      <c r="L531" s="134"/>
      <c r="M531" s="134"/>
      <c r="N531" s="134"/>
      <c r="O531" s="134"/>
      <c r="P531" s="134"/>
      <c r="Q531" s="134"/>
      <c r="R531" s="134"/>
      <c r="S531" s="134"/>
      <c r="T531" s="134"/>
      <c r="U531" s="134"/>
      <c r="V531" s="134"/>
      <c r="W531" s="134"/>
    </row>
    <row r="532">
      <c r="A532" s="134"/>
      <c r="B532" s="134"/>
      <c r="C532" s="134"/>
      <c r="D532" s="134"/>
      <c r="E532" s="134"/>
      <c r="F532" s="134"/>
      <c r="G532" s="134"/>
      <c r="H532" s="134"/>
      <c r="I532" s="134"/>
      <c r="J532" s="134"/>
      <c r="K532" s="134"/>
      <c r="L532" s="134"/>
      <c r="M532" s="134"/>
      <c r="N532" s="134"/>
      <c r="O532" s="134"/>
      <c r="P532" s="134"/>
      <c r="Q532" s="134"/>
      <c r="R532" s="134"/>
      <c r="S532" s="134"/>
      <c r="T532" s="134"/>
      <c r="U532" s="134"/>
      <c r="V532" s="134"/>
      <c r="W532" s="134"/>
    </row>
    <row r="533">
      <c r="A533" s="134"/>
      <c r="B533" s="134"/>
      <c r="C533" s="134"/>
      <c r="D533" s="134"/>
      <c r="E533" s="134"/>
      <c r="F533" s="134"/>
      <c r="G533" s="134"/>
      <c r="H533" s="134"/>
      <c r="I533" s="134"/>
      <c r="J533" s="134"/>
      <c r="K533" s="134"/>
      <c r="L533" s="134"/>
      <c r="M533" s="134"/>
      <c r="N533" s="134"/>
      <c r="O533" s="134"/>
      <c r="P533" s="134"/>
      <c r="Q533" s="134"/>
      <c r="R533" s="134"/>
      <c r="S533" s="134"/>
      <c r="T533" s="134"/>
      <c r="U533" s="134"/>
      <c r="V533" s="134"/>
      <c r="W533" s="134"/>
    </row>
    <row r="534">
      <c r="A534" s="134"/>
      <c r="B534" s="134"/>
      <c r="C534" s="134"/>
      <c r="D534" s="134"/>
      <c r="E534" s="134"/>
      <c r="F534" s="134"/>
      <c r="G534" s="134"/>
      <c r="H534" s="134"/>
      <c r="I534" s="134"/>
      <c r="J534" s="134"/>
      <c r="K534" s="134"/>
      <c r="L534" s="134"/>
      <c r="M534" s="134"/>
      <c r="N534" s="134"/>
      <c r="O534" s="134"/>
      <c r="P534" s="134"/>
      <c r="Q534" s="134"/>
      <c r="R534" s="134"/>
      <c r="S534" s="134"/>
      <c r="T534" s="134"/>
      <c r="U534" s="134"/>
      <c r="V534" s="134"/>
      <c r="W534" s="134"/>
    </row>
    <row r="535">
      <c r="A535" s="134"/>
      <c r="B535" s="134"/>
      <c r="C535" s="134"/>
      <c r="D535" s="134"/>
      <c r="E535" s="134"/>
      <c r="F535" s="134"/>
      <c r="G535" s="134"/>
      <c r="H535" s="134"/>
      <c r="I535" s="134"/>
      <c r="J535" s="134"/>
      <c r="K535" s="134"/>
      <c r="L535" s="134"/>
      <c r="M535" s="134"/>
      <c r="N535" s="134"/>
      <c r="O535" s="134"/>
      <c r="P535" s="134"/>
      <c r="Q535" s="134"/>
      <c r="R535" s="134"/>
      <c r="S535" s="134"/>
      <c r="T535" s="134"/>
      <c r="U535" s="134"/>
      <c r="V535" s="134"/>
      <c r="W535" s="134"/>
    </row>
    <row r="536">
      <c r="A536" s="134"/>
      <c r="B536" s="134"/>
      <c r="C536" s="134"/>
      <c r="D536" s="134"/>
      <c r="E536" s="134"/>
      <c r="F536" s="134"/>
      <c r="G536" s="134"/>
      <c r="H536" s="134"/>
      <c r="I536" s="134"/>
      <c r="J536" s="134"/>
      <c r="K536" s="134"/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  <c r="V536" s="134"/>
      <c r="W536" s="134"/>
    </row>
    <row r="537">
      <c r="A537" s="134"/>
      <c r="B537" s="134"/>
      <c r="C537" s="134"/>
      <c r="D537" s="134"/>
      <c r="E537" s="134"/>
      <c r="F537" s="134"/>
      <c r="G537" s="134"/>
      <c r="H537" s="134"/>
      <c r="I537" s="134"/>
      <c r="J537" s="134"/>
      <c r="K537" s="134"/>
      <c r="L537" s="134"/>
      <c r="M537" s="134"/>
      <c r="N537" s="134"/>
      <c r="O537" s="134"/>
      <c r="P537" s="134"/>
      <c r="Q537" s="134"/>
      <c r="R537" s="134"/>
      <c r="S537" s="134"/>
      <c r="T537" s="134"/>
      <c r="U537" s="134"/>
      <c r="V537" s="134"/>
      <c r="W537" s="134"/>
    </row>
    <row r="538">
      <c r="A538" s="134"/>
      <c r="B538" s="134"/>
      <c r="C538" s="134"/>
      <c r="D538" s="134"/>
      <c r="E538" s="134"/>
      <c r="F538" s="134"/>
      <c r="G538" s="134"/>
      <c r="H538" s="134"/>
      <c r="I538" s="134"/>
      <c r="J538" s="134"/>
      <c r="K538" s="134"/>
      <c r="L538" s="134"/>
      <c r="M538" s="134"/>
      <c r="N538" s="134"/>
      <c r="O538" s="134"/>
      <c r="P538" s="134"/>
      <c r="Q538" s="134"/>
      <c r="R538" s="134"/>
      <c r="S538" s="134"/>
      <c r="T538" s="134"/>
      <c r="U538" s="134"/>
      <c r="V538" s="134"/>
      <c r="W538" s="134"/>
    </row>
    <row r="539">
      <c r="A539" s="134"/>
      <c r="B539" s="134"/>
      <c r="C539" s="134"/>
      <c r="D539" s="134"/>
      <c r="E539" s="134"/>
      <c r="F539" s="134"/>
      <c r="G539" s="134"/>
      <c r="H539" s="134"/>
      <c r="I539" s="134"/>
      <c r="J539" s="134"/>
      <c r="K539" s="134"/>
      <c r="L539" s="134"/>
      <c r="M539" s="134"/>
      <c r="N539" s="134"/>
      <c r="O539" s="134"/>
      <c r="P539" s="134"/>
      <c r="Q539" s="134"/>
      <c r="R539" s="134"/>
      <c r="S539" s="134"/>
      <c r="T539" s="134"/>
      <c r="U539" s="134"/>
      <c r="V539" s="134"/>
      <c r="W539" s="134"/>
    </row>
    <row r="540">
      <c r="A540" s="134"/>
      <c r="B540" s="134"/>
      <c r="C540" s="134"/>
      <c r="D540" s="134"/>
      <c r="E540" s="134"/>
      <c r="F540" s="134"/>
      <c r="G540" s="134"/>
      <c r="H540" s="134"/>
      <c r="I540" s="134"/>
      <c r="J540" s="134"/>
      <c r="K540" s="134"/>
      <c r="L540" s="134"/>
      <c r="M540" s="134"/>
      <c r="N540" s="134"/>
      <c r="O540" s="134"/>
      <c r="P540" s="134"/>
      <c r="Q540" s="134"/>
      <c r="R540" s="134"/>
      <c r="S540" s="134"/>
      <c r="T540" s="134"/>
      <c r="U540" s="134"/>
      <c r="V540" s="134"/>
      <c r="W540" s="134"/>
    </row>
    <row r="54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</row>
    <row r="542">
      <c r="A542" s="134"/>
      <c r="B542" s="134"/>
      <c r="C542" s="134"/>
      <c r="D542" s="134"/>
      <c r="E542" s="134"/>
      <c r="F542" s="134"/>
      <c r="G542" s="134"/>
      <c r="H542" s="134"/>
      <c r="I542" s="134"/>
      <c r="J542" s="134"/>
      <c r="K542" s="134"/>
      <c r="L542" s="134"/>
      <c r="M542" s="134"/>
      <c r="N542" s="134"/>
      <c r="O542" s="134"/>
      <c r="P542" s="134"/>
      <c r="Q542" s="134"/>
      <c r="R542" s="134"/>
      <c r="S542" s="134"/>
      <c r="T542" s="134"/>
      <c r="U542" s="134"/>
      <c r="V542" s="134"/>
      <c r="W542" s="134"/>
    </row>
    <row r="543">
      <c r="A543" s="134"/>
      <c r="B543" s="134"/>
      <c r="C543" s="134"/>
      <c r="D543" s="134"/>
      <c r="E543" s="134"/>
      <c r="F543" s="134"/>
      <c r="G543" s="134"/>
      <c r="H543" s="134"/>
      <c r="I543" s="134"/>
      <c r="J543" s="134"/>
      <c r="K543" s="134"/>
      <c r="L543" s="134"/>
      <c r="M543" s="134"/>
      <c r="N543" s="134"/>
      <c r="O543" s="134"/>
      <c r="P543" s="134"/>
      <c r="Q543" s="134"/>
      <c r="R543" s="134"/>
      <c r="S543" s="134"/>
      <c r="T543" s="134"/>
      <c r="U543" s="134"/>
      <c r="V543" s="134"/>
      <c r="W543" s="134"/>
    </row>
    <row r="544">
      <c r="A544" s="134"/>
      <c r="B544" s="134"/>
      <c r="C544" s="134"/>
      <c r="D544" s="134"/>
      <c r="E544" s="134"/>
      <c r="F544" s="134"/>
      <c r="G544" s="134"/>
      <c r="H544" s="134"/>
      <c r="I544" s="134"/>
      <c r="J544" s="134"/>
      <c r="K544" s="134"/>
      <c r="L544" s="134"/>
      <c r="M544" s="134"/>
      <c r="N544" s="134"/>
      <c r="O544" s="134"/>
      <c r="P544" s="134"/>
      <c r="Q544" s="134"/>
      <c r="R544" s="134"/>
      <c r="S544" s="134"/>
      <c r="T544" s="134"/>
      <c r="U544" s="134"/>
      <c r="V544" s="134"/>
      <c r="W544" s="134"/>
    </row>
    <row r="545">
      <c r="A545" s="134"/>
      <c r="B545" s="134"/>
      <c r="C545" s="134"/>
      <c r="D545" s="134"/>
      <c r="E545" s="134"/>
      <c r="F545" s="134"/>
      <c r="G545" s="134"/>
      <c r="H545" s="134"/>
      <c r="I545" s="134"/>
      <c r="J545" s="134"/>
      <c r="K545" s="134"/>
      <c r="L545" s="134"/>
      <c r="M545" s="134"/>
      <c r="N545" s="134"/>
      <c r="O545" s="134"/>
      <c r="P545" s="134"/>
      <c r="Q545" s="134"/>
      <c r="R545" s="134"/>
      <c r="S545" s="134"/>
      <c r="T545" s="134"/>
      <c r="U545" s="134"/>
      <c r="V545" s="134"/>
      <c r="W545" s="134"/>
    </row>
    <row r="546">
      <c r="A546" s="134"/>
      <c r="B546" s="134"/>
      <c r="C546" s="134"/>
      <c r="D546" s="134"/>
      <c r="E546" s="134"/>
      <c r="F546" s="134"/>
      <c r="G546" s="134"/>
      <c r="H546" s="134"/>
      <c r="I546" s="134"/>
      <c r="J546" s="134"/>
      <c r="K546" s="134"/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  <c r="V546" s="134"/>
      <c r="W546" s="134"/>
    </row>
    <row r="547">
      <c r="A547" s="134"/>
      <c r="B547" s="134"/>
      <c r="C547" s="134"/>
      <c r="D547" s="134"/>
      <c r="E547" s="134"/>
      <c r="F547" s="134"/>
      <c r="G547" s="134"/>
      <c r="H547" s="134"/>
      <c r="I547" s="134"/>
      <c r="J547" s="134"/>
      <c r="K547" s="134"/>
      <c r="L547" s="134"/>
      <c r="M547" s="134"/>
      <c r="N547" s="134"/>
      <c r="O547" s="134"/>
      <c r="P547" s="134"/>
      <c r="Q547" s="134"/>
      <c r="R547" s="134"/>
      <c r="S547" s="134"/>
      <c r="T547" s="134"/>
      <c r="U547" s="134"/>
      <c r="V547" s="134"/>
      <c r="W547" s="134"/>
    </row>
    <row r="548">
      <c r="A548" s="134"/>
      <c r="B548" s="134"/>
      <c r="C548" s="134"/>
      <c r="D548" s="134"/>
      <c r="E548" s="134"/>
      <c r="F548" s="134"/>
      <c r="G548" s="134"/>
      <c r="H548" s="134"/>
      <c r="I548" s="134"/>
      <c r="J548" s="134"/>
      <c r="K548" s="134"/>
      <c r="L548" s="134"/>
      <c r="M548" s="134"/>
      <c r="N548" s="134"/>
      <c r="O548" s="134"/>
      <c r="P548" s="134"/>
      <c r="Q548" s="134"/>
      <c r="R548" s="134"/>
      <c r="S548" s="134"/>
      <c r="T548" s="134"/>
      <c r="U548" s="134"/>
      <c r="V548" s="134"/>
      <c r="W548" s="134"/>
    </row>
    <row r="549">
      <c r="A549" s="134"/>
      <c r="B549" s="134"/>
      <c r="C549" s="134"/>
      <c r="D549" s="134"/>
      <c r="E549" s="134"/>
      <c r="F549" s="134"/>
      <c r="G549" s="134"/>
      <c r="H549" s="134"/>
      <c r="I549" s="134"/>
      <c r="J549" s="134"/>
      <c r="K549" s="134"/>
      <c r="L549" s="134"/>
      <c r="M549" s="134"/>
      <c r="N549" s="134"/>
      <c r="O549" s="134"/>
      <c r="P549" s="134"/>
      <c r="Q549" s="134"/>
      <c r="R549" s="134"/>
      <c r="S549" s="134"/>
      <c r="T549" s="134"/>
      <c r="U549" s="134"/>
      <c r="V549" s="134"/>
      <c r="W549" s="134"/>
    </row>
    <row r="550">
      <c r="A550" s="134"/>
      <c r="B550" s="134"/>
      <c r="C550" s="134"/>
      <c r="D550" s="134"/>
      <c r="E550" s="134"/>
      <c r="F550" s="134"/>
      <c r="G550" s="134"/>
      <c r="H550" s="134"/>
      <c r="I550" s="134"/>
      <c r="J550" s="134"/>
      <c r="K550" s="134"/>
      <c r="L550" s="134"/>
      <c r="M550" s="134"/>
      <c r="N550" s="134"/>
      <c r="O550" s="134"/>
      <c r="P550" s="134"/>
      <c r="Q550" s="134"/>
      <c r="R550" s="134"/>
      <c r="S550" s="134"/>
      <c r="T550" s="134"/>
      <c r="U550" s="134"/>
      <c r="V550" s="134"/>
      <c r="W550" s="134"/>
    </row>
    <row r="551">
      <c r="A551" s="134"/>
      <c r="B551" s="134"/>
      <c r="C551" s="134"/>
      <c r="D551" s="134"/>
      <c r="E551" s="134"/>
      <c r="F551" s="134"/>
      <c r="G551" s="134"/>
      <c r="H551" s="134"/>
      <c r="I551" s="134"/>
      <c r="J551" s="134"/>
      <c r="K551" s="134"/>
      <c r="L551" s="134"/>
      <c r="M551" s="134"/>
      <c r="N551" s="134"/>
      <c r="O551" s="134"/>
      <c r="P551" s="134"/>
      <c r="Q551" s="134"/>
      <c r="R551" s="134"/>
      <c r="S551" s="134"/>
      <c r="T551" s="134"/>
      <c r="U551" s="134"/>
      <c r="V551" s="134"/>
      <c r="W551" s="134"/>
    </row>
    <row r="552">
      <c r="A552" s="134"/>
      <c r="B552" s="134"/>
      <c r="C552" s="134"/>
      <c r="D552" s="134"/>
      <c r="E552" s="134"/>
      <c r="F552" s="134"/>
      <c r="G552" s="134"/>
      <c r="H552" s="134"/>
      <c r="I552" s="134"/>
      <c r="J552" s="134"/>
      <c r="K552" s="134"/>
      <c r="L552" s="134"/>
      <c r="M552" s="134"/>
      <c r="N552" s="134"/>
      <c r="O552" s="134"/>
      <c r="P552" s="134"/>
      <c r="Q552" s="134"/>
      <c r="R552" s="134"/>
      <c r="S552" s="134"/>
      <c r="T552" s="134"/>
      <c r="U552" s="134"/>
      <c r="V552" s="134"/>
      <c r="W552" s="134"/>
    </row>
    <row r="553">
      <c r="A553" s="134"/>
      <c r="B553" s="134"/>
      <c r="C553" s="134"/>
      <c r="D553" s="134"/>
      <c r="E553" s="134"/>
      <c r="F553" s="134"/>
      <c r="G553" s="134"/>
      <c r="H553" s="134"/>
      <c r="I553" s="134"/>
      <c r="J553" s="134"/>
      <c r="K553" s="134"/>
      <c r="L553" s="134"/>
      <c r="M553" s="134"/>
      <c r="N553" s="134"/>
      <c r="O553" s="134"/>
      <c r="P553" s="134"/>
      <c r="Q553" s="134"/>
      <c r="R553" s="134"/>
      <c r="S553" s="134"/>
      <c r="T553" s="134"/>
      <c r="U553" s="134"/>
      <c r="V553" s="134"/>
      <c r="W553" s="134"/>
    </row>
    <row r="554">
      <c r="A554" s="134"/>
      <c r="B554" s="134"/>
      <c r="C554" s="134"/>
      <c r="D554" s="134"/>
      <c r="E554" s="134"/>
      <c r="F554" s="134"/>
      <c r="G554" s="134"/>
      <c r="H554" s="134"/>
      <c r="I554" s="134"/>
      <c r="J554" s="134"/>
      <c r="K554" s="134"/>
      <c r="L554" s="134"/>
      <c r="M554" s="134"/>
      <c r="N554" s="134"/>
      <c r="O554" s="134"/>
      <c r="P554" s="134"/>
      <c r="Q554" s="134"/>
      <c r="R554" s="134"/>
      <c r="S554" s="134"/>
      <c r="T554" s="134"/>
      <c r="U554" s="134"/>
      <c r="V554" s="134"/>
      <c r="W554" s="134"/>
    </row>
    <row r="555">
      <c r="A555" s="134"/>
      <c r="B555" s="134"/>
      <c r="C555" s="134"/>
      <c r="D555" s="134"/>
      <c r="E555" s="134"/>
      <c r="F555" s="134"/>
      <c r="G555" s="134"/>
      <c r="H555" s="134"/>
      <c r="I555" s="134"/>
      <c r="J555" s="134"/>
      <c r="K555" s="134"/>
      <c r="L555" s="134"/>
      <c r="M555" s="134"/>
      <c r="N555" s="134"/>
      <c r="O555" s="134"/>
      <c r="P555" s="134"/>
      <c r="Q555" s="134"/>
      <c r="R555" s="134"/>
      <c r="S555" s="134"/>
      <c r="T555" s="134"/>
      <c r="U555" s="134"/>
      <c r="V555" s="134"/>
      <c r="W555" s="134"/>
    </row>
    <row r="556">
      <c r="A556" s="134"/>
      <c r="B556" s="134"/>
      <c r="C556" s="134"/>
      <c r="D556" s="134"/>
      <c r="E556" s="134"/>
      <c r="F556" s="134"/>
      <c r="G556" s="134"/>
      <c r="H556" s="134"/>
      <c r="I556" s="134"/>
      <c r="J556" s="134"/>
      <c r="K556" s="134"/>
      <c r="L556" s="134"/>
      <c r="M556" s="134"/>
      <c r="N556" s="134"/>
      <c r="O556" s="134"/>
      <c r="P556" s="134"/>
      <c r="Q556" s="134"/>
      <c r="R556" s="134"/>
      <c r="S556" s="134"/>
      <c r="T556" s="134"/>
      <c r="U556" s="134"/>
      <c r="V556" s="134"/>
      <c r="W556" s="134"/>
    </row>
    <row r="557">
      <c r="A557" s="134"/>
      <c r="B557" s="134"/>
      <c r="C557" s="134"/>
      <c r="D557" s="134"/>
      <c r="E557" s="134"/>
      <c r="F557" s="134"/>
      <c r="G557" s="134"/>
      <c r="H557" s="134"/>
      <c r="I557" s="134"/>
      <c r="J557" s="134"/>
      <c r="K557" s="134"/>
      <c r="L557" s="134"/>
      <c r="M557" s="134"/>
      <c r="N557" s="134"/>
      <c r="O557" s="134"/>
      <c r="P557" s="134"/>
      <c r="Q557" s="134"/>
      <c r="R557" s="134"/>
      <c r="S557" s="134"/>
      <c r="T557" s="134"/>
      <c r="U557" s="134"/>
      <c r="V557" s="134"/>
      <c r="W557" s="134"/>
    </row>
    <row r="558">
      <c r="A558" s="134"/>
      <c r="B558" s="134"/>
      <c r="C558" s="134"/>
      <c r="D558" s="134"/>
      <c r="E558" s="134"/>
      <c r="F558" s="134"/>
      <c r="G558" s="134"/>
      <c r="H558" s="134"/>
      <c r="I558" s="134"/>
      <c r="J558" s="134"/>
      <c r="K558" s="134"/>
      <c r="L558" s="134"/>
      <c r="M558" s="134"/>
      <c r="N558" s="134"/>
      <c r="O558" s="134"/>
      <c r="P558" s="134"/>
      <c r="Q558" s="134"/>
      <c r="R558" s="134"/>
      <c r="S558" s="134"/>
      <c r="T558" s="134"/>
      <c r="U558" s="134"/>
      <c r="V558" s="134"/>
      <c r="W558" s="134"/>
    </row>
    <row r="559">
      <c r="A559" s="134"/>
      <c r="B559" s="134"/>
      <c r="C559" s="134"/>
      <c r="D559" s="134"/>
      <c r="E559" s="134"/>
      <c r="F559" s="134"/>
      <c r="G559" s="134"/>
      <c r="H559" s="134"/>
      <c r="I559" s="134"/>
      <c r="J559" s="134"/>
      <c r="K559" s="134"/>
      <c r="L559" s="134"/>
      <c r="M559" s="134"/>
      <c r="N559" s="134"/>
      <c r="O559" s="134"/>
      <c r="P559" s="134"/>
      <c r="Q559" s="134"/>
      <c r="R559" s="134"/>
      <c r="S559" s="134"/>
      <c r="T559" s="134"/>
      <c r="U559" s="134"/>
      <c r="V559" s="134"/>
      <c r="W559" s="134"/>
    </row>
    <row r="560">
      <c r="A560" s="134"/>
      <c r="B560" s="134"/>
      <c r="C560" s="134"/>
      <c r="D560" s="134"/>
      <c r="E560" s="134"/>
      <c r="F560" s="134"/>
      <c r="G560" s="134"/>
      <c r="H560" s="134"/>
      <c r="I560" s="134"/>
      <c r="J560" s="134"/>
      <c r="K560" s="134"/>
      <c r="L560" s="134"/>
      <c r="M560" s="134"/>
      <c r="N560" s="134"/>
      <c r="O560" s="134"/>
      <c r="P560" s="134"/>
      <c r="Q560" s="134"/>
      <c r="R560" s="134"/>
      <c r="S560" s="134"/>
      <c r="T560" s="134"/>
      <c r="U560" s="134"/>
      <c r="V560" s="134"/>
      <c r="W560" s="134"/>
    </row>
    <row r="561">
      <c r="A561" s="134"/>
      <c r="B561" s="134"/>
      <c r="C561" s="134"/>
      <c r="D561" s="134"/>
      <c r="E561" s="134"/>
      <c r="F561" s="134"/>
      <c r="G561" s="134"/>
      <c r="H561" s="134"/>
      <c r="I561" s="134"/>
      <c r="J561" s="134"/>
      <c r="K561" s="134"/>
      <c r="L561" s="134"/>
      <c r="M561" s="134"/>
      <c r="N561" s="134"/>
      <c r="O561" s="134"/>
      <c r="P561" s="134"/>
      <c r="Q561" s="134"/>
      <c r="R561" s="134"/>
      <c r="S561" s="134"/>
      <c r="T561" s="134"/>
      <c r="U561" s="134"/>
      <c r="V561" s="134"/>
      <c r="W561" s="134"/>
    </row>
    <row r="562">
      <c r="A562" s="134"/>
      <c r="B562" s="134"/>
      <c r="C562" s="134"/>
      <c r="D562" s="134"/>
      <c r="E562" s="134"/>
      <c r="F562" s="134"/>
      <c r="G562" s="134"/>
      <c r="H562" s="134"/>
      <c r="I562" s="134"/>
      <c r="J562" s="134"/>
      <c r="K562" s="134"/>
      <c r="L562" s="134"/>
      <c r="M562" s="134"/>
      <c r="N562" s="134"/>
      <c r="O562" s="134"/>
      <c r="P562" s="134"/>
      <c r="Q562" s="134"/>
      <c r="R562" s="134"/>
      <c r="S562" s="134"/>
      <c r="T562" s="134"/>
      <c r="U562" s="134"/>
      <c r="V562" s="134"/>
      <c r="W562" s="134"/>
    </row>
    <row r="563">
      <c r="A563" s="134"/>
      <c r="B563" s="134"/>
      <c r="C563" s="134"/>
      <c r="D563" s="134"/>
      <c r="E563" s="134"/>
      <c r="F563" s="134"/>
      <c r="G563" s="134"/>
      <c r="H563" s="134"/>
      <c r="I563" s="134"/>
      <c r="J563" s="134"/>
      <c r="K563" s="134"/>
      <c r="L563" s="134"/>
      <c r="M563" s="134"/>
      <c r="N563" s="134"/>
      <c r="O563" s="134"/>
      <c r="P563" s="134"/>
      <c r="Q563" s="134"/>
      <c r="R563" s="134"/>
      <c r="S563" s="134"/>
      <c r="T563" s="134"/>
      <c r="U563" s="134"/>
      <c r="V563" s="134"/>
      <c r="W563" s="134"/>
    </row>
    <row r="564">
      <c r="A564" s="134"/>
      <c r="B564" s="134"/>
      <c r="C564" s="134"/>
      <c r="D564" s="134"/>
      <c r="E564" s="134"/>
      <c r="F564" s="134"/>
      <c r="G564" s="134"/>
      <c r="H564" s="134"/>
      <c r="I564" s="134"/>
      <c r="J564" s="134"/>
      <c r="K564" s="134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  <c r="V564" s="134"/>
      <c r="W564" s="134"/>
    </row>
    <row r="565">
      <c r="A565" s="134"/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</row>
    <row r="566">
      <c r="A566" s="134"/>
      <c r="B566" s="134"/>
      <c r="C566" s="134"/>
      <c r="D566" s="134"/>
      <c r="E566" s="134"/>
      <c r="F566" s="134"/>
      <c r="G566" s="134"/>
      <c r="H566" s="134"/>
      <c r="I566" s="134"/>
      <c r="J566" s="134"/>
      <c r="K566" s="134"/>
      <c r="L566" s="134"/>
      <c r="M566" s="134"/>
      <c r="N566" s="134"/>
      <c r="O566" s="134"/>
      <c r="P566" s="134"/>
      <c r="Q566" s="134"/>
      <c r="R566" s="134"/>
      <c r="S566" s="134"/>
      <c r="T566" s="134"/>
      <c r="U566" s="134"/>
      <c r="V566" s="134"/>
      <c r="W566" s="134"/>
    </row>
    <row r="567">
      <c r="A567" s="134"/>
      <c r="B567" s="134"/>
      <c r="C567" s="134"/>
      <c r="D567" s="134"/>
      <c r="E567" s="134"/>
      <c r="F567" s="134"/>
      <c r="G567" s="134"/>
      <c r="H567" s="134"/>
      <c r="I567" s="134"/>
      <c r="J567" s="134"/>
      <c r="K567" s="134"/>
      <c r="L567" s="134"/>
      <c r="M567" s="134"/>
      <c r="N567" s="134"/>
      <c r="O567" s="134"/>
      <c r="P567" s="134"/>
      <c r="Q567" s="134"/>
      <c r="R567" s="134"/>
      <c r="S567" s="134"/>
      <c r="T567" s="134"/>
      <c r="U567" s="134"/>
      <c r="V567" s="134"/>
      <c r="W567" s="134"/>
    </row>
    <row r="568">
      <c r="A568" s="134"/>
      <c r="B568" s="134"/>
      <c r="C568" s="134"/>
      <c r="D568" s="134"/>
      <c r="E568" s="134"/>
      <c r="F568" s="134"/>
      <c r="G568" s="134"/>
      <c r="H568" s="134"/>
      <c r="I568" s="134"/>
      <c r="J568" s="134"/>
      <c r="K568" s="134"/>
      <c r="L568" s="134"/>
      <c r="M568" s="134"/>
      <c r="N568" s="134"/>
      <c r="O568" s="134"/>
      <c r="P568" s="134"/>
      <c r="Q568" s="134"/>
      <c r="R568" s="134"/>
      <c r="S568" s="134"/>
      <c r="T568" s="134"/>
      <c r="U568" s="134"/>
      <c r="V568" s="134"/>
      <c r="W568" s="134"/>
    </row>
    <row r="569">
      <c r="A569" s="134"/>
      <c r="B569" s="134"/>
      <c r="C569" s="134"/>
      <c r="D569" s="134"/>
      <c r="E569" s="134"/>
      <c r="F569" s="134"/>
      <c r="G569" s="134"/>
      <c r="H569" s="134"/>
      <c r="I569" s="134"/>
      <c r="J569" s="134"/>
      <c r="K569" s="134"/>
      <c r="L569" s="134"/>
      <c r="M569" s="134"/>
      <c r="N569" s="134"/>
      <c r="O569" s="134"/>
      <c r="P569" s="134"/>
      <c r="Q569" s="134"/>
      <c r="R569" s="134"/>
      <c r="S569" s="134"/>
      <c r="T569" s="134"/>
      <c r="U569" s="134"/>
      <c r="V569" s="134"/>
      <c r="W569" s="134"/>
    </row>
    <row r="570">
      <c r="A570" s="134"/>
      <c r="B570" s="134"/>
      <c r="C570" s="134"/>
      <c r="D570" s="134"/>
      <c r="E570" s="134"/>
      <c r="F570" s="134"/>
      <c r="G570" s="134"/>
      <c r="H570" s="134"/>
      <c r="I570" s="134"/>
      <c r="J570" s="134"/>
      <c r="K570" s="134"/>
      <c r="L570" s="134"/>
      <c r="M570" s="134"/>
      <c r="N570" s="134"/>
      <c r="O570" s="134"/>
      <c r="P570" s="134"/>
      <c r="Q570" s="134"/>
      <c r="R570" s="134"/>
      <c r="S570" s="134"/>
      <c r="T570" s="134"/>
      <c r="U570" s="134"/>
      <c r="V570" s="134"/>
      <c r="W570" s="134"/>
    </row>
    <row r="571">
      <c r="A571" s="134"/>
      <c r="B571" s="134"/>
      <c r="C571" s="134"/>
      <c r="D571" s="134"/>
      <c r="E571" s="134"/>
      <c r="F571" s="134"/>
      <c r="G571" s="134"/>
      <c r="H571" s="134"/>
      <c r="I571" s="134"/>
      <c r="J571" s="134"/>
      <c r="K571" s="134"/>
      <c r="L571" s="134"/>
      <c r="M571" s="134"/>
      <c r="N571" s="134"/>
      <c r="O571" s="134"/>
      <c r="P571" s="134"/>
      <c r="Q571" s="134"/>
      <c r="R571" s="134"/>
      <c r="S571" s="134"/>
      <c r="T571" s="134"/>
      <c r="U571" s="134"/>
      <c r="V571" s="134"/>
      <c r="W571" s="134"/>
    </row>
    <row r="572">
      <c r="A572" s="134"/>
      <c r="B572" s="134"/>
      <c r="C572" s="134"/>
      <c r="D572" s="134"/>
      <c r="E572" s="134"/>
      <c r="F572" s="134"/>
      <c r="G572" s="134"/>
      <c r="H572" s="134"/>
      <c r="I572" s="134"/>
      <c r="J572" s="134"/>
      <c r="K572" s="134"/>
      <c r="L572" s="134"/>
      <c r="M572" s="134"/>
      <c r="N572" s="134"/>
      <c r="O572" s="134"/>
      <c r="P572" s="134"/>
      <c r="Q572" s="134"/>
      <c r="R572" s="134"/>
      <c r="S572" s="134"/>
      <c r="T572" s="134"/>
      <c r="U572" s="134"/>
      <c r="V572" s="134"/>
      <c r="W572" s="134"/>
    </row>
    <row r="573">
      <c r="A573" s="134"/>
      <c r="B573" s="134"/>
      <c r="C573" s="134"/>
      <c r="D573" s="134"/>
      <c r="E573" s="134"/>
      <c r="F573" s="134"/>
      <c r="G573" s="134"/>
      <c r="H573" s="134"/>
      <c r="I573" s="134"/>
      <c r="J573" s="134"/>
      <c r="K573" s="134"/>
      <c r="L573" s="134"/>
      <c r="M573" s="134"/>
      <c r="N573" s="134"/>
      <c r="O573" s="134"/>
      <c r="P573" s="134"/>
      <c r="Q573" s="134"/>
      <c r="R573" s="134"/>
      <c r="S573" s="134"/>
      <c r="T573" s="134"/>
      <c r="U573" s="134"/>
      <c r="V573" s="134"/>
      <c r="W573" s="134"/>
    </row>
    <row r="574">
      <c r="A574" s="134"/>
      <c r="B574" s="134"/>
      <c r="C574" s="134"/>
      <c r="D574" s="134"/>
      <c r="E574" s="134"/>
      <c r="F574" s="134"/>
      <c r="G574" s="134"/>
      <c r="H574" s="134"/>
      <c r="I574" s="134"/>
      <c r="J574" s="134"/>
      <c r="K574" s="134"/>
      <c r="L574" s="134"/>
      <c r="M574" s="134"/>
      <c r="N574" s="134"/>
      <c r="O574" s="134"/>
      <c r="P574" s="134"/>
      <c r="Q574" s="134"/>
      <c r="R574" s="134"/>
      <c r="S574" s="134"/>
      <c r="T574" s="134"/>
      <c r="U574" s="134"/>
      <c r="V574" s="134"/>
      <c r="W574" s="134"/>
    </row>
    <row r="575">
      <c r="A575" s="134"/>
      <c r="B575" s="134"/>
      <c r="C575" s="134"/>
      <c r="D575" s="134"/>
      <c r="E575" s="134"/>
      <c r="F575" s="134"/>
      <c r="G575" s="134"/>
      <c r="H575" s="134"/>
      <c r="I575" s="134"/>
      <c r="J575" s="134"/>
      <c r="K575" s="134"/>
      <c r="L575" s="134"/>
      <c r="M575" s="134"/>
      <c r="N575" s="134"/>
      <c r="O575" s="134"/>
      <c r="P575" s="134"/>
      <c r="Q575" s="134"/>
      <c r="R575" s="134"/>
      <c r="S575" s="134"/>
      <c r="T575" s="134"/>
      <c r="U575" s="134"/>
      <c r="V575" s="134"/>
      <c r="W575" s="134"/>
    </row>
    <row r="576">
      <c r="A576" s="134"/>
      <c r="B576" s="134"/>
      <c r="C576" s="134"/>
      <c r="D576" s="134"/>
      <c r="E576" s="134"/>
      <c r="F576" s="134"/>
      <c r="G576" s="134"/>
      <c r="H576" s="134"/>
      <c r="I576" s="134"/>
      <c r="J576" s="134"/>
      <c r="K576" s="134"/>
      <c r="L576" s="134"/>
      <c r="M576" s="134"/>
      <c r="N576" s="134"/>
      <c r="O576" s="134"/>
      <c r="P576" s="134"/>
      <c r="Q576" s="134"/>
      <c r="R576" s="134"/>
      <c r="S576" s="134"/>
      <c r="T576" s="134"/>
      <c r="U576" s="134"/>
      <c r="V576" s="134"/>
      <c r="W576" s="134"/>
    </row>
    <row r="577">
      <c r="A577" s="134"/>
      <c r="B577" s="134"/>
      <c r="C577" s="134"/>
      <c r="D577" s="134"/>
      <c r="E577" s="134"/>
      <c r="F577" s="134"/>
      <c r="G577" s="134"/>
      <c r="H577" s="134"/>
      <c r="I577" s="134"/>
      <c r="J577" s="134"/>
      <c r="K577" s="134"/>
      <c r="L577" s="134"/>
      <c r="M577" s="134"/>
      <c r="N577" s="134"/>
      <c r="O577" s="134"/>
      <c r="P577" s="134"/>
      <c r="Q577" s="134"/>
      <c r="R577" s="134"/>
      <c r="S577" s="134"/>
      <c r="T577" s="134"/>
      <c r="U577" s="134"/>
      <c r="V577" s="134"/>
      <c r="W577" s="134"/>
    </row>
    <row r="578">
      <c r="A578" s="134"/>
      <c r="B578" s="134"/>
      <c r="C578" s="134"/>
      <c r="D578" s="134"/>
      <c r="E578" s="134"/>
      <c r="F578" s="134"/>
      <c r="G578" s="134"/>
      <c r="H578" s="134"/>
      <c r="I578" s="134"/>
      <c r="J578" s="134"/>
      <c r="K578" s="134"/>
      <c r="L578" s="134"/>
      <c r="M578" s="134"/>
      <c r="N578" s="134"/>
      <c r="O578" s="134"/>
      <c r="P578" s="134"/>
      <c r="Q578" s="134"/>
      <c r="R578" s="134"/>
      <c r="S578" s="134"/>
      <c r="T578" s="134"/>
      <c r="U578" s="134"/>
      <c r="V578" s="134"/>
      <c r="W578" s="134"/>
    </row>
    <row r="579">
      <c r="A579" s="134"/>
      <c r="B579" s="134"/>
      <c r="C579" s="134"/>
      <c r="D579" s="134"/>
      <c r="E579" s="134"/>
      <c r="F579" s="134"/>
      <c r="G579" s="134"/>
      <c r="H579" s="134"/>
      <c r="I579" s="134"/>
      <c r="J579" s="134"/>
      <c r="K579" s="134"/>
      <c r="L579" s="134"/>
      <c r="M579" s="134"/>
      <c r="N579" s="134"/>
      <c r="O579" s="134"/>
      <c r="P579" s="134"/>
      <c r="Q579" s="134"/>
      <c r="R579" s="134"/>
      <c r="S579" s="134"/>
      <c r="T579" s="134"/>
      <c r="U579" s="134"/>
      <c r="V579" s="134"/>
      <c r="W579" s="134"/>
    </row>
    <row r="580">
      <c r="A580" s="134"/>
      <c r="B580" s="134"/>
      <c r="C580" s="134"/>
      <c r="D580" s="134"/>
      <c r="E580" s="134"/>
      <c r="F580" s="134"/>
      <c r="G580" s="134"/>
      <c r="H580" s="134"/>
      <c r="I580" s="134"/>
      <c r="J580" s="134"/>
      <c r="K580" s="134"/>
      <c r="L580" s="134"/>
      <c r="M580" s="134"/>
      <c r="N580" s="134"/>
      <c r="O580" s="134"/>
      <c r="P580" s="134"/>
      <c r="Q580" s="134"/>
      <c r="R580" s="134"/>
      <c r="S580" s="134"/>
      <c r="T580" s="134"/>
      <c r="U580" s="134"/>
      <c r="V580" s="134"/>
      <c r="W580" s="134"/>
    </row>
    <row r="581">
      <c r="A581" s="134"/>
      <c r="B581" s="134"/>
      <c r="C581" s="134"/>
      <c r="D581" s="134"/>
      <c r="E581" s="134"/>
      <c r="F581" s="134"/>
      <c r="G581" s="134"/>
      <c r="H581" s="134"/>
      <c r="I581" s="134"/>
      <c r="J581" s="134"/>
      <c r="K581" s="134"/>
      <c r="L581" s="134"/>
      <c r="M581" s="134"/>
      <c r="N581" s="134"/>
      <c r="O581" s="134"/>
      <c r="P581" s="134"/>
      <c r="Q581" s="134"/>
      <c r="R581" s="134"/>
      <c r="S581" s="134"/>
      <c r="T581" s="134"/>
      <c r="U581" s="134"/>
      <c r="V581" s="134"/>
      <c r="W581" s="134"/>
    </row>
    <row r="582">
      <c r="A582" s="134"/>
      <c r="B582" s="134"/>
      <c r="C582" s="134"/>
      <c r="D582" s="134"/>
      <c r="E582" s="134"/>
      <c r="F582" s="134"/>
      <c r="G582" s="134"/>
      <c r="H582" s="134"/>
      <c r="I582" s="134"/>
      <c r="J582" s="134"/>
      <c r="K582" s="134"/>
      <c r="L582" s="134"/>
      <c r="M582" s="134"/>
      <c r="N582" s="134"/>
      <c r="O582" s="134"/>
      <c r="P582" s="134"/>
      <c r="Q582" s="134"/>
      <c r="R582" s="134"/>
      <c r="S582" s="134"/>
      <c r="T582" s="134"/>
      <c r="U582" s="134"/>
      <c r="V582" s="134"/>
      <c r="W582" s="134"/>
    </row>
    <row r="583">
      <c r="A583" s="134"/>
      <c r="B583" s="134"/>
      <c r="C583" s="134"/>
      <c r="D583" s="134"/>
      <c r="E583" s="134"/>
      <c r="F583" s="134"/>
      <c r="G583" s="134"/>
      <c r="H583" s="134"/>
      <c r="I583" s="134"/>
      <c r="J583" s="134"/>
      <c r="K583" s="134"/>
      <c r="L583" s="134"/>
      <c r="M583" s="134"/>
      <c r="N583" s="134"/>
      <c r="O583" s="134"/>
      <c r="P583" s="134"/>
      <c r="Q583" s="134"/>
      <c r="R583" s="134"/>
      <c r="S583" s="134"/>
      <c r="T583" s="134"/>
      <c r="U583" s="134"/>
      <c r="V583" s="134"/>
      <c r="W583" s="134"/>
    </row>
    <row r="584">
      <c r="A584" s="134"/>
      <c r="B584" s="134"/>
      <c r="C584" s="134"/>
      <c r="D584" s="134"/>
      <c r="E584" s="134"/>
      <c r="F584" s="134"/>
      <c r="G584" s="134"/>
      <c r="H584" s="134"/>
      <c r="I584" s="134"/>
      <c r="J584" s="134"/>
      <c r="K584" s="134"/>
      <c r="L584" s="134"/>
      <c r="M584" s="134"/>
      <c r="N584" s="134"/>
      <c r="O584" s="134"/>
      <c r="P584" s="134"/>
      <c r="Q584" s="134"/>
      <c r="R584" s="134"/>
      <c r="S584" s="134"/>
      <c r="T584" s="134"/>
      <c r="U584" s="134"/>
      <c r="V584" s="134"/>
      <c r="W584" s="134"/>
    </row>
    <row r="585">
      <c r="A585" s="134"/>
      <c r="B585" s="134"/>
      <c r="C585" s="134"/>
      <c r="D585" s="134"/>
      <c r="E585" s="134"/>
      <c r="F585" s="134"/>
      <c r="G585" s="134"/>
      <c r="H585" s="134"/>
      <c r="I585" s="134"/>
      <c r="J585" s="134"/>
      <c r="K585" s="134"/>
      <c r="L585" s="134"/>
      <c r="M585" s="134"/>
      <c r="N585" s="134"/>
      <c r="O585" s="134"/>
      <c r="P585" s="134"/>
      <c r="Q585" s="134"/>
      <c r="R585" s="134"/>
      <c r="S585" s="134"/>
      <c r="T585" s="134"/>
      <c r="U585" s="134"/>
      <c r="V585" s="134"/>
      <c r="W585" s="134"/>
    </row>
    <row r="586">
      <c r="A586" s="134"/>
      <c r="B586" s="134"/>
      <c r="C586" s="134"/>
      <c r="D586" s="134"/>
      <c r="E586" s="134"/>
      <c r="F586" s="134"/>
      <c r="G586" s="134"/>
      <c r="H586" s="134"/>
      <c r="I586" s="134"/>
      <c r="J586" s="134"/>
      <c r="K586" s="134"/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  <c r="V586" s="134"/>
      <c r="W586" s="134"/>
    </row>
    <row r="587">
      <c r="A587" s="134"/>
      <c r="B587" s="134"/>
      <c r="C587" s="134"/>
      <c r="D587" s="134"/>
      <c r="E587" s="134"/>
      <c r="F587" s="134"/>
      <c r="G587" s="134"/>
      <c r="H587" s="134"/>
      <c r="I587" s="134"/>
      <c r="J587" s="134"/>
      <c r="K587" s="134"/>
      <c r="L587" s="134"/>
      <c r="M587" s="134"/>
      <c r="N587" s="134"/>
      <c r="O587" s="134"/>
      <c r="P587" s="134"/>
      <c r="Q587" s="134"/>
      <c r="R587" s="134"/>
      <c r="S587" s="134"/>
      <c r="T587" s="134"/>
      <c r="U587" s="134"/>
      <c r="V587" s="134"/>
      <c r="W587" s="134"/>
    </row>
    <row r="588">
      <c r="A588" s="134"/>
      <c r="B588" s="134"/>
      <c r="C588" s="134"/>
      <c r="D588" s="134"/>
      <c r="E588" s="134"/>
      <c r="F588" s="134"/>
      <c r="G588" s="134"/>
      <c r="H588" s="134"/>
      <c r="I588" s="134"/>
      <c r="J588" s="134"/>
      <c r="K588" s="134"/>
      <c r="L588" s="134"/>
      <c r="M588" s="134"/>
      <c r="N588" s="134"/>
      <c r="O588" s="134"/>
      <c r="P588" s="134"/>
      <c r="Q588" s="134"/>
      <c r="R588" s="134"/>
      <c r="S588" s="134"/>
      <c r="T588" s="134"/>
      <c r="U588" s="134"/>
      <c r="V588" s="134"/>
      <c r="W588" s="134"/>
    </row>
    <row r="589">
      <c r="A589" s="134"/>
      <c r="B589" s="134"/>
      <c r="C589" s="134"/>
      <c r="D589" s="134"/>
      <c r="E589" s="134"/>
      <c r="F589" s="134"/>
      <c r="G589" s="134"/>
      <c r="H589" s="134"/>
      <c r="I589" s="134"/>
      <c r="J589" s="134"/>
      <c r="K589" s="134"/>
      <c r="L589" s="134"/>
      <c r="M589" s="134"/>
      <c r="N589" s="134"/>
      <c r="O589" s="134"/>
      <c r="P589" s="134"/>
      <c r="Q589" s="134"/>
      <c r="R589" s="134"/>
      <c r="S589" s="134"/>
      <c r="T589" s="134"/>
      <c r="U589" s="134"/>
      <c r="V589" s="134"/>
      <c r="W589" s="134"/>
    </row>
    <row r="590">
      <c r="A590" s="134"/>
      <c r="B590" s="134"/>
      <c r="C590" s="134"/>
      <c r="D590" s="134"/>
      <c r="E590" s="134"/>
      <c r="F590" s="134"/>
      <c r="G590" s="134"/>
      <c r="H590" s="134"/>
      <c r="I590" s="134"/>
      <c r="J590" s="134"/>
      <c r="K590" s="134"/>
      <c r="L590" s="134"/>
      <c r="M590" s="134"/>
      <c r="N590" s="134"/>
      <c r="O590" s="134"/>
      <c r="P590" s="134"/>
      <c r="Q590" s="134"/>
      <c r="R590" s="134"/>
      <c r="S590" s="134"/>
      <c r="T590" s="134"/>
      <c r="U590" s="134"/>
      <c r="V590" s="134"/>
      <c r="W590" s="134"/>
    </row>
    <row r="591">
      <c r="A591" s="134"/>
      <c r="B591" s="134"/>
      <c r="C591" s="134"/>
      <c r="D591" s="134"/>
      <c r="E591" s="134"/>
      <c r="F591" s="134"/>
      <c r="G591" s="134"/>
      <c r="H591" s="134"/>
      <c r="I591" s="134"/>
      <c r="J591" s="134"/>
      <c r="K591" s="134"/>
      <c r="L591" s="134"/>
      <c r="M591" s="134"/>
      <c r="N591" s="134"/>
      <c r="O591" s="134"/>
      <c r="P591" s="134"/>
      <c r="Q591" s="134"/>
      <c r="R591" s="134"/>
      <c r="S591" s="134"/>
      <c r="T591" s="134"/>
      <c r="U591" s="134"/>
      <c r="V591" s="134"/>
      <c r="W591" s="134"/>
    </row>
    <row r="592">
      <c r="A592" s="134"/>
      <c r="B592" s="134"/>
      <c r="C592" s="134"/>
      <c r="D592" s="134"/>
      <c r="E592" s="134"/>
      <c r="F592" s="134"/>
      <c r="G592" s="134"/>
      <c r="H592" s="134"/>
      <c r="I592" s="134"/>
      <c r="J592" s="134"/>
      <c r="K592" s="134"/>
      <c r="L592" s="134"/>
      <c r="M592" s="134"/>
      <c r="N592" s="134"/>
      <c r="O592" s="134"/>
      <c r="P592" s="134"/>
      <c r="Q592" s="134"/>
      <c r="R592" s="134"/>
      <c r="S592" s="134"/>
      <c r="T592" s="134"/>
      <c r="U592" s="134"/>
      <c r="V592" s="134"/>
      <c r="W592" s="134"/>
    </row>
    <row r="593">
      <c r="A593" s="134"/>
      <c r="B593" s="134"/>
      <c r="C593" s="134"/>
      <c r="D593" s="134"/>
      <c r="E593" s="134"/>
      <c r="F593" s="134"/>
      <c r="G593" s="134"/>
      <c r="H593" s="134"/>
      <c r="I593" s="134"/>
      <c r="J593" s="134"/>
      <c r="K593" s="134"/>
      <c r="L593" s="134"/>
      <c r="M593" s="134"/>
      <c r="N593" s="134"/>
      <c r="O593" s="134"/>
      <c r="P593" s="134"/>
      <c r="Q593" s="134"/>
      <c r="R593" s="134"/>
      <c r="S593" s="134"/>
      <c r="T593" s="134"/>
      <c r="U593" s="134"/>
      <c r="V593" s="134"/>
      <c r="W593" s="134"/>
    </row>
    <row r="594">
      <c r="A594" s="134"/>
      <c r="B594" s="134"/>
      <c r="C594" s="134"/>
      <c r="D594" s="134"/>
      <c r="E594" s="134"/>
      <c r="F594" s="134"/>
      <c r="G594" s="134"/>
      <c r="H594" s="134"/>
      <c r="I594" s="134"/>
      <c r="J594" s="134"/>
      <c r="K594" s="134"/>
      <c r="L594" s="134"/>
      <c r="M594" s="134"/>
      <c r="N594" s="134"/>
      <c r="O594" s="134"/>
      <c r="P594" s="134"/>
      <c r="Q594" s="134"/>
      <c r="R594" s="134"/>
      <c r="S594" s="134"/>
      <c r="T594" s="134"/>
      <c r="U594" s="134"/>
      <c r="V594" s="134"/>
      <c r="W594" s="134"/>
    </row>
    <row r="595">
      <c r="A595" s="134"/>
      <c r="B595" s="134"/>
      <c r="C595" s="134"/>
      <c r="D595" s="134"/>
      <c r="E595" s="134"/>
      <c r="F595" s="134"/>
      <c r="G595" s="134"/>
      <c r="H595" s="134"/>
      <c r="I595" s="134"/>
      <c r="J595" s="134"/>
      <c r="K595" s="134"/>
      <c r="L595" s="134"/>
      <c r="M595" s="134"/>
      <c r="N595" s="134"/>
      <c r="O595" s="134"/>
      <c r="P595" s="134"/>
      <c r="Q595" s="134"/>
      <c r="R595" s="134"/>
      <c r="S595" s="134"/>
      <c r="T595" s="134"/>
      <c r="U595" s="134"/>
      <c r="V595" s="134"/>
      <c r="W595" s="134"/>
    </row>
    <row r="596">
      <c r="A596" s="134"/>
      <c r="B596" s="134"/>
      <c r="C596" s="134"/>
      <c r="D596" s="134"/>
      <c r="E596" s="134"/>
      <c r="F596" s="134"/>
      <c r="G596" s="134"/>
      <c r="H596" s="134"/>
      <c r="I596" s="134"/>
      <c r="J596" s="134"/>
      <c r="K596" s="134"/>
      <c r="L596" s="134"/>
      <c r="M596" s="134"/>
      <c r="N596" s="134"/>
      <c r="O596" s="134"/>
      <c r="P596" s="134"/>
      <c r="Q596" s="134"/>
      <c r="R596" s="134"/>
      <c r="S596" s="134"/>
      <c r="T596" s="134"/>
      <c r="U596" s="134"/>
      <c r="V596" s="134"/>
      <c r="W596" s="134"/>
    </row>
    <row r="597">
      <c r="A597" s="134"/>
      <c r="B597" s="134"/>
      <c r="C597" s="134"/>
      <c r="D597" s="134"/>
      <c r="E597" s="134"/>
      <c r="F597" s="134"/>
      <c r="G597" s="134"/>
      <c r="H597" s="134"/>
      <c r="I597" s="134"/>
      <c r="J597" s="134"/>
      <c r="K597" s="134"/>
      <c r="L597" s="134"/>
      <c r="M597" s="134"/>
      <c r="N597" s="134"/>
      <c r="O597" s="134"/>
      <c r="P597" s="134"/>
      <c r="Q597" s="134"/>
      <c r="R597" s="134"/>
      <c r="S597" s="134"/>
      <c r="T597" s="134"/>
      <c r="U597" s="134"/>
      <c r="V597" s="134"/>
      <c r="W597" s="134"/>
    </row>
    <row r="598">
      <c r="A598" s="134"/>
      <c r="B598" s="134"/>
      <c r="C598" s="134"/>
      <c r="D598" s="134"/>
      <c r="E598" s="134"/>
      <c r="F598" s="134"/>
      <c r="G598" s="134"/>
      <c r="H598" s="134"/>
      <c r="I598" s="134"/>
      <c r="J598" s="134"/>
      <c r="K598" s="134"/>
      <c r="L598" s="134"/>
      <c r="M598" s="134"/>
      <c r="N598" s="134"/>
      <c r="O598" s="134"/>
      <c r="P598" s="134"/>
      <c r="Q598" s="134"/>
      <c r="R598" s="134"/>
      <c r="S598" s="134"/>
      <c r="T598" s="134"/>
      <c r="U598" s="134"/>
      <c r="V598" s="134"/>
      <c r="W598" s="134"/>
    </row>
    <row r="599">
      <c r="A599" s="134"/>
      <c r="B599" s="134"/>
      <c r="C599" s="134"/>
      <c r="D599" s="134"/>
      <c r="E599" s="134"/>
      <c r="F599" s="134"/>
      <c r="G599" s="134"/>
      <c r="H599" s="134"/>
      <c r="I599" s="134"/>
      <c r="J599" s="134"/>
      <c r="K599" s="134"/>
      <c r="L599" s="134"/>
      <c r="M599" s="134"/>
      <c r="N599" s="134"/>
      <c r="O599" s="134"/>
      <c r="P599" s="134"/>
      <c r="Q599" s="134"/>
      <c r="R599" s="134"/>
      <c r="S599" s="134"/>
      <c r="T599" s="134"/>
      <c r="U599" s="134"/>
      <c r="V599" s="134"/>
      <c r="W599" s="134"/>
    </row>
    <row r="600">
      <c r="A600" s="134"/>
      <c r="B600" s="134"/>
      <c r="C600" s="134"/>
      <c r="D600" s="134"/>
      <c r="E600" s="134"/>
      <c r="F600" s="134"/>
      <c r="G600" s="134"/>
      <c r="H600" s="134"/>
      <c r="I600" s="134"/>
      <c r="J600" s="134"/>
      <c r="K600" s="134"/>
      <c r="L600" s="134"/>
      <c r="M600" s="134"/>
      <c r="N600" s="134"/>
      <c r="O600" s="134"/>
      <c r="P600" s="134"/>
      <c r="Q600" s="134"/>
      <c r="R600" s="134"/>
      <c r="S600" s="134"/>
      <c r="T600" s="134"/>
      <c r="U600" s="134"/>
      <c r="V600" s="134"/>
      <c r="W600" s="134"/>
    </row>
    <row r="601">
      <c r="A601" s="134"/>
      <c r="B601" s="134"/>
      <c r="C601" s="134"/>
      <c r="D601" s="134"/>
      <c r="E601" s="134"/>
      <c r="F601" s="134"/>
      <c r="G601" s="134"/>
      <c r="H601" s="134"/>
      <c r="I601" s="134"/>
      <c r="J601" s="134"/>
      <c r="K601" s="134"/>
      <c r="L601" s="134"/>
      <c r="M601" s="134"/>
      <c r="N601" s="134"/>
      <c r="O601" s="134"/>
      <c r="P601" s="134"/>
      <c r="Q601" s="134"/>
      <c r="R601" s="134"/>
      <c r="S601" s="134"/>
      <c r="T601" s="134"/>
      <c r="U601" s="134"/>
      <c r="V601" s="134"/>
      <c r="W601" s="134"/>
    </row>
    <row r="602">
      <c r="A602" s="134"/>
      <c r="B602" s="134"/>
      <c r="C602" s="134"/>
      <c r="D602" s="134"/>
      <c r="E602" s="134"/>
      <c r="F602" s="134"/>
      <c r="G602" s="134"/>
      <c r="H602" s="134"/>
      <c r="I602" s="134"/>
      <c r="J602" s="134"/>
      <c r="K602" s="134"/>
      <c r="L602" s="134"/>
      <c r="M602" s="134"/>
      <c r="N602" s="134"/>
      <c r="O602" s="134"/>
      <c r="P602" s="134"/>
      <c r="Q602" s="134"/>
      <c r="R602" s="134"/>
      <c r="S602" s="134"/>
      <c r="T602" s="134"/>
      <c r="U602" s="134"/>
      <c r="V602" s="134"/>
      <c r="W602" s="134"/>
    </row>
    <row r="603">
      <c r="A603" s="134"/>
      <c r="B603" s="134"/>
      <c r="C603" s="134"/>
      <c r="D603" s="134"/>
      <c r="E603" s="134"/>
      <c r="F603" s="134"/>
      <c r="G603" s="134"/>
      <c r="H603" s="134"/>
      <c r="I603" s="134"/>
      <c r="J603" s="134"/>
      <c r="K603" s="134"/>
      <c r="L603" s="134"/>
      <c r="M603" s="134"/>
      <c r="N603" s="134"/>
      <c r="O603" s="134"/>
      <c r="P603" s="134"/>
      <c r="Q603" s="134"/>
      <c r="R603" s="134"/>
      <c r="S603" s="134"/>
      <c r="T603" s="134"/>
      <c r="U603" s="134"/>
      <c r="V603" s="134"/>
      <c r="W603" s="134"/>
    </row>
    <row r="604">
      <c r="A604" s="134"/>
      <c r="B604" s="134"/>
      <c r="C604" s="134"/>
      <c r="D604" s="134"/>
      <c r="E604" s="134"/>
      <c r="F604" s="134"/>
      <c r="G604" s="134"/>
      <c r="H604" s="134"/>
      <c r="I604" s="134"/>
      <c r="J604" s="134"/>
      <c r="K604" s="134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  <c r="V604" s="134"/>
      <c r="W604" s="134"/>
    </row>
    <row r="605">
      <c r="A605" s="134"/>
      <c r="B605" s="134"/>
      <c r="C605" s="134"/>
      <c r="D605" s="134"/>
      <c r="E605" s="134"/>
      <c r="F605" s="134"/>
      <c r="G605" s="134"/>
      <c r="H605" s="134"/>
      <c r="I605" s="134"/>
      <c r="J605" s="134"/>
      <c r="K605" s="134"/>
      <c r="L605" s="134"/>
      <c r="M605" s="134"/>
      <c r="N605" s="134"/>
      <c r="O605" s="134"/>
      <c r="P605" s="134"/>
      <c r="Q605" s="134"/>
      <c r="R605" s="134"/>
      <c r="S605" s="134"/>
      <c r="T605" s="134"/>
      <c r="U605" s="134"/>
      <c r="V605" s="134"/>
      <c r="W605" s="134"/>
    </row>
    <row r="606">
      <c r="A606" s="134"/>
      <c r="B606" s="134"/>
      <c r="C606" s="134"/>
      <c r="D606" s="134"/>
      <c r="E606" s="134"/>
      <c r="F606" s="134"/>
      <c r="G606" s="134"/>
      <c r="H606" s="134"/>
      <c r="I606" s="134"/>
      <c r="J606" s="134"/>
      <c r="K606" s="134"/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  <c r="V606" s="134"/>
      <c r="W606" s="134"/>
    </row>
    <row r="607">
      <c r="A607" s="134"/>
      <c r="B607" s="134"/>
      <c r="C607" s="134"/>
      <c r="D607" s="134"/>
      <c r="E607" s="134"/>
      <c r="F607" s="134"/>
      <c r="G607" s="134"/>
      <c r="H607" s="134"/>
      <c r="I607" s="134"/>
      <c r="J607" s="134"/>
      <c r="K607" s="134"/>
      <c r="L607" s="134"/>
      <c r="M607" s="134"/>
      <c r="N607" s="134"/>
      <c r="O607" s="134"/>
      <c r="P607" s="134"/>
      <c r="Q607" s="134"/>
      <c r="R607" s="134"/>
      <c r="S607" s="134"/>
      <c r="T607" s="134"/>
      <c r="U607" s="134"/>
      <c r="V607" s="134"/>
      <c r="W607" s="134"/>
    </row>
    <row r="608">
      <c r="A608" s="134"/>
      <c r="B608" s="134"/>
      <c r="C608" s="134"/>
      <c r="D608" s="134"/>
      <c r="E608" s="134"/>
      <c r="F608" s="134"/>
      <c r="G608" s="134"/>
      <c r="H608" s="134"/>
      <c r="I608" s="134"/>
      <c r="J608" s="134"/>
      <c r="K608" s="134"/>
      <c r="L608" s="134"/>
      <c r="M608" s="134"/>
      <c r="N608" s="134"/>
      <c r="O608" s="134"/>
      <c r="P608" s="134"/>
      <c r="Q608" s="134"/>
      <c r="R608" s="134"/>
      <c r="S608" s="134"/>
      <c r="T608" s="134"/>
      <c r="U608" s="134"/>
      <c r="V608" s="134"/>
      <c r="W608" s="134"/>
    </row>
    <row r="609">
      <c r="A609" s="134"/>
      <c r="B609" s="134"/>
      <c r="C609" s="134"/>
      <c r="D609" s="134"/>
      <c r="E609" s="134"/>
      <c r="F609" s="134"/>
      <c r="G609" s="134"/>
      <c r="H609" s="134"/>
      <c r="I609" s="134"/>
      <c r="J609" s="134"/>
      <c r="K609" s="134"/>
      <c r="L609" s="134"/>
      <c r="M609" s="134"/>
      <c r="N609" s="134"/>
      <c r="O609" s="134"/>
      <c r="P609" s="134"/>
      <c r="Q609" s="134"/>
      <c r="R609" s="134"/>
      <c r="S609" s="134"/>
      <c r="T609" s="134"/>
      <c r="U609" s="134"/>
      <c r="V609" s="134"/>
      <c r="W609" s="134"/>
    </row>
    <row r="610">
      <c r="A610" s="134"/>
      <c r="B610" s="134"/>
      <c r="C610" s="134"/>
      <c r="D610" s="134"/>
      <c r="E610" s="134"/>
      <c r="F610" s="134"/>
      <c r="G610" s="134"/>
      <c r="H610" s="134"/>
      <c r="I610" s="134"/>
      <c r="J610" s="134"/>
      <c r="K610" s="134"/>
      <c r="L610" s="134"/>
      <c r="M610" s="134"/>
      <c r="N610" s="134"/>
      <c r="O610" s="134"/>
      <c r="P610" s="134"/>
      <c r="Q610" s="134"/>
      <c r="R610" s="134"/>
      <c r="S610" s="134"/>
      <c r="T610" s="134"/>
      <c r="U610" s="134"/>
      <c r="V610" s="134"/>
      <c r="W610" s="134"/>
    </row>
    <row r="611">
      <c r="A611" s="134"/>
      <c r="B611" s="134"/>
      <c r="C611" s="134"/>
      <c r="D611" s="134"/>
      <c r="E611" s="134"/>
      <c r="F611" s="134"/>
      <c r="G611" s="134"/>
      <c r="H611" s="134"/>
      <c r="I611" s="134"/>
      <c r="J611" s="134"/>
      <c r="K611" s="134"/>
      <c r="L611" s="134"/>
      <c r="M611" s="134"/>
      <c r="N611" s="134"/>
      <c r="O611" s="134"/>
      <c r="P611" s="134"/>
      <c r="Q611" s="134"/>
      <c r="R611" s="134"/>
      <c r="S611" s="134"/>
      <c r="T611" s="134"/>
      <c r="U611" s="134"/>
      <c r="V611" s="134"/>
      <c r="W611" s="134"/>
    </row>
    <row r="612">
      <c r="A612" s="134"/>
      <c r="B612" s="134"/>
      <c r="C612" s="134"/>
      <c r="D612" s="134"/>
      <c r="E612" s="134"/>
      <c r="F612" s="134"/>
      <c r="G612" s="134"/>
      <c r="H612" s="134"/>
      <c r="I612" s="134"/>
      <c r="J612" s="134"/>
      <c r="K612" s="134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  <c r="V612" s="134"/>
      <c r="W612" s="134"/>
    </row>
    <row r="613">
      <c r="A613" s="134"/>
      <c r="B613" s="134"/>
      <c r="C613" s="134"/>
      <c r="D613" s="134"/>
      <c r="E613" s="134"/>
      <c r="F613" s="134"/>
      <c r="G613" s="134"/>
      <c r="H613" s="134"/>
      <c r="I613" s="134"/>
      <c r="J613" s="134"/>
      <c r="K613" s="134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  <c r="V613" s="134"/>
      <c r="W613" s="134"/>
    </row>
    <row r="614">
      <c r="A614" s="134"/>
      <c r="B614" s="134"/>
      <c r="C614" s="134"/>
      <c r="D614" s="134"/>
      <c r="E614" s="134"/>
      <c r="F614" s="134"/>
      <c r="G614" s="134"/>
      <c r="H614" s="134"/>
      <c r="I614" s="134"/>
      <c r="J614" s="134"/>
      <c r="K614" s="134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  <c r="V614" s="134"/>
      <c r="W614" s="134"/>
    </row>
    <row r="615">
      <c r="A615" s="134"/>
      <c r="B615" s="134"/>
      <c r="C615" s="134"/>
      <c r="D615" s="134"/>
      <c r="E615" s="134"/>
      <c r="F615" s="134"/>
      <c r="G615" s="134"/>
      <c r="H615" s="134"/>
      <c r="I615" s="134"/>
      <c r="J615" s="134"/>
      <c r="K615" s="134"/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  <c r="V615" s="134"/>
      <c r="W615" s="134"/>
    </row>
    <row r="616">
      <c r="A616" s="134"/>
      <c r="B616" s="134"/>
      <c r="C616" s="134"/>
      <c r="D616" s="134"/>
      <c r="E616" s="134"/>
      <c r="F616" s="134"/>
      <c r="G616" s="134"/>
      <c r="H616" s="134"/>
      <c r="I616" s="134"/>
      <c r="J616" s="134"/>
      <c r="K616" s="134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  <c r="V616" s="134"/>
      <c r="W616" s="134"/>
    </row>
    <row r="617">
      <c r="A617" s="134"/>
      <c r="B617" s="134"/>
      <c r="C617" s="134"/>
      <c r="D617" s="134"/>
      <c r="E617" s="134"/>
      <c r="F617" s="134"/>
      <c r="G617" s="134"/>
      <c r="H617" s="134"/>
      <c r="I617" s="134"/>
      <c r="J617" s="134"/>
      <c r="K617" s="134"/>
      <c r="L617" s="134"/>
      <c r="M617" s="134"/>
      <c r="N617" s="134"/>
      <c r="O617" s="134"/>
      <c r="P617" s="134"/>
      <c r="Q617" s="134"/>
      <c r="R617" s="134"/>
      <c r="S617" s="134"/>
      <c r="T617" s="134"/>
      <c r="U617" s="134"/>
      <c r="V617" s="134"/>
      <c r="W617" s="134"/>
    </row>
    <row r="618">
      <c r="A618" s="134"/>
      <c r="B618" s="134"/>
      <c r="C618" s="134"/>
      <c r="D618" s="134"/>
      <c r="E618" s="134"/>
      <c r="F618" s="134"/>
      <c r="G618" s="134"/>
      <c r="H618" s="134"/>
      <c r="I618" s="134"/>
      <c r="J618" s="134"/>
      <c r="K618" s="134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  <c r="V618" s="134"/>
      <c r="W618" s="134"/>
    </row>
    <row r="619">
      <c r="A619" s="134"/>
      <c r="B619" s="134"/>
      <c r="C619" s="134"/>
      <c r="D619" s="134"/>
      <c r="E619" s="134"/>
      <c r="F619" s="134"/>
      <c r="G619" s="134"/>
      <c r="H619" s="134"/>
      <c r="I619" s="134"/>
      <c r="J619" s="134"/>
      <c r="K619" s="134"/>
      <c r="L619" s="134"/>
      <c r="M619" s="134"/>
      <c r="N619" s="134"/>
      <c r="O619" s="134"/>
      <c r="P619" s="134"/>
      <c r="Q619" s="134"/>
      <c r="R619" s="134"/>
      <c r="S619" s="134"/>
      <c r="T619" s="134"/>
      <c r="U619" s="134"/>
      <c r="V619" s="134"/>
      <c r="W619" s="134"/>
    </row>
    <row r="620">
      <c r="A620" s="134"/>
      <c r="B620" s="134"/>
      <c r="C620" s="134"/>
      <c r="D620" s="134"/>
      <c r="E620" s="134"/>
      <c r="F620" s="134"/>
      <c r="G620" s="134"/>
      <c r="H620" s="134"/>
      <c r="I620" s="134"/>
      <c r="J620" s="134"/>
      <c r="K620" s="134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  <c r="V620" s="134"/>
      <c r="W620" s="134"/>
    </row>
    <row r="621">
      <c r="A621" s="134"/>
      <c r="B621" s="134"/>
      <c r="C621" s="134"/>
      <c r="D621" s="134"/>
      <c r="E621" s="134"/>
      <c r="F621" s="134"/>
      <c r="G621" s="134"/>
      <c r="H621" s="134"/>
      <c r="I621" s="134"/>
      <c r="J621" s="134"/>
      <c r="K621" s="134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  <c r="V621" s="134"/>
      <c r="W621" s="134"/>
    </row>
    <row r="622">
      <c r="A622" s="134"/>
      <c r="B622" s="134"/>
      <c r="C622" s="134"/>
      <c r="D622" s="134"/>
      <c r="E622" s="134"/>
      <c r="F622" s="134"/>
      <c r="G622" s="134"/>
      <c r="H622" s="134"/>
      <c r="I622" s="134"/>
      <c r="J622" s="134"/>
      <c r="K622" s="134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  <c r="V622" s="134"/>
      <c r="W622" s="134"/>
    </row>
    <row r="623">
      <c r="A623" s="134"/>
      <c r="B623" s="134"/>
      <c r="C623" s="134"/>
      <c r="D623" s="134"/>
      <c r="E623" s="134"/>
      <c r="F623" s="134"/>
      <c r="G623" s="134"/>
      <c r="H623" s="134"/>
      <c r="I623" s="134"/>
      <c r="J623" s="134"/>
      <c r="K623" s="134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  <c r="V623" s="134"/>
      <c r="W623" s="134"/>
    </row>
    <row r="624">
      <c r="A624" s="134"/>
      <c r="B624" s="134"/>
      <c r="C624" s="134"/>
      <c r="D624" s="134"/>
      <c r="E624" s="134"/>
      <c r="F624" s="134"/>
      <c r="G624" s="134"/>
      <c r="H624" s="134"/>
      <c r="I624" s="134"/>
      <c r="J624" s="134"/>
      <c r="K624" s="134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  <c r="V624" s="134"/>
      <c r="W624" s="134"/>
    </row>
    <row r="625">
      <c r="A625" s="134"/>
      <c r="B625" s="134"/>
      <c r="C625" s="134"/>
      <c r="D625" s="134"/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  <c r="V625" s="134"/>
      <c r="W625" s="134"/>
    </row>
    <row r="626">
      <c r="A626" s="134"/>
      <c r="B626" s="134"/>
      <c r="C626" s="134"/>
      <c r="D626" s="134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  <c r="V626" s="134"/>
      <c r="W626" s="134"/>
    </row>
    <row r="627">
      <c r="A627" s="134"/>
      <c r="B627" s="134"/>
      <c r="C627" s="134"/>
      <c r="D627" s="134"/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  <c r="V627" s="134"/>
      <c r="W627" s="134"/>
    </row>
    <row r="628">
      <c r="A628" s="134"/>
      <c r="B628" s="134"/>
      <c r="C628" s="134"/>
      <c r="D628" s="134"/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  <c r="V628" s="134"/>
      <c r="W628" s="134"/>
    </row>
    <row r="629">
      <c r="A629" s="134"/>
      <c r="B629" s="134"/>
      <c r="C629" s="134"/>
      <c r="D629" s="134"/>
      <c r="E629" s="134"/>
      <c r="F629" s="134"/>
      <c r="G629" s="134"/>
      <c r="H629" s="134"/>
      <c r="I629" s="134"/>
      <c r="J629" s="134"/>
      <c r="K629" s="134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  <c r="V629" s="134"/>
      <c r="W629" s="134"/>
    </row>
    <row r="630">
      <c r="A630" s="134"/>
      <c r="B630" s="134"/>
      <c r="C630" s="134"/>
      <c r="D630" s="134"/>
      <c r="E630" s="134"/>
      <c r="F630" s="134"/>
      <c r="G630" s="134"/>
      <c r="H630" s="134"/>
      <c r="I630" s="134"/>
      <c r="J630" s="134"/>
      <c r="K630" s="134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  <c r="V630" s="134"/>
      <c r="W630" s="134"/>
    </row>
    <row r="631">
      <c r="A631" s="134"/>
      <c r="B631" s="134"/>
      <c r="C631" s="134"/>
      <c r="D631" s="134"/>
      <c r="E631" s="134"/>
      <c r="F631" s="134"/>
      <c r="G631" s="134"/>
      <c r="H631" s="134"/>
      <c r="I631" s="134"/>
      <c r="J631" s="134"/>
      <c r="K631" s="134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  <c r="V631" s="134"/>
      <c r="W631" s="134"/>
    </row>
    <row r="632">
      <c r="A632" s="134"/>
      <c r="B632" s="134"/>
      <c r="C632" s="134"/>
      <c r="D632" s="134"/>
      <c r="E632" s="134"/>
      <c r="F632" s="134"/>
      <c r="G632" s="134"/>
      <c r="H632" s="134"/>
      <c r="I632" s="134"/>
      <c r="J632" s="134"/>
      <c r="K632" s="134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  <c r="V632" s="134"/>
      <c r="W632" s="134"/>
    </row>
    <row r="633">
      <c r="A633" s="134"/>
      <c r="B633" s="134"/>
      <c r="C633" s="134"/>
      <c r="D633" s="134"/>
      <c r="E633" s="134"/>
      <c r="F633" s="134"/>
      <c r="G633" s="134"/>
      <c r="H633" s="134"/>
      <c r="I633" s="134"/>
      <c r="J633" s="134"/>
      <c r="K633" s="134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  <c r="V633" s="134"/>
      <c r="W633" s="134"/>
    </row>
    <row r="634">
      <c r="A634" s="134"/>
      <c r="B634" s="134"/>
      <c r="C634" s="134"/>
      <c r="D634" s="134"/>
      <c r="E634" s="134"/>
      <c r="F634" s="134"/>
      <c r="G634" s="134"/>
      <c r="H634" s="134"/>
      <c r="I634" s="134"/>
      <c r="J634" s="134"/>
      <c r="K634" s="134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  <c r="V634" s="134"/>
      <c r="W634" s="134"/>
    </row>
    <row r="635">
      <c r="A635" s="134"/>
      <c r="B635" s="134"/>
      <c r="C635" s="134"/>
      <c r="D635" s="134"/>
      <c r="E635" s="134"/>
      <c r="F635" s="134"/>
      <c r="G635" s="134"/>
      <c r="H635" s="134"/>
      <c r="I635" s="134"/>
      <c r="J635" s="134"/>
      <c r="K635" s="134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  <c r="V635" s="134"/>
      <c r="W635" s="134"/>
    </row>
    <row r="636">
      <c r="A636" s="134"/>
      <c r="B636" s="134"/>
      <c r="C636" s="134"/>
      <c r="D636" s="134"/>
      <c r="E636" s="134"/>
      <c r="F636" s="134"/>
      <c r="G636" s="134"/>
      <c r="H636" s="134"/>
      <c r="I636" s="134"/>
      <c r="J636" s="134"/>
      <c r="K636" s="134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  <c r="V636" s="134"/>
      <c r="W636" s="134"/>
    </row>
    <row r="637">
      <c r="A637" s="134"/>
      <c r="B637" s="134"/>
      <c r="C637" s="134"/>
      <c r="D637" s="134"/>
      <c r="E637" s="134"/>
      <c r="F637" s="134"/>
      <c r="G637" s="134"/>
      <c r="H637" s="134"/>
      <c r="I637" s="134"/>
      <c r="J637" s="134"/>
      <c r="K637" s="134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  <c r="V637" s="134"/>
      <c r="W637" s="134"/>
    </row>
    <row r="638">
      <c r="A638" s="134"/>
      <c r="B638" s="134"/>
      <c r="C638" s="134"/>
      <c r="D638" s="134"/>
      <c r="E638" s="134"/>
      <c r="F638" s="134"/>
      <c r="G638" s="134"/>
      <c r="H638" s="134"/>
      <c r="I638" s="134"/>
      <c r="J638" s="134"/>
      <c r="K638" s="134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  <c r="V638" s="134"/>
      <c r="W638" s="134"/>
    </row>
    <row r="639">
      <c r="A639" s="134"/>
      <c r="B639" s="134"/>
      <c r="C639" s="134"/>
      <c r="D639" s="134"/>
      <c r="E639" s="134"/>
      <c r="F639" s="134"/>
      <c r="G639" s="134"/>
      <c r="H639" s="134"/>
      <c r="I639" s="134"/>
      <c r="J639" s="134"/>
      <c r="K639" s="134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  <c r="V639" s="134"/>
      <c r="W639" s="134"/>
    </row>
    <row r="640">
      <c r="A640" s="134"/>
      <c r="B640" s="134"/>
      <c r="C640" s="134"/>
      <c r="D640" s="134"/>
      <c r="E640" s="134"/>
      <c r="F640" s="134"/>
      <c r="G640" s="134"/>
      <c r="H640" s="134"/>
      <c r="I640" s="134"/>
      <c r="J640" s="134"/>
      <c r="K640" s="134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  <c r="V640" s="134"/>
      <c r="W640" s="134"/>
    </row>
    <row r="641">
      <c r="A641" s="134"/>
      <c r="B641" s="134"/>
      <c r="C641" s="134"/>
      <c r="D641" s="134"/>
      <c r="E641" s="134"/>
      <c r="F641" s="134"/>
      <c r="G641" s="134"/>
      <c r="H641" s="134"/>
      <c r="I641" s="134"/>
      <c r="J641" s="134"/>
      <c r="K641" s="134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  <c r="V641" s="134"/>
      <c r="W641" s="134"/>
    </row>
    <row r="642">
      <c r="A642" s="134"/>
      <c r="B642" s="134"/>
      <c r="C642" s="134"/>
      <c r="D642" s="134"/>
      <c r="E642" s="134"/>
      <c r="F642" s="134"/>
      <c r="G642" s="134"/>
      <c r="H642" s="134"/>
      <c r="I642" s="134"/>
      <c r="J642" s="134"/>
      <c r="K642" s="134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  <c r="V642" s="134"/>
      <c r="W642" s="134"/>
    </row>
    <row r="643">
      <c r="A643" s="134"/>
      <c r="B643" s="134"/>
      <c r="C643" s="134"/>
      <c r="D643" s="134"/>
      <c r="E643" s="134"/>
      <c r="F643" s="134"/>
      <c r="G643" s="134"/>
      <c r="H643" s="134"/>
      <c r="I643" s="134"/>
      <c r="J643" s="134"/>
      <c r="K643" s="134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  <c r="V643" s="134"/>
      <c r="W643" s="134"/>
    </row>
    <row r="644">
      <c r="A644" s="134"/>
      <c r="B644" s="134"/>
      <c r="C644" s="134"/>
      <c r="D644" s="134"/>
      <c r="E644" s="134"/>
      <c r="F644" s="134"/>
      <c r="G644" s="134"/>
      <c r="H644" s="134"/>
      <c r="I644" s="134"/>
      <c r="J644" s="134"/>
      <c r="K644" s="134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  <c r="V644" s="134"/>
      <c r="W644" s="134"/>
    </row>
    <row r="645">
      <c r="A645" s="134"/>
      <c r="B645" s="134"/>
      <c r="C645" s="134"/>
      <c r="D645" s="134"/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  <c r="V645" s="134"/>
      <c r="W645" s="134"/>
    </row>
    <row r="646">
      <c r="A646" s="134"/>
      <c r="B646" s="134"/>
      <c r="C646" s="134"/>
      <c r="D646" s="134"/>
      <c r="E646" s="134"/>
      <c r="F646" s="134"/>
      <c r="G646" s="134"/>
      <c r="H646" s="134"/>
      <c r="I646" s="134"/>
      <c r="J646" s="134"/>
      <c r="K646" s="134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  <c r="V646" s="134"/>
      <c r="W646" s="134"/>
    </row>
    <row r="647">
      <c r="A647" s="134"/>
      <c r="B647" s="134"/>
      <c r="C647" s="134"/>
      <c r="D647" s="134"/>
      <c r="E647" s="134"/>
      <c r="F647" s="134"/>
      <c r="G647" s="134"/>
      <c r="H647" s="134"/>
      <c r="I647" s="134"/>
      <c r="J647" s="134"/>
      <c r="K647" s="134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  <c r="V647" s="134"/>
      <c r="W647" s="134"/>
    </row>
    <row r="648">
      <c r="A648" s="134"/>
      <c r="B648" s="134"/>
      <c r="C648" s="134"/>
      <c r="D648" s="134"/>
      <c r="E648" s="134"/>
      <c r="F648" s="134"/>
      <c r="G648" s="134"/>
      <c r="H648" s="134"/>
      <c r="I648" s="134"/>
      <c r="J648" s="134"/>
      <c r="K648" s="134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  <c r="V648" s="134"/>
      <c r="W648" s="134"/>
    </row>
    <row r="649">
      <c r="A649" s="134"/>
      <c r="B649" s="134"/>
      <c r="C649" s="134"/>
      <c r="D649" s="134"/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  <c r="V649" s="134"/>
      <c r="W649" s="134"/>
    </row>
    <row r="650">
      <c r="A650" s="134"/>
      <c r="B650" s="134"/>
      <c r="C650" s="134"/>
      <c r="D650" s="134"/>
      <c r="E650" s="134"/>
      <c r="F650" s="134"/>
      <c r="G650" s="134"/>
      <c r="H650" s="134"/>
      <c r="I650" s="134"/>
      <c r="J650" s="134"/>
      <c r="K650" s="134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  <c r="V650" s="134"/>
      <c r="W650" s="134"/>
    </row>
    <row r="651">
      <c r="A651" s="134"/>
      <c r="B651" s="134"/>
      <c r="C651" s="134"/>
      <c r="D651" s="134"/>
      <c r="E651" s="134"/>
      <c r="F651" s="134"/>
      <c r="G651" s="134"/>
      <c r="H651" s="134"/>
      <c r="I651" s="134"/>
      <c r="J651" s="134"/>
      <c r="K651" s="134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  <c r="V651" s="134"/>
      <c r="W651" s="134"/>
    </row>
    <row r="652">
      <c r="A652" s="134"/>
      <c r="B652" s="134"/>
      <c r="C652" s="134"/>
      <c r="D652" s="134"/>
      <c r="E652" s="134"/>
      <c r="F652" s="134"/>
      <c r="G652" s="134"/>
      <c r="H652" s="134"/>
      <c r="I652" s="134"/>
      <c r="J652" s="134"/>
      <c r="K652" s="134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  <c r="V652" s="134"/>
      <c r="W652" s="134"/>
    </row>
    <row r="653">
      <c r="A653" s="134"/>
      <c r="B653" s="134"/>
      <c r="C653" s="134"/>
      <c r="D653" s="134"/>
      <c r="E653" s="134"/>
      <c r="F653" s="134"/>
      <c r="G653" s="134"/>
      <c r="H653" s="134"/>
      <c r="I653" s="134"/>
      <c r="J653" s="134"/>
      <c r="K653" s="134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  <c r="V653" s="134"/>
      <c r="W653" s="134"/>
    </row>
    <row r="654">
      <c r="A654" s="134"/>
      <c r="B654" s="134"/>
      <c r="C654" s="134"/>
      <c r="D654" s="134"/>
      <c r="E654" s="134"/>
      <c r="F654" s="134"/>
      <c r="G654" s="134"/>
      <c r="H654" s="134"/>
      <c r="I654" s="134"/>
      <c r="J654" s="134"/>
      <c r="K654" s="134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  <c r="V654" s="134"/>
      <c r="W654" s="134"/>
    </row>
    <row r="655">
      <c r="A655" s="134"/>
      <c r="B655" s="134"/>
      <c r="C655" s="134"/>
      <c r="D655" s="134"/>
      <c r="E655" s="134"/>
      <c r="F655" s="134"/>
      <c r="G655" s="134"/>
      <c r="H655" s="134"/>
      <c r="I655" s="134"/>
      <c r="J655" s="134"/>
      <c r="K655" s="134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  <c r="V655" s="134"/>
      <c r="W655" s="134"/>
    </row>
    <row r="656">
      <c r="A656" s="134"/>
      <c r="B656" s="134"/>
      <c r="C656" s="134"/>
      <c r="D656" s="134"/>
      <c r="E656" s="134"/>
      <c r="F656" s="134"/>
      <c r="G656" s="134"/>
      <c r="H656" s="134"/>
      <c r="I656" s="134"/>
      <c r="J656" s="134"/>
      <c r="K656" s="134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  <c r="V656" s="134"/>
      <c r="W656" s="134"/>
    </row>
    <row r="657">
      <c r="A657" s="134"/>
      <c r="B657" s="134"/>
      <c r="C657" s="134"/>
      <c r="D657" s="134"/>
      <c r="E657" s="134"/>
      <c r="F657" s="134"/>
      <c r="G657" s="134"/>
      <c r="H657" s="134"/>
      <c r="I657" s="134"/>
      <c r="J657" s="134"/>
      <c r="K657" s="134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  <c r="V657" s="134"/>
      <c r="W657" s="134"/>
    </row>
    <row r="658">
      <c r="A658" s="134"/>
      <c r="B658" s="134"/>
      <c r="C658" s="134"/>
      <c r="D658" s="134"/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  <c r="V658" s="134"/>
      <c r="W658" s="134"/>
    </row>
    <row r="659">
      <c r="A659" s="134"/>
      <c r="B659" s="134"/>
      <c r="C659" s="134"/>
      <c r="D659" s="134"/>
      <c r="E659" s="134"/>
      <c r="F659" s="134"/>
      <c r="G659" s="134"/>
      <c r="H659" s="134"/>
      <c r="I659" s="134"/>
      <c r="J659" s="134"/>
      <c r="K659" s="134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  <c r="V659" s="134"/>
      <c r="W659" s="134"/>
    </row>
    <row r="660">
      <c r="A660" s="134"/>
      <c r="B660" s="134"/>
      <c r="C660" s="134"/>
      <c r="D660" s="134"/>
      <c r="E660" s="134"/>
      <c r="F660" s="134"/>
      <c r="G660" s="134"/>
      <c r="H660" s="134"/>
      <c r="I660" s="134"/>
      <c r="J660" s="134"/>
      <c r="K660" s="134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  <c r="V660" s="134"/>
      <c r="W660" s="134"/>
    </row>
    <row r="661">
      <c r="A661" s="134"/>
      <c r="B661" s="134"/>
      <c r="C661" s="134"/>
      <c r="D661" s="134"/>
      <c r="E661" s="134"/>
      <c r="F661" s="134"/>
      <c r="G661" s="134"/>
      <c r="H661" s="134"/>
      <c r="I661" s="134"/>
      <c r="J661" s="134"/>
      <c r="K661" s="134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  <c r="V661" s="134"/>
      <c r="W661" s="134"/>
    </row>
    <row r="662">
      <c r="A662" s="134"/>
      <c r="B662" s="134"/>
      <c r="C662" s="134"/>
      <c r="D662" s="134"/>
      <c r="E662" s="134"/>
      <c r="F662" s="134"/>
      <c r="G662" s="134"/>
      <c r="H662" s="134"/>
      <c r="I662" s="134"/>
      <c r="J662" s="134"/>
      <c r="K662" s="134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  <c r="V662" s="134"/>
      <c r="W662" s="134"/>
    </row>
    <row r="663">
      <c r="A663" s="134"/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</row>
    <row r="664">
      <c r="A664" s="134"/>
      <c r="B664" s="134"/>
      <c r="C664" s="134"/>
      <c r="D664" s="134"/>
      <c r="E664" s="134"/>
      <c r="F664" s="134"/>
      <c r="G664" s="134"/>
      <c r="H664" s="134"/>
      <c r="I664" s="134"/>
      <c r="J664" s="134"/>
      <c r="K664" s="134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  <c r="V664" s="134"/>
      <c r="W664" s="134"/>
    </row>
    <row r="665">
      <c r="A665" s="134"/>
      <c r="B665" s="134"/>
      <c r="C665" s="134"/>
      <c r="D665" s="134"/>
      <c r="E665" s="134"/>
      <c r="F665" s="134"/>
      <c r="G665" s="134"/>
      <c r="H665" s="134"/>
      <c r="I665" s="134"/>
      <c r="J665" s="134"/>
      <c r="K665" s="134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  <c r="V665" s="134"/>
      <c r="W665" s="134"/>
    </row>
    <row r="666">
      <c r="A666" s="134"/>
      <c r="B666" s="134"/>
      <c r="C666" s="134"/>
      <c r="D666" s="134"/>
      <c r="E666" s="134"/>
      <c r="F666" s="134"/>
      <c r="G666" s="134"/>
      <c r="H666" s="134"/>
      <c r="I666" s="134"/>
      <c r="J666" s="134"/>
      <c r="K666" s="134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  <c r="V666" s="134"/>
      <c r="W666" s="134"/>
    </row>
    <row r="667">
      <c r="A667" s="134"/>
      <c r="B667" s="134"/>
      <c r="C667" s="134"/>
      <c r="D667" s="134"/>
      <c r="E667" s="134"/>
      <c r="F667" s="134"/>
      <c r="G667" s="134"/>
      <c r="H667" s="134"/>
      <c r="I667" s="134"/>
      <c r="J667" s="134"/>
      <c r="K667" s="134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  <c r="V667" s="134"/>
      <c r="W667" s="134"/>
    </row>
    <row r="668">
      <c r="A668" s="134"/>
      <c r="B668" s="134"/>
      <c r="C668" s="134"/>
      <c r="D668" s="134"/>
      <c r="E668" s="134"/>
      <c r="F668" s="134"/>
      <c r="G668" s="134"/>
      <c r="H668" s="134"/>
      <c r="I668" s="134"/>
      <c r="J668" s="134"/>
      <c r="K668" s="134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  <c r="V668" s="134"/>
      <c r="W668" s="134"/>
    </row>
    <row r="669">
      <c r="A669" s="134"/>
      <c r="B669" s="134"/>
      <c r="C669" s="134"/>
      <c r="D669" s="134"/>
      <c r="E669" s="134"/>
      <c r="F669" s="134"/>
      <c r="G669" s="134"/>
      <c r="H669" s="134"/>
      <c r="I669" s="134"/>
      <c r="J669" s="134"/>
      <c r="K669" s="134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  <c r="V669" s="134"/>
      <c r="W669" s="134"/>
    </row>
    <row r="670">
      <c r="A670" s="134"/>
      <c r="B670" s="134"/>
      <c r="C670" s="134"/>
      <c r="D670" s="134"/>
      <c r="E670" s="134"/>
      <c r="F670" s="134"/>
      <c r="G670" s="134"/>
      <c r="H670" s="134"/>
      <c r="I670" s="134"/>
      <c r="J670" s="134"/>
      <c r="K670" s="134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  <c r="V670" s="134"/>
      <c r="W670" s="134"/>
    </row>
    <row r="671">
      <c r="A671" s="134"/>
      <c r="B671" s="134"/>
      <c r="C671" s="134"/>
      <c r="D671" s="134"/>
      <c r="E671" s="134"/>
      <c r="F671" s="134"/>
      <c r="G671" s="134"/>
      <c r="H671" s="134"/>
      <c r="I671" s="134"/>
      <c r="J671" s="134"/>
      <c r="K671" s="134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  <c r="V671" s="134"/>
      <c r="W671" s="134"/>
    </row>
    <row r="672">
      <c r="A672" s="134"/>
      <c r="B672" s="134"/>
      <c r="C672" s="134"/>
      <c r="D672" s="134"/>
      <c r="E672" s="134"/>
      <c r="F672" s="134"/>
      <c r="G672" s="134"/>
      <c r="H672" s="134"/>
      <c r="I672" s="134"/>
      <c r="J672" s="134"/>
      <c r="K672" s="134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  <c r="V672" s="134"/>
      <c r="W672" s="134"/>
    </row>
    <row r="673">
      <c r="A673" s="134"/>
      <c r="B673" s="134"/>
      <c r="C673" s="134"/>
      <c r="D673" s="134"/>
      <c r="E673" s="134"/>
      <c r="F673" s="134"/>
      <c r="G673" s="134"/>
      <c r="H673" s="134"/>
      <c r="I673" s="134"/>
      <c r="J673" s="134"/>
      <c r="K673" s="134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  <c r="V673" s="134"/>
      <c r="W673" s="134"/>
    </row>
    <row r="674">
      <c r="A674" s="134"/>
      <c r="B674" s="134"/>
      <c r="C674" s="134"/>
      <c r="D674" s="134"/>
      <c r="E674" s="134"/>
      <c r="F674" s="134"/>
      <c r="G674" s="134"/>
      <c r="H674" s="134"/>
      <c r="I674" s="134"/>
      <c r="J674" s="134"/>
      <c r="K674" s="134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  <c r="V674" s="134"/>
      <c r="W674" s="134"/>
    </row>
    <row r="675">
      <c r="A675" s="134"/>
      <c r="B675" s="134"/>
      <c r="C675" s="134"/>
      <c r="D675" s="134"/>
      <c r="E675" s="134"/>
      <c r="F675" s="134"/>
      <c r="G675" s="134"/>
      <c r="H675" s="134"/>
      <c r="I675" s="134"/>
      <c r="J675" s="134"/>
      <c r="K675" s="134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  <c r="V675" s="134"/>
      <c r="W675" s="134"/>
    </row>
    <row r="676">
      <c r="A676" s="134"/>
      <c r="B676" s="134"/>
      <c r="C676" s="134"/>
      <c r="D676" s="134"/>
      <c r="E676" s="134"/>
      <c r="F676" s="134"/>
      <c r="G676" s="134"/>
      <c r="H676" s="134"/>
      <c r="I676" s="134"/>
      <c r="J676" s="134"/>
      <c r="K676" s="134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  <c r="V676" s="134"/>
      <c r="W676" s="134"/>
    </row>
    <row r="677">
      <c r="A677" s="134"/>
      <c r="B677" s="134"/>
      <c r="C677" s="134"/>
      <c r="D677" s="134"/>
      <c r="E677" s="134"/>
      <c r="F677" s="134"/>
      <c r="G677" s="134"/>
      <c r="H677" s="134"/>
      <c r="I677" s="134"/>
      <c r="J677" s="134"/>
      <c r="K677" s="134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  <c r="V677" s="134"/>
      <c r="W677" s="134"/>
    </row>
    <row r="678">
      <c r="A678" s="134"/>
      <c r="B678" s="134"/>
      <c r="C678" s="134"/>
      <c r="D678" s="134"/>
      <c r="E678" s="134"/>
      <c r="F678" s="134"/>
      <c r="G678" s="134"/>
      <c r="H678" s="134"/>
      <c r="I678" s="134"/>
      <c r="J678" s="134"/>
      <c r="K678" s="134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  <c r="V678" s="134"/>
      <c r="W678" s="134"/>
    </row>
    <row r="679">
      <c r="A679" s="134"/>
      <c r="B679" s="134"/>
      <c r="C679" s="134"/>
      <c r="D679" s="134"/>
      <c r="E679" s="134"/>
      <c r="F679" s="134"/>
      <c r="G679" s="134"/>
      <c r="H679" s="134"/>
      <c r="I679" s="134"/>
      <c r="J679" s="134"/>
      <c r="K679" s="134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  <c r="V679" s="134"/>
      <c r="W679" s="134"/>
    </row>
    <row r="680">
      <c r="A680" s="134"/>
      <c r="B680" s="134"/>
      <c r="C680" s="134"/>
      <c r="D680" s="134"/>
      <c r="E680" s="134"/>
      <c r="F680" s="134"/>
      <c r="G680" s="134"/>
      <c r="H680" s="134"/>
      <c r="I680" s="134"/>
      <c r="J680" s="134"/>
      <c r="K680" s="134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  <c r="V680" s="134"/>
      <c r="W680" s="134"/>
    </row>
    <row r="681">
      <c r="A681" s="134"/>
      <c r="B681" s="134"/>
      <c r="C681" s="134"/>
      <c r="D681" s="134"/>
      <c r="E681" s="134"/>
      <c r="F681" s="134"/>
      <c r="G681" s="134"/>
      <c r="H681" s="134"/>
      <c r="I681" s="134"/>
      <c r="J681" s="134"/>
      <c r="K681" s="134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  <c r="V681" s="134"/>
      <c r="W681" s="134"/>
    </row>
    <row r="682">
      <c r="A682" s="134"/>
      <c r="B682" s="134"/>
      <c r="C682" s="134"/>
      <c r="D682" s="134"/>
      <c r="E682" s="134"/>
      <c r="F682" s="134"/>
      <c r="G682" s="134"/>
      <c r="H682" s="134"/>
      <c r="I682" s="134"/>
      <c r="J682" s="134"/>
      <c r="K682" s="134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  <c r="V682" s="134"/>
      <c r="W682" s="134"/>
    </row>
    <row r="683">
      <c r="A683" s="134"/>
      <c r="B683" s="134"/>
      <c r="C683" s="134"/>
      <c r="D683" s="134"/>
      <c r="E683" s="134"/>
      <c r="F683" s="134"/>
      <c r="G683" s="134"/>
      <c r="H683" s="134"/>
      <c r="I683" s="134"/>
      <c r="J683" s="134"/>
      <c r="K683" s="134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  <c r="V683" s="134"/>
      <c r="W683" s="134"/>
    </row>
    <row r="684">
      <c r="A684" s="134"/>
      <c r="B684" s="134"/>
      <c r="C684" s="134"/>
      <c r="D684" s="134"/>
      <c r="E684" s="134"/>
      <c r="F684" s="134"/>
      <c r="G684" s="134"/>
      <c r="H684" s="134"/>
      <c r="I684" s="134"/>
      <c r="J684" s="134"/>
      <c r="K684" s="134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  <c r="V684" s="134"/>
      <c r="W684" s="134"/>
    </row>
    <row r="685">
      <c r="A685" s="134"/>
      <c r="B685" s="134"/>
      <c r="C685" s="134"/>
      <c r="D685" s="134"/>
      <c r="E685" s="134"/>
      <c r="F685" s="134"/>
      <c r="G685" s="134"/>
      <c r="H685" s="134"/>
      <c r="I685" s="134"/>
      <c r="J685" s="134"/>
      <c r="K685" s="134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  <c r="V685" s="134"/>
      <c r="W685" s="134"/>
    </row>
    <row r="686">
      <c r="A686" s="134"/>
      <c r="B686" s="134"/>
      <c r="C686" s="134"/>
      <c r="D686" s="134"/>
      <c r="E686" s="134"/>
      <c r="F686" s="134"/>
      <c r="G686" s="134"/>
      <c r="H686" s="134"/>
      <c r="I686" s="134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</row>
    <row r="687">
      <c r="A687" s="134"/>
      <c r="B687" s="134"/>
      <c r="C687" s="134"/>
      <c r="D687" s="134"/>
      <c r="E687" s="134"/>
      <c r="F687" s="134"/>
      <c r="G687" s="134"/>
      <c r="H687" s="134"/>
      <c r="I687" s="134"/>
      <c r="J687" s="134"/>
      <c r="K687" s="134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  <c r="V687" s="134"/>
      <c r="W687" s="134"/>
    </row>
    <row r="688">
      <c r="A688" s="134"/>
      <c r="B688" s="134"/>
      <c r="C688" s="134"/>
      <c r="D688" s="134"/>
      <c r="E688" s="134"/>
      <c r="F688" s="134"/>
      <c r="G688" s="134"/>
      <c r="H688" s="134"/>
      <c r="I688" s="134"/>
      <c r="J688" s="134"/>
      <c r="K688" s="134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  <c r="V688" s="134"/>
      <c r="W688" s="134"/>
    </row>
    <row r="689">
      <c r="A689" s="134"/>
      <c r="B689" s="134"/>
      <c r="C689" s="134"/>
      <c r="D689" s="134"/>
      <c r="E689" s="134"/>
      <c r="F689" s="134"/>
      <c r="G689" s="134"/>
      <c r="H689" s="134"/>
      <c r="I689" s="134"/>
      <c r="J689" s="134"/>
      <c r="K689" s="134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  <c r="V689" s="134"/>
      <c r="W689" s="134"/>
    </row>
    <row r="690">
      <c r="A690" s="134"/>
      <c r="B690" s="134"/>
      <c r="C690" s="134"/>
      <c r="D690" s="134"/>
      <c r="E690" s="134"/>
      <c r="F690" s="134"/>
      <c r="G690" s="134"/>
      <c r="H690" s="134"/>
      <c r="I690" s="134"/>
      <c r="J690" s="134"/>
      <c r="K690" s="134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  <c r="V690" s="134"/>
      <c r="W690" s="134"/>
    </row>
    <row r="691">
      <c r="A691" s="134"/>
      <c r="B691" s="134"/>
      <c r="C691" s="134"/>
      <c r="D691" s="134"/>
      <c r="E691" s="134"/>
      <c r="F691" s="134"/>
      <c r="G691" s="134"/>
      <c r="H691" s="134"/>
      <c r="I691" s="134"/>
      <c r="J691" s="134"/>
      <c r="K691" s="134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  <c r="V691" s="134"/>
      <c r="W691" s="134"/>
    </row>
    <row r="692">
      <c r="A692" s="134"/>
      <c r="B692" s="134"/>
      <c r="C692" s="134"/>
      <c r="D692" s="134"/>
      <c r="E692" s="134"/>
      <c r="F692" s="134"/>
      <c r="G692" s="134"/>
      <c r="H692" s="134"/>
      <c r="I692" s="134"/>
      <c r="J692" s="134"/>
      <c r="K692" s="134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  <c r="V692" s="134"/>
      <c r="W692" s="134"/>
    </row>
    <row r="693">
      <c r="A693" s="134"/>
      <c r="B693" s="134"/>
      <c r="C693" s="134"/>
      <c r="D693" s="134"/>
      <c r="E693" s="134"/>
      <c r="F693" s="134"/>
      <c r="G693" s="134"/>
      <c r="H693" s="134"/>
      <c r="I693" s="134"/>
      <c r="J693" s="134"/>
      <c r="K693" s="134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  <c r="V693" s="134"/>
      <c r="W693" s="134"/>
    </row>
    <row r="694">
      <c r="A694" s="134"/>
      <c r="B694" s="134"/>
      <c r="C694" s="134"/>
      <c r="D694" s="134"/>
      <c r="E694" s="134"/>
      <c r="F694" s="134"/>
      <c r="G694" s="134"/>
      <c r="H694" s="134"/>
      <c r="I694" s="134"/>
      <c r="J694" s="134"/>
      <c r="K694" s="134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  <c r="V694" s="134"/>
      <c r="W694" s="134"/>
    </row>
    <row r="695">
      <c r="A695" s="134"/>
      <c r="B695" s="134"/>
      <c r="C695" s="134"/>
      <c r="D695" s="134"/>
      <c r="E695" s="134"/>
      <c r="F695" s="134"/>
      <c r="G695" s="134"/>
      <c r="H695" s="134"/>
      <c r="I695" s="134"/>
      <c r="J695" s="134"/>
      <c r="K695" s="134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  <c r="V695" s="134"/>
      <c r="W695" s="134"/>
    </row>
    <row r="696">
      <c r="A696" s="134"/>
      <c r="B696" s="134"/>
      <c r="C696" s="134"/>
      <c r="D696" s="134"/>
      <c r="E696" s="134"/>
      <c r="F696" s="134"/>
      <c r="G696" s="134"/>
      <c r="H696" s="134"/>
      <c r="I696" s="134"/>
      <c r="J696" s="134"/>
      <c r="K696" s="134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  <c r="V696" s="134"/>
      <c r="W696" s="134"/>
    </row>
    <row r="697">
      <c r="A697" s="134"/>
      <c r="B697" s="134"/>
      <c r="C697" s="134"/>
      <c r="D697" s="134"/>
      <c r="E697" s="134"/>
      <c r="F697" s="134"/>
      <c r="G697" s="134"/>
      <c r="H697" s="134"/>
      <c r="I697" s="134"/>
      <c r="J697" s="134"/>
      <c r="K697" s="134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  <c r="V697" s="134"/>
      <c r="W697" s="134"/>
    </row>
    <row r="698">
      <c r="A698" s="134"/>
      <c r="B698" s="134"/>
      <c r="C698" s="134"/>
      <c r="D698" s="134"/>
      <c r="E698" s="134"/>
      <c r="F698" s="134"/>
      <c r="G698" s="134"/>
      <c r="H698" s="134"/>
      <c r="I698" s="134"/>
      <c r="J698" s="134"/>
      <c r="K698" s="134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  <c r="V698" s="134"/>
      <c r="W698" s="134"/>
    </row>
    <row r="699">
      <c r="A699" s="134"/>
      <c r="B699" s="134"/>
      <c r="C699" s="134"/>
      <c r="D699" s="134"/>
      <c r="E699" s="134"/>
      <c r="F699" s="134"/>
      <c r="G699" s="134"/>
      <c r="H699" s="134"/>
      <c r="I699" s="134"/>
      <c r="J699" s="134"/>
      <c r="K699" s="134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  <c r="V699" s="134"/>
      <c r="W699" s="134"/>
    </row>
    <row r="700">
      <c r="A700" s="134"/>
      <c r="B700" s="134"/>
      <c r="C700" s="134"/>
      <c r="D700" s="134"/>
      <c r="E700" s="134"/>
      <c r="F700" s="134"/>
      <c r="G700" s="134"/>
      <c r="H700" s="134"/>
      <c r="I700" s="134"/>
      <c r="J700" s="134"/>
      <c r="K700" s="134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  <c r="V700" s="134"/>
      <c r="W700" s="134"/>
    </row>
    <row r="701">
      <c r="A701" s="134"/>
      <c r="B701" s="134"/>
      <c r="C701" s="134"/>
      <c r="D701" s="134"/>
      <c r="E701" s="134"/>
      <c r="F701" s="134"/>
      <c r="G701" s="134"/>
      <c r="H701" s="134"/>
      <c r="I701" s="134"/>
      <c r="J701" s="134"/>
      <c r="K701" s="134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  <c r="V701" s="134"/>
      <c r="W701" s="134"/>
    </row>
    <row r="702">
      <c r="A702" s="134"/>
      <c r="B702" s="134"/>
      <c r="C702" s="134"/>
      <c r="D702" s="134"/>
      <c r="E702" s="134"/>
      <c r="F702" s="134"/>
      <c r="G702" s="134"/>
      <c r="H702" s="134"/>
      <c r="I702" s="134"/>
      <c r="J702" s="134"/>
      <c r="K702" s="134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  <c r="V702" s="134"/>
      <c r="W702" s="134"/>
    </row>
    <row r="703">
      <c r="A703" s="134"/>
      <c r="B703" s="134"/>
      <c r="C703" s="134"/>
      <c r="D703" s="134"/>
      <c r="E703" s="134"/>
      <c r="F703" s="134"/>
      <c r="G703" s="134"/>
      <c r="H703" s="134"/>
      <c r="I703" s="134"/>
      <c r="J703" s="134"/>
      <c r="K703" s="134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  <c r="V703" s="134"/>
      <c r="W703" s="134"/>
    </row>
    <row r="704">
      <c r="A704" s="134"/>
      <c r="B704" s="134"/>
      <c r="C704" s="134"/>
      <c r="D704" s="134"/>
      <c r="E704" s="134"/>
      <c r="F704" s="134"/>
      <c r="G704" s="134"/>
      <c r="H704" s="134"/>
      <c r="I704" s="134"/>
      <c r="J704" s="134"/>
      <c r="K704" s="134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  <c r="V704" s="134"/>
      <c r="W704" s="134"/>
    </row>
    <row r="705">
      <c r="A705" s="134"/>
      <c r="B705" s="134"/>
      <c r="C705" s="134"/>
      <c r="D705" s="134"/>
      <c r="E705" s="134"/>
      <c r="F705" s="134"/>
      <c r="G705" s="134"/>
      <c r="H705" s="134"/>
      <c r="I705" s="134"/>
      <c r="J705" s="134"/>
      <c r="K705" s="134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  <c r="V705" s="134"/>
      <c r="W705" s="134"/>
    </row>
    <row r="706">
      <c r="A706" s="134"/>
      <c r="B706" s="134"/>
      <c r="C706" s="134"/>
      <c r="D706" s="134"/>
      <c r="E706" s="134"/>
      <c r="F706" s="134"/>
      <c r="G706" s="134"/>
      <c r="H706" s="134"/>
      <c r="I706" s="134"/>
      <c r="J706" s="134"/>
      <c r="K706" s="134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  <c r="V706" s="134"/>
      <c r="W706" s="134"/>
    </row>
    <row r="707">
      <c r="A707" s="134"/>
      <c r="B707" s="134"/>
      <c r="C707" s="134"/>
      <c r="D707" s="134"/>
      <c r="E707" s="134"/>
      <c r="F707" s="134"/>
      <c r="G707" s="134"/>
      <c r="H707" s="134"/>
      <c r="I707" s="134"/>
      <c r="J707" s="134"/>
      <c r="K707" s="134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  <c r="V707" s="134"/>
      <c r="W707" s="134"/>
    </row>
    <row r="708">
      <c r="A708" s="134"/>
      <c r="B708" s="134"/>
      <c r="C708" s="134"/>
      <c r="D708" s="134"/>
      <c r="E708" s="134"/>
      <c r="F708" s="134"/>
      <c r="G708" s="134"/>
      <c r="H708" s="134"/>
      <c r="I708" s="134"/>
      <c r="J708" s="134"/>
      <c r="K708" s="134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  <c r="V708" s="134"/>
      <c r="W708" s="134"/>
    </row>
    <row r="709">
      <c r="A709" s="134"/>
      <c r="B709" s="134"/>
      <c r="C709" s="134"/>
      <c r="D709" s="134"/>
      <c r="E709" s="134"/>
      <c r="F709" s="134"/>
      <c r="G709" s="134"/>
      <c r="H709" s="134"/>
      <c r="I709" s="134"/>
      <c r="J709" s="134"/>
      <c r="K709" s="134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  <c r="V709" s="134"/>
      <c r="W709" s="134"/>
    </row>
    <row r="710">
      <c r="A710" s="134"/>
      <c r="B710" s="134"/>
      <c r="C710" s="134"/>
      <c r="D710" s="134"/>
      <c r="E710" s="134"/>
      <c r="F710" s="134"/>
      <c r="G710" s="134"/>
      <c r="H710" s="134"/>
      <c r="I710" s="134"/>
      <c r="J710" s="134"/>
      <c r="K710" s="134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  <c r="V710" s="134"/>
      <c r="W710" s="134"/>
    </row>
    <row r="711">
      <c r="A711" s="134"/>
      <c r="B711" s="134"/>
      <c r="C711" s="134"/>
      <c r="D711" s="134"/>
      <c r="E711" s="134"/>
      <c r="F711" s="134"/>
      <c r="G711" s="134"/>
      <c r="H711" s="134"/>
      <c r="I711" s="134"/>
      <c r="J711" s="134"/>
      <c r="K711" s="134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  <c r="V711" s="134"/>
      <c r="W711" s="134"/>
    </row>
    <row r="712">
      <c r="A712" s="134"/>
      <c r="B712" s="134"/>
      <c r="C712" s="134"/>
      <c r="D712" s="134"/>
      <c r="E712" s="134"/>
      <c r="F712" s="134"/>
      <c r="G712" s="134"/>
      <c r="H712" s="134"/>
      <c r="I712" s="134"/>
      <c r="J712" s="134"/>
      <c r="K712" s="134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  <c r="V712" s="134"/>
      <c r="W712" s="134"/>
    </row>
    <row r="713">
      <c r="A713" s="134"/>
      <c r="B713" s="134"/>
      <c r="C713" s="134"/>
      <c r="D713" s="134"/>
      <c r="E713" s="134"/>
      <c r="F713" s="134"/>
      <c r="G713" s="134"/>
      <c r="H713" s="134"/>
      <c r="I713" s="134"/>
      <c r="J713" s="134"/>
      <c r="K713" s="134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  <c r="V713" s="134"/>
      <c r="W713" s="134"/>
    </row>
    <row r="714">
      <c r="A714" s="134"/>
      <c r="B714" s="134"/>
      <c r="C714" s="134"/>
      <c r="D714" s="134"/>
      <c r="E714" s="134"/>
      <c r="F714" s="134"/>
      <c r="G714" s="134"/>
      <c r="H714" s="134"/>
      <c r="I714" s="134"/>
      <c r="J714" s="134"/>
      <c r="K714" s="134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  <c r="V714" s="134"/>
      <c r="W714" s="134"/>
    </row>
    <row r="715">
      <c r="A715" s="134"/>
      <c r="B715" s="134"/>
      <c r="C715" s="134"/>
      <c r="D715" s="134"/>
      <c r="E715" s="134"/>
      <c r="F715" s="134"/>
      <c r="G715" s="134"/>
      <c r="H715" s="134"/>
      <c r="I715" s="134"/>
      <c r="J715" s="134"/>
      <c r="K715" s="134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  <c r="V715" s="134"/>
      <c r="W715" s="134"/>
    </row>
    <row r="716">
      <c r="A716" s="134"/>
      <c r="B716" s="134"/>
      <c r="C716" s="134"/>
      <c r="D716" s="134"/>
      <c r="E716" s="134"/>
      <c r="F716" s="134"/>
      <c r="G716" s="134"/>
      <c r="H716" s="134"/>
      <c r="I716" s="134"/>
      <c r="J716" s="134"/>
      <c r="K716" s="134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  <c r="V716" s="134"/>
      <c r="W716" s="134"/>
    </row>
    <row r="717">
      <c r="A717" s="134"/>
      <c r="B717" s="134"/>
      <c r="C717" s="134"/>
      <c r="D717" s="134"/>
      <c r="E717" s="134"/>
      <c r="F717" s="134"/>
      <c r="G717" s="134"/>
      <c r="H717" s="134"/>
      <c r="I717" s="134"/>
      <c r="J717" s="134"/>
      <c r="K717" s="134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  <c r="V717" s="134"/>
      <c r="W717" s="134"/>
    </row>
    <row r="718">
      <c r="A718" s="134"/>
      <c r="B718" s="134"/>
      <c r="C718" s="134"/>
      <c r="D718" s="134"/>
      <c r="E718" s="134"/>
      <c r="F718" s="134"/>
      <c r="G718" s="134"/>
      <c r="H718" s="134"/>
      <c r="I718" s="134"/>
      <c r="J718" s="134"/>
      <c r="K718" s="134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  <c r="V718" s="134"/>
      <c r="W718" s="134"/>
    </row>
    <row r="719">
      <c r="A719" s="134"/>
      <c r="B719" s="134"/>
      <c r="C719" s="134"/>
      <c r="D719" s="134"/>
      <c r="E719" s="134"/>
      <c r="F719" s="134"/>
      <c r="G719" s="134"/>
      <c r="H719" s="134"/>
      <c r="I719" s="134"/>
      <c r="J719" s="134"/>
      <c r="K719" s="134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  <c r="V719" s="134"/>
      <c r="W719" s="134"/>
    </row>
    <row r="720">
      <c r="A720" s="134"/>
      <c r="B720" s="134"/>
      <c r="C720" s="134"/>
      <c r="D720" s="134"/>
      <c r="E720" s="134"/>
      <c r="F720" s="134"/>
      <c r="G720" s="134"/>
      <c r="H720" s="134"/>
      <c r="I720" s="134"/>
      <c r="J720" s="134"/>
      <c r="K720" s="134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  <c r="V720" s="134"/>
      <c r="W720" s="134"/>
    </row>
    <row r="721">
      <c r="A721" s="134"/>
      <c r="B721" s="134"/>
      <c r="C721" s="134"/>
      <c r="D721" s="134"/>
      <c r="E721" s="134"/>
      <c r="F721" s="134"/>
      <c r="G721" s="134"/>
      <c r="H721" s="134"/>
      <c r="I721" s="134"/>
      <c r="J721" s="134"/>
      <c r="K721" s="134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  <c r="V721" s="134"/>
      <c r="W721" s="134"/>
    </row>
    <row r="722">
      <c r="A722" s="134"/>
      <c r="B722" s="134"/>
      <c r="C722" s="134"/>
      <c r="D722" s="134"/>
      <c r="E722" s="134"/>
      <c r="F722" s="134"/>
      <c r="G722" s="134"/>
      <c r="H722" s="134"/>
      <c r="I722" s="134"/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  <c r="V722" s="134"/>
      <c r="W722" s="134"/>
    </row>
    <row r="723">
      <c r="A723" s="134"/>
      <c r="B723" s="134"/>
      <c r="C723" s="134"/>
      <c r="D723" s="134"/>
      <c r="E723" s="134"/>
      <c r="F723" s="134"/>
      <c r="G723" s="134"/>
      <c r="H723" s="134"/>
      <c r="I723" s="134"/>
      <c r="J723" s="134"/>
      <c r="K723" s="134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  <c r="V723" s="134"/>
      <c r="W723" s="134"/>
    </row>
    <row r="724">
      <c r="A724" s="134"/>
      <c r="B724" s="134"/>
      <c r="C724" s="134"/>
      <c r="D724" s="134"/>
      <c r="E724" s="134"/>
      <c r="F724" s="134"/>
      <c r="G724" s="134"/>
      <c r="H724" s="134"/>
      <c r="I724" s="134"/>
      <c r="J724" s="134"/>
      <c r="K724" s="134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  <c r="V724" s="134"/>
      <c r="W724" s="134"/>
    </row>
    <row r="725">
      <c r="A725" s="134"/>
      <c r="B725" s="134"/>
      <c r="C725" s="134"/>
      <c r="D725" s="134"/>
      <c r="E725" s="134"/>
      <c r="F725" s="134"/>
      <c r="G725" s="134"/>
      <c r="H725" s="134"/>
      <c r="I725" s="134"/>
      <c r="J725" s="134"/>
      <c r="K725" s="134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  <c r="V725" s="134"/>
      <c r="W725" s="134"/>
    </row>
    <row r="726">
      <c r="A726" s="134"/>
      <c r="B726" s="134"/>
      <c r="C726" s="134"/>
      <c r="D726" s="134"/>
      <c r="E726" s="134"/>
      <c r="F726" s="134"/>
      <c r="G726" s="134"/>
      <c r="H726" s="134"/>
      <c r="I726" s="134"/>
      <c r="J726" s="134"/>
      <c r="K726" s="134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  <c r="V726" s="134"/>
      <c r="W726" s="134"/>
    </row>
    <row r="727">
      <c r="A727" s="134"/>
      <c r="B727" s="134"/>
      <c r="C727" s="134"/>
      <c r="D727" s="134"/>
      <c r="E727" s="134"/>
      <c r="F727" s="134"/>
      <c r="G727" s="134"/>
      <c r="H727" s="134"/>
      <c r="I727" s="134"/>
      <c r="J727" s="134"/>
      <c r="K727" s="134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  <c r="V727" s="134"/>
      <c r="W727" s="134"/>
    </row>
    <row r="728">
      <c r="A728" s="134"/>
      <c r="B728" s="134"/>
      <c r="C728" s="134"/>
      <c r="D728" s="134"/>
      <c r="E728" s="134"/>
      <c r="F728" s="134"/>
      <c r="G728" s="134"/>
      <c r="H728" s="134"/>
      <c r="I728" s="134"/>
      <c r="J728" s="134"/>
      <c r="K728" s="134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  <c r="V728" s="134"/>
      <c r="W728" s="134"/>
    </row>
    <row r="729">
      <c r="A729" s="134"/>
      <c r="B729" s="134"/>
      <c r="C729" s="134"/>
      <c r="D729" s="134"/>
      <c r="E729" s="134"/>
      <c r="F729" s="134"/>
      <c r="G729" s="134"/>
      <c r="H729" s="134"/>
      <c r="I729" s="134"/>
      <c r="J729" s="134"/>
      <c r="K729" s="134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  <c r="V729" s="134"/>
      <c r="W729" s="134"/>
    </row>
    <row r="730">
      <c r="A730" s="134"/>
      <c r="B730" s="134"/>
      <c r="C730" s="134"/>
      <c r="D730" s="134"/>
      <c r="E730" s="134"/>
      <c r="F730" s="134"/>
      <c r="G730" s="134"/>
      <c r="H730" s="134"/>
      <c r="I730" s="134"/>
      <c r="J730" s="134"/>
      <c r="K730" s="134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  <c r="V730" s="134"/>
      <c r="W730" s="134"/>
    </row>
    <row r="731">
      <c r="A731" s="134"/>
      <c r="B731" s="134"/>
      <c r="C731" s="134"/>
      <c r="D731" s="134"/>
      <c r="E731" s="134"/>
      <c r="F731" s="134"/>
      <c r="G731" s="134"/>
      <c r="H731" s="134"/>
      <c r="I731" s="134"/>
      <c r="J731" s="134"/>
      <c r="K731" s="134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  <c r="V731" s="134"/>
      <c r="W731" s="134"/>
    </row>
    <row r="732">
      <c r="A732" s="134"/>
      <c r="B732" s="134"/>
      <c r="C732" s="134"/>
      <c r="D732" s="134"/>
      <c r="E732" s="134"/>
      <c r="F732" s="134"/>
      <c r="G732" s="134"/>
      <c r="H732" s="134"/>
      <c r="I732" s="134"/>
      <c r="J732" s="134"/>
      <c r="K732" s="134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  <c r="V732" s="134"/>
      <c r="W732" s="134"/>
    </row>
    <row r="733">
      <c r="A733" s="134"/>
      <c r="B733" s="134"/>
      <c r="C733" s="134"/>
      <c r="D733" s="134"/>
      <c r="E733" s="134"/>
      <c r="F733" s="134"/>
      <c r="G733" s="134"/>
      <c r="H733" s="134"/>
      <c r="I733" s="134"/>
      <c r="J733" s="134"/>
      <c r="K733" s="134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  <c r="V733" s="134"/>
      <c r="W733" s="134"/>
    </row>
    <row r="734">
      <c r="A734" s="134"/>
      <c r="B734" s="134"/>
      <c r="C734" s="134"/>
      <c r="D734" s="134"/>
      <c r="E734" s="134"/>
      <c r="F734" s="134"/>
      <c r="G734" s="134"/>
      <c r="H734" s="134"/>
      <c r="I734" s="134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  <c r="V734" s="134"/>
      <c r="W734" s="134"/>
    </row>
    <row r="735">
      <c r="A735" s="134"/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</row>
    <row r="736">
      <c r="A736" s="134"/>
      <c r="B736" s="134"/>
      <c r="C736" s="134"/>
      <c r="D736" s="134"/>
      <c r="E736" s="134"/>
      <c r="F736" s="134"/>
      <c r="G736" s="134"/>
      <c r="H736" s="134"/>
      <c r="I736" s="134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  <c r="V736" s="134"/>
      <c r="W736" s="134"/>
    </row>
    <row r="737">
      <c r="A737" s="134"/>
      <c r="B737" s="134"/>
      <c r="C737" s="134"/>
      <c r="D737" s="134"/>
      <c r="E737" s="134"/>
      <c r="F737" s="134"/>
      <c r="G737" s="134"/>
      <c r="H737" s="134"/>
      <c r="I737" s="134"/>
      <c r="J737" s="134"/>
      <c r="K737" s="134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  <c r="V737" s="134"/>
      <c r="W737" s="134"/>
    </row>
    <row r="738">
      <c r="A738" s="134"/>
      <c r="B738" s="134"/>
      <c r="C738" s="134"/>
      <c r="D738" s="134"/>
      <c r="E738" s="134"/>
      <c r="F738" s="134"/>
      <c r="G738" s="134"/>
      <c r="H738" s="134"/>
      <c r="I738" s="134"/>
      <c r="J738" s="134"/>
      <c r="K738" s="134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  <c r="V738" s="134"/>
      <c r="W738" s="134"/>
    </row>
    <row r="739">
      <c r="A739" s="134"/>
      <c r="B739" s="134"/>
      <c r="C739" s="134"/>
      <c r="D739" s="134"/>
      <c r="E739" s="134"/>
      <c r="F739" s="134"/>
      <c r="G739" s="134"/>
      <c r="H739" s="134"/>
      <c r="I739" s="134"/>
      <c r="J739" s="134"/>
      <c r="K739" s="134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  <c r="V739" s="134"/>
      <c r="W739" s="134"/>
    </row>
    <row r="740">
      <c r="A740" s="134"/>
      <c r="B740" s="134"/>
      <c r="C740" s="134"/>
      <c r="D740" s="134"/>
      <c r="E740" s="134"/>
      <c r="F740" s="134"/>
      <c r="G740" s="134"/>
      <c r="H740" s="134"/>
      <c r="I740" s="134"/>
      <c r="J740" s="134"/>
      <c r="K740" s="134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  <c r="V740" s="134"/>
      <c r="W740" s="134"/>
    </row>
    <row r="741">
      <c r="A741" s="134"/>
      <c r="B741" s="134"/>
      <c r="C741" s="134"/>
      <c r="D741" s="134"/>
      <c r="E741" s="134"/>
      <c r="F741" s="134"/>
      <c r="G741" s="134"/>
      <c r="H741" s="134"/>
      <c r="I741" s="134"/>
      <c r="J741" s="134"/>
      <c r="K741" s="134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  <c r="V741" s="134"/>
      <c r="W741" s="134"/>
    </row>
    <row r="742">
      <c r="A742" s="134"/>
      <c r="B742" s="134"/>
      <c r="C742" s="134"/>
      <c r="D742" s="134"/>
      <c r="E742" s="134"/>
      <c r="F742" s="134"/>
      <c r="G742" s="134"/>
      <c r="H742" s="134"/>
      <c r="I742" s="134"/>
      <c r="J742" s="134"/>
      <c r="K742" s="134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  <c r="V742" s="134"/>
      <c r="W742" s="134"/>
    </row>
    <row r="743">
      <c r="A743" s="134"/>
      <c r="B743" s="134"/>
      <c r="C743" s="134"/>
      <c r="D743" s="134"/>
      <c r="E743" s="134"/>
      <c r="F743" s="134"/>
      <c r="G743" s="134"/>
      <c r="H743" s="134"/>
      <c r="I743" s="134"/>
      <c r="J743" s="134"/>
      <c r="K743" s="134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  <c r="V743" s="134"/>
      <c r="W743" s="134"/>
    </row>
    <row r="744">
      <c r="A744" s="134"/>
      <c r="B744" s="134"/>
      <c r="C744" s="134"/>
      <c r="D744" s="134"/>
      <c r="E744" s="134"/>
      <c r="F744" s="134"/>
      <c r="G744" s="134"/>
      <c r="H744" s="134"/>
      <c r="I744" s="134"/>
      <c r="J744" s="134"/>
      <c r="K744" s="134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  <c r="V744" s="134"/>
      <c r="W744" s="134"/>
    </row>
    <row r="745">
      <c r="A745" s="134"/>
      <c r="B745" s="134"/>
      <c r="C745" s="134"/>
      <c r="D745" s="134"/>
      <c r="E745" s="134"/>
      <c r="F745" s="134"/>
      <c r="G745" s="134"/>
      <c r="H745" s="134"/>
      <c r="I745" s="134"/>
      <c r="J745" s="134"/>
      <c r="K745" s="134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  <c r="V745" s="134"/>
      <c r="W745" s="134"/>
    </row>
    <row r="746">
      <c r="A746" s="134"/>
      <c r="B746" s="134"/>
      <c r="C746" s="134"/>
      <c r="D746" s="134"/>
      <c r="E746" s="134"/>
      <c r="F746" s="134"/>
      <c r="G746" s="134"/>
      <c r="H746" s="134"/>
      <c r="I746" s="134"/>
      <c r="J746" s="134"/>
      <c r="K746" s="134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  <c r="V746" s="134"/>
      <c r="W746" s="134"/>
    </row>
    <row r="747">
      <c r="A747" s="134"/>
      <c r="B747" s="134"/>
      <c r="C747" s="134"/>
      <c r="D747" s="134"/>
      <c r="E747" s="134"/>
      <c r="F747" s="134"/>
      <c r="G747" s="134"/>
      <c r="H747" s="134"/>
      <c r="I747" s="134"/>
      <c r="J747" s="134"/>
      <c r="K747" s="134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  <c r="V747" s="134"/>
      <c r="W747" s="134"/>
    </row>
    <row r="748">
      <c r="A748" s="134"/>
      <c r="B748" s="134"/>
      <c r="C748" s="134"/>
      <c r="D748" s="134"/>
      <c r="E748" s="134"/>
      <c r="F748" s="134"/>
      <c r="G748" s="134"/>
      <c r="H748" s="134"/>
      <c r="I748" s="134"/>
      <c r="J748" s="134"/>
      <c r="K748" s="134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  <c r="V748" s="134"/>
      <c r="W748" s="134"/>
    </row>
    <row r="749">
      <c r="A749" s="134"/>
      <c r="B749" s="134"/>
      <c r="C749" s="134"/>
      <c r="D749" s="134"/>
      <c r="E749" s="134"/>
      <c r="F749" s="134"/>
      <c r="G749" s="134"/>
      <c r="H749" s="134"/>
      <c r="I749" s="134"/>
      <c r="J749" s="134"/>
      <c r="K749" s="134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  <c r="V749" s="134"/>
      <c r="W749" s="134"/>
    </row>
    <row r="750">
      <c r="A750" s="134"/>
      <c r="B750" s="134"/>
      <c r="C750" s="134"/>
      <c r="D750" s="134"/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  <c r="V750" s="134"/>
      <c r="W750" s="134"/>
    </row>
    <row r="751">
      <c r="A751" s="134"/>
      <c r="B751" s="134"/>
      <c r="C751" s="134"/>
      <c r="D751" s="134"/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  <c r="V751" s="134"/>
      <c r="W751" s="134"/>
    </row>
    <row r="752">
      <c r="A752" s="134"/>
      <c r="B752" s="134"/>
      <c r="C752" s="134"/>
      <c r="D752" s="134"/>
      <c r="E752" s="134"/>
      <c r="F752" s="134"/>
      <c r="G752" s="134"/>
      <c r="H752" s="134"/>
      <c r="I752" s="134"/>
      <c r="J752" s="134"/>
      <c r="K752" s="134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  <c r="V752" s="134"/>
      <c r="W752" s="134"/>
    </row>
    <row r="753">
      <c r="A753" s="134"/>
      <c r="B753" s="134"/>
      <c r="C753" s="134"/>
      <c r="D753" s="134"/>
      <c r="E753" s="134"/>
      <c r="F753" s="134"/>
      <c r="G753" s="134"/>
      <c r="H753" s="134"/>
      <c r="I753" s="134"/>
      <c r="J753" s="134"/>
      <c r="K753" s="134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  <c r="V753" s="134"/>
      <c r="W753" s="134"/>
    </row>
    <row r="754">
      <c r="A754" s="134"/>
      <c r="B754" s="134"/>
      <c r="C754" s="134"/>
      <c r="D754" s="134"/>
      <c r="E754" s="134"/>
      <c r="F754" s="134"/>
      <c r="G754" s="134"/>
      <c r="H754" s="134"/>
      <c r="I754" s="134"/>
      <c r="J754" s="134"/>
      <c r="K754" s="134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  <c r="V754" s="134"/>
      <c r="W754" s="134"/>
    </row>
    <row r="755">
      <c r="A755" s="134"/>
      <c r="B755" s="134"/>
      <c r="C755" s="134"/>
      <c r="D755" s="134"/>
      <c r="E755" s="134"/>
      <c r="F755" s="134"/>
      <c r="G755" s="134"/>
      <c r="H755" s="134"/>
      <c r="I755" s="134"/>
      <c r="J755" s="134"/>
      <c r="K755" s="134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  <c r="V755" s="134"/>
      <c r="W755" s="134"/>
    </row>
    <row r="756">
      <c r="A756" s="134"/>
      <c r="B756" s="134"/>
      <c r="C756" s="134"/>
      <c r="D756" s="134"/>
      <c r="E756" s="134"/>
      <c r="F756" s="134"/>
      <c r="G756" s="134"/>
      <c r="H756" s="134"/>
      <c r="I756" s="134"/>
      <c r="J756" s="134"/>
      <c r="K756" s="134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  <c r="V756" s="134"/>
      <c r="W756" s="134"/>
    </row>
    <row r="757">
      <c r="A757" s="134"/>
      <c r="B757" s="134"/>
      <c r="C757" s="134"/>
      <c r="D757" s="134"/>
      <c r="E757" s="134"/>
      <c r="F757" s="134"/>
      <c r="G757" s="134"/>
      <c r="H757" s="134"/>
      <c r="I757" s="134"/>
      <c r="J757" s="134"/>
      <c r="K757" s="134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  <c r="V757" s="134"/>
      <c r="W757" s="134"/>
    </row>
    <row r="758">
      <c r="A758" s="134"/>
      <c r="B758" s="134"/>
      <c r="C758" s="134"/>
      <c r="D758" s="134"/>
      <c r="E758" s="134"/>
      <c r="F758" s="134"/>
      <c r="G758" s="134"/>
      <c r="H758" s="134"/>
      <c r="I758" s="134"/>
      <c r="J758" s="134"/>
      <c r="K758" s="134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  <c r="V758" s="134"/>
      <c r="W758" s="134"/>
    </row>
    <row r="759">
      <c r="A759" s="134"/>
      <c r="B759" s="134"/>
      <c r="C759" s="134"/>
      <c r="D759" s="134"/>
      <c r="E759" s="134"/>
      <c r="F759" s="134"/>
      <c r="G759" s="134"/>
      <c r="H759" s="134"/>
      <c r="I759" s="134"/>
      <c r="J759" s="134"/>
      <c r="K759" s="134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  <c r="V759" s="134"/>
      <c r="W759" s="134"/>
    </row>
    <row r="760">
      <c r="A760" s="134"/>
      <c r="B760" s="134"/>
      <c r="C760" s="134"/>
      <c r="D760" s="134"/>
      <c r="E760" s="134"/>
      <c r="F760" s="134"/>
      <c r="G760" s="134"/>
      <c r="H760" s="134"/>
      <c r="I760" s="134"/>
      <c r="J760" s="134"/>
      <c r="K760" s="134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  <c r="V760" s="134"/>
      <c r="W760" s="134"/>
    </row>
    <row r="761">
      <c r="A761" s="134"/>
      <c r="B761" s="134"/>
      <c r="C761" s="134"/>
      <c r="D761" s="134"/>
      <c r="E761" s="134"/>
      <c r="F761" s="134"/>
      <c r="G761" s="134"/>
      <c r="H761" s="134"/>
      <c r="I761" s="134"/>
      <c r="J761" s="134"/>
      <c r="K761" s="134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  <c r="V761" s="134"/>
      <c r="W761" s="134"/>
    </row>
    <row r="762">
      <c r="A762" s="134"/>
      <c r="B762" s="134"/>
      <c r="C762" s="134"/>
      <c r="D762" s="134"/>
      <c r="E762" s="134"/>
      <c r="F762" s="134"/>
      <c r="G762" s="134"/>
      <c r="H762" s="134"/>
      <c r="I762" s="134"/>
      <c r="J762" s="134"/>
      <c r="K762" s="134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  <c r="V762" s="134"/>
      <c r="W762" s="134"/>
    </row>
    <row r="763">
      <c r="A763" s="134"/>
      <c r="B763" s="134"/>
      <c r="C763" s="134"/>
      <c r="D763" s="134"/>
      <c r="E763" s="134"/>
      <c r="F763" s="134"/>
      <c r="G763" s="134"/>
      <c r="H763" s="134"/>
      <c r="I763" s="134"/>
      <c r="J763" s="134"/>
      <c r="K763" s="134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  <c r="V763" s="134"/>
      <c r="W763" s="134"/>
    </row>
    <row r="764">
      <c r="A764" s="134"/>
      <c r="B764" s="134"/>
      <c r="C764" s="134"/>
      <c r="D764" s="134"/>
      <c r="E764" s="134"/>
      <c r="F764" s="134"/>
      <c r="G764" s="134"/>
      <c r="H764" s="134"/>
      <c r="I764" s="134"/>
      <c r="J764" s="134"/>
      <c r="K764" s="134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  <c r="V764" s="134"/>
      <c r="W764" s="134"/>
    </row>
    <row r="765">
      <c r="A765" s="134"/>
      <c r="B765" s="134"/>
      <c r="C765" s="134"/>
      <c r="D765" s="134"/>
      <c r="E765" s="134"/>
      <c r="F765" s="134"/>
      <c r="G765" s="134"/>
      <c r="H765" s="134"/>
      <c r="I765" s="134"/>
      <c r="J765" s="134"/>
      <c r="K765" s="134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  <c r="V765" s="134"/>
      <c r="W765" s="134"/>
    </row>
    <row r="766">
      <c r="A766" s="134"/>
      <c r="B766" s="134"/>
      <c r="C766" s="134"/>
      <c r="D766" s="134"/>
      <c r="E766" s="134"/>
      <c r="F766" s="134"/>
      <c r="G766" s="134"/>
      <c r="H766" s="134"/>
      <c r="I766" s="134"/>
      <c r="J766" s="134"/>
      <c r="K766" s="134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  <c r="V766" s="134"/>
      <c r="W766" s="134"/>
    </row>
    <row r="767">
      <c r="A767" s="134"/>
      <c r="B767" s="134"/>
      <c r="C767" s="134"/>
      <c r="D767" s="134"/>
      <c r="E767" s="134"/>
      <c r="F767" s="134"/>
      <c r="G767" s="134"/>
      <c r="H767" s="134"/>
      <c r="I767" s="134"/>
      <c r="J767" s="134"/>
      <c r="K767" s="134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  <c r="V767" s="134"/>
      <c r="W767" s="134"/>
    </row>
    <row r="768">
      <c r="A768" s="134"/>
      <c r="B768" s="134"/>
      <c r="C768" s="134"/>
      <c r="D768" s="134"/>
      <c r="E768" s="134"/>
      <c r="F768" s="134"/>
      <c r="G768" s="134"/>
      <c r="H768" s="134"/>
      <c r="I768" s="134"/>
      <c r="J768" s="134"/>
      <c r="K768" s="134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  <c r="V768" s="134"/>
      <c r="W768" s="134"/>
    </row>
    <row r="769">
      <c r="A769" s="134"/>
      <c r="B769" s="134"/>
      <c r="C769" s="134"/>
      <c r="D769" s="134"/>
      <c r="E769" s="134"/>
      <c r="F769" s="134"/>
      <c r="G769" s="134"/>
      <c r="H769" s="134"/>
      <c r="I769" s="134"/>
      <c r="J769" s="134"/>
      <c r="K769" s="134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  <c r="V769" s="134"/>
      <c r="W769" s="134"/>
    </row>
    <row r="770">
      <c r="A770" s="134"/>
      <c r="B770" s="134"/>
      <c r="C770" s="134"/>
      <c r="D770" s="134"/>
      <c r="E770" s="134"/>
      <c r="F770" s="134"/>
      <c r="G770" s="134"/>
      <c r="H770" s="134"/>
      <c r="I770" s="134"/>
      <c r="J770" s="134"/>
      <c r="K770" s="134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  <c r="V770" s="134"/>
      <c r="W770" s="134"/>
    </row>
    <row r="771">
      <c r="A771" s="134"/>
      <c r="B771" s="134"/>
      <c r="C771" s="134"/>
      <c r="D771" s="134"/>
      <c r="E771" s="134"/>
      <c r="F771" s="134"/>
      <c r="G771" s="134"/>
      <c r="H771" s="134"/>
      <c r="I771" s="134"/>
      <c r="J771" s="134"/>
      <c r="K771" s="134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  <c r="V771" s="134"/>
      <c r="W771" s="134"/>
    </row>
    <row r="772">
      <c r="A772" s="134"/>
      <c r="B772" s="134"/>
      <c r="C772" s="134"/>
      <c r="D772" s="134"/>
      <c r="E772" s="134"/>
      <c r="F772" s="134"/>
      <c r="G772" s="134"/>
      <c r="H772" s="134"/>
      <c r="I772" s="134"/>
      <c r="J772" s="134"/>
      <c r="K772" s="134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  <c r="V772" s="134"/>
      <c r="W772" s="134"/>
    </row>
    <row r="773">
      <c r="A773" s="134"/>
      <c r="B773" s="134"/>
      <c r="C773" s="134"/>
      <c r="D773" s="134"/>
      <c r="E773" s="134"/>
      <c r="F773" s="134"/>
      <c r="G773" s="134"/>
      <c r="H773" s="134"/>
      <c r="I773" s="134"/>
      <c r="J773" s="134"/>
      <c r="K773" s="134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  <c r="V773" s="134"/>
      <c r="W773" s="134"/>
    </row>
    <row r="774">
      <c r="A774" s="134"/>
      <c r="B774" s="134"/>
      <c r="C774" s="134"/>
      <c r="D774" s="134"/>
      <c r="E774" s="134"/>
      <c r="F774" s="134"/>
      <c r="G774" s="134"/>
      <c r="H774" s="134"/>
      <c r="I774" s="134"/>
      <c r="J774" s="134"/>
      <c r="K774" s="134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  <c r="V774" s="134"/>
      <c r="W774" s="134"/>
    </row>
    <row r="775">
      <c r="A775" s="134"/>
      <c r="B775" s="134"/>
      <c r="C775" s="134"/>
      <c r="D775" s="134"/>
      <c r="E775" s="134"/>
      <c r="F775" s="134"/>
      <c r="G775" s="134"/>
      <c r="H775" s="134"/>
      <c r="I775" s="134"/>
      <c r="J775" s="134"/>
      <c r="K775" s="134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  <c r="V775" s="134"/>
      <c r="W775" s="134"/>
    </row>
    <row r="776">
      <c r="A776" s="134"/>
      <c r="B776" s="134"/>
      <c r="C776" s="134"/>
      <c r="D776" s="134"/>
      <c r="E776" s="134"/>
      <c r="F776" s="134"/>
      <c r="G776" s="134"/>
      <c r="H776" s="134"/>
      <c r="I776" s="134"/>
      <c r="J776" s="134"/>
      <c r="K776" s="134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  <c r="V776" s="134"/>
      <c r="W776" s="134"/>
    </row>
    <row r="777">
      <c r="A777" s="134"/>
      <c r="B777" s="134"/>
      <c r="C777" s="134"/>
      <c r="D777" s="134"/>
      <c r="E777" s="134"/>
      <c r="F777" s="134"/>
      <c r="G777" s="134"/>
      <c r="H777" s="134"/>
      <c r="I777" s="134"/>
      <c r="J777" s="134"/>
      <c r="K777" s="134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  <c r="V777" s="134"/>
      <c r="W777" s="134"/>
    </row>
    <row r="778">
      <c r="A778" s="134"/>
      <c r="B778" s="134"/>
      <c r="C778" s="134"/>
      <c r="D778" s="134"/>
      <c r="E778" s="134"/>
      <c r="F778" s="134"/>
      <c r="G778" s="134"/>
      <c r="H778" s="134"/>
      <c r="I778" s="134"/>
      <c r="J778" s="134"/>
      <c r="K778" s="134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  <c r="V778" s="134"/>
      <c r="W778" s="134"/>
    </row>
    <row r="779">
      <c r="A779" s="134"/>
      <c r="B779" s="134"/>
      <c r="C779" s="134"/>
      <c r="D779" s="134"/>
      <c r="E779" s="134"/>
      <c r="F779" s="134"/>
      <c r="G779" s="134"/>
      <c r="H779" s="134"/>
      <c r="I779" s="134"/>
      <c r="J779" s="134"/>
      <c r="K779" s="134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  <c r="V779" s="134"/>
      <c r="W779" s="134"/>
    </row>
    <row r="780">
      <c r="A780" s="134"/>
      <c r="B780" s="134"/>
      <c r="C780" s="134"/>
      <c r="D780" s="134"/>
      <c r="E780" s="134"/>
      <c r="F780" s="134"/>
      <c r="G780" s="134"/>
      <c r="H780" s="134"/>
      <c r="I780" s="134"/>
      <c r="J780" s="134"/>
      <c r="K780" s="134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  <c r="V780" s="134"/>
      <c r="W780" s="134"/>
    </row>
    <row r="781">
      <c r="A781" s="134"/>
      <c r="B781" s="134"/>
      <c r="C781" s="134"/>
      <c r="D781" s="134"/>
      <c r="E781" s="134"/>
      <c r="F781" s="134"/>
      <c r="G781" s="134"/>
      <c r="H781" s="134"/>
      <c r="I781" s="134"/>
      <c r="J781" s="134"/>
      <c r="K781" s="134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  <c r="V781" s="134"/>
      <c r="W781" s="134"/>
    </row>
    <row r="782">
      <c r="A782" s="134"/>
      <c r="B782" s="134"/>
      <c r="C782" s="134"/>
      <c r="D782" s="134"/>
      <c r="E782" s="134"/>
      <c r="F782" s="134"/>
      <c r="G782" s="134"/>
      <c r="H782" s="134"/>
      <c r="I782" s="134"/>
      <c r="J782" s="134"/>
      <c r="K782" s="134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  <c r="V782" s="134"/>
      <c r="W782" s="134"/>
    </row>
    <row r="783">
      <c r="A783" s="134"/>
      <c r="B783" s="134"/>
      <c r="C783" s="134"/>
      <c r="D783" s="134"/>
      <c r="E783" s="134"/>
      <c r="F783" s="134"/>
      <c r="G783" s="134"/>
      <c r="H783" s="134"/>
      <c r="I783" s="134"/>
      <c r="J783" s="134"/>
      <c r="K783" s="134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  <c r="V783" s="134"/>
      <c r="W783" s="134"/>
    </row>
    <row r="784">
      <c r="A784" s="134"/>
      <c r="B784" s="134"/>
      <c r="C784" s="134"/>
      <c r="D784" s="134"/>
      <c r="E784" s="134"/>
      <c r="F784" s="134"/>
      <c r="G784" s="134"/>
      <c r="H784" s="134"/>
      <c r="I784" s="134"/>
      <c r="J784" s="134"/>
      <c r="K784" s="134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  <c r="V784" s="134"/>
      <c r="W784" s="134"/>
    </row>
    <row r="785">
      <c r="A785" s="134"/>
      <c r="B785" s="134"/>
      <c r="C785" s="134"/>
      <c r="D785" s="134"/>
      <c r="E785" s="134"/>
      <c r="F785" s="134"/>
      <c r="G785" s="134"/>
      <c r="H785" s="134"/>
      <c r="I785" s="134"/>
      <c r="J785" s="134"/>
      <c r="K785" s="134"/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  <c r="V785" s="134"/>
      <c r="W785" s="134"/>
    </row>
    <row r="786">
      <c r="A786" s="134"/>
      <c r="B786" s="134"/>
      <c r="C786" s="134"/>
      <c r="D786" s="134"/>
      <c r="E786" s="134"/>
      <c r="F786" s="134"/>
      <c r="G786" s="134"/>
      <c r="H786" s="134"/>
      <c r="I786" s="134"/>
      <c r="J786" s="134"/>
      <c r="K786" s="134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  <c r="V786" s="134"/>
      <c r="W786" s="134"/>
    </row>
    <row r="787">
      <c r="A787" s="134"/>
      <c r="B787" s="134"/>
      <c r="C787" s="134"/>
      <c r="D787" s="134"/>
      <c r="E787" s="134"/>
      <c r="F787" s="134"/>
      <c r="G787" s="134"/>
      <c r="H787" s="134"/>
      <c r="I787" s="134"/>
      <c r="J787" s="134"/>
      <c r="K787" s="134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  <c r="V787" s="134"/>
      <c r="W787" s="134"/>
    </row>
    <row r="788">
      <c r="A788" s="134"/>
      <c r="B788" s="134"/>
      <c r="C788" s="134"/>
      <c r="D788" s="134"/>
      <c r="E788" s="134"/>
      <c r="F788" s="134"/>
      <c r="G788" s="134"/>
      <c r="H788" s="134"/>
      <c r="I788" s="134"/>
      <c r="J788" s="134"/>
      <c r="K788" s="134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  <c r="V788" s="134"/>
      <c r="W788" s="134"/>
    </row>
    <row r="789">
      <c r="A789" s="134"/>
      <c r="B789" s="134"/>
      <c r="C789" s="134"/>
      <c r="D789" s="134"/>
      <c r="E789" s="134"/>
      <c r="F789" s="134"/>
      <c r="G789" s="134"/>
      <c r="H789" s="134"/>
      <c r="I789" s="134"/>
      <c r="J789" s="134"/>
      <c r="K789" s="134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  <c r="V789" s="134"/>
      <c r="W789" s="134"/>
    </row>
    <row r="790">
      <c r="A790" s="134"/>
      <c r="B790" s="134"/>
      <c r="C790" s="134"/>
      <c r="D790" s="134"/>
      <c r="E790" s="134"/>
      <c r="F790" s="134"/>
      <c r="G790" s="134"/>
      <c r="H790" s="134"/>
      <c r="I790" s="134"/>
      <c r="J790" s="134"/>
      <c r="K790" s="134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  <c r="V790" s="134"/>
      <c r="W790" s="134"/>
    </row>
    <row r="791">
      <c r="A791" s="134"/>
      <c r="B791" s="134"/>
      <c r="C791" s="134"/>
      <c r="D791" s="134"/>
      <c r="E791" s="134"/>
      <c r="F791" s="134"/>
      <c r="G791" s="134"/>
      <c r="H791" s="134"/>
      <c r="I791" s="134"/>
      <c r="J791" s="134"/>
      <c r="K791" s="134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  <c r="V791" s="134"/>
      <c r="W791" s="134"/>
    </row>
    <row r="792">
      <c r="A792" s="134"/>
      <c r="B792" s="134"/>
      <c r="C792" s="134"/>
      <c r="D792" s="134"/>
      <c r="E792" s="134"/>
      <c r="F792" s="134"/>
      <c r="G792" s="134"/>
      <c r="H792" s="134"/>
      <c r="I792" s="134"/>
      <c r="J792" s="134"/>
      <c r="K792" s="134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  <c r="V792" s="134"/>
      <c r="W792" s="134"/>
    </row>
    <row r="793">
      <c r="A793" s="134"/>
      <c r="B793" s="134"/>
      <c r="C793" s="134"/>
      <c r="D793" s="134"/>
      <c r="E793" s="134"/>
      <c r="F793" s="134"/>
      <c r="G793" s="134"/>
      <c r="H793" s="134"/>
      <c r="I793" s="134"/>
      <c r="J793" s="134"/>
      <c r="K793" s="134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  <c r="V793" s="134"/>
      <c r="W793" s="134"/>
    </row>
    <row r="794">
      <c r="A794" s="134"/>
      <c r="B794" s="134"/>
      <c r="C794" s="134"/>
      <c r="D794" s="134"/>
      <c r="E794" s="134"/>
      <c r="F794" s="134"/>
      <c r="G794" s="134"/>
      <c r="H794" s="134"/>
      <c r="I794" s="134"/>
      <c r="J794" s="134"/>
      <c r="K794" s="134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  <c r="V794" s="134"/>
      <c r="W794" s="134"/>
    </row>
    <row r="795">
      <c r="A795" s="134"/>
      <c r="B795" s="134"/>
      <c r="C795" s="134"/>
      <c r="D795" s="134"/>
      <c r="E795" s="134"/>
      <c r="F795" s="134"/>
      <c r="G795" s="134"/>
      <c r="H795" s="134"/>
      <c r="I795" s="134"/>
      <c r="J795" s="134"/>
      <c r="K795" s="134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  <c r="V795" s="134"/>
      <c r="W795" s="134"/>
    </row>
    <row r="796">
      <c r="A796" s="134"/>
      <c r="B796" s="134"/>
      <c r="C796" s="134"/>
      <c r="D796" s="134"/>
      <c r="E796" s="134"/>
      <c r="F796" s="134"/>
      <c r="G796" s="134"/>
      <c r="H796" s="134"/>
      <c r="I796" s="134"/>
      <c r="J796" s="134"/>
      <c r="K796" s="134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  <c r="V796" s="134"/>
      <c r="W796" s="134"/>
    </row>
    <row r="797">
      <c r="A797" s="134"/>
      <c r="B797" s="134"/>
      <c r="C797" s="134"/>
      <c r="D797" s="134"/>
      <c r="E797" s="134"/>
      <c r="F797" s="134"/>
      <c r="G797" s="134"/>
      <c r="H797" s="134"/>
      <c r="I797" s="134"/>
      <c r="J797" s="134"/>
      <c r="K797" s="134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  <c r="V797" s="134"/>
      <c r="W797" s="134"/>
    </row>
    <row r="798">
      <c r="A798" s="134"/>
      <c r="B798" s="134"/>
      <c r="C798" s="134"/>
      <c r="D798" s="134"/>
      <c r="E798" s="134"/>
      <c r="F798" s="134"/>
      <c r="G798" s="134"/>
      <c r="H798" s="134"/>
      <c r="I798" s="134"/>
      <c r="J798" s="134"/>
      <c r="K798" s="134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  <c r="V798" s="134"/>
      <c r="W798" s="134"/>
    </row>
    <row r="799">
      <c r="A799" s="134"/>
      <c r="B799" s="134"/>
      <c r="C799" s="134"/>
      <c r="D799" s="134"/>
      <c r="E799" s="134"/>
      <c r="F799" s="134"/>
      <c r="G799" s="134"/>
      <c r="H799" s="134"/>
      <c r="I799" s="134"/>
      <c r="J799" s="134"/>
      <c r="K799" s="134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  <c r="V799" s="134"/>
      <c r="W799" s="134"/>
    </row>
    <row r="800">
      <c r="A800" s="134"/>
      <c r="B800" s="134"/>
      <c r="C800" s="134"/>
      <c r="D800" s="134"/>
      <c r="E800" s="134"/>
      <c r="F800" s="134"/>
      <c r="G800" s="134"/>
      <c r="H800" s="134"/>
      <c r="I800" s="134"/>
      <c r="J800" s="134"/>
      <c r="K800" s="134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  <c r="V800" s="134"/>
      <c r="W800" s="134"/>
    </row>
    <row r="801">
      <c r="A801" s="134"/>
      <c r="B801" s="134"/>
      <c r="C801" s="134"/>
      <c r="D801" s="134"/>
      <c r="E801" s="134"/>
      <c r="F801" s="134"/>
      <c r="G801" s="134"/>
      <c r="H801" s="134"/>
      <c r="I801" s="134"/>
      <c r="J801" s="134"/>
      <c r="K801" s="134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  <c r="V801" s="134"/>
      <c r="W801" s="134"/>
    </row>
    <row r="802">
      <c r="A802" s="134"/>
      <c r="B802" s="134"/>
      <c r="C802" s="134"/>
      <c r="D802" s="134"/>
      <c r="E802" s="134"/>
      <c r="F802" s="134"/>
      <c r="G802" s="134"/>
      <c r="H802" s="134"/>
      <c r="I802" s="134"/>
      <c r="J802" s="134"/>
      <c r="K802" s="134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  <c r="V802" s="134"/>
      <c r="W802" s="134"/>
    </row>
    <row r="803">
      <c r="A803" s="134"/>
      <c r="B803" s="134"/>
      <c r="C803" s="134"/>
      <c r="D803" s="134"/>
      <c r="E803" s="134"/>
      <c r="F803" s="134"/>
      <c r="G803" s="134"/>
      <c r="H803" s="134"/>
      <c r="I803" s="134"/>
      <c r="J803" s="134"/>
      <c r="K803" s="134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  <c r="V803" s="134"/>
      <c r="W803" s="134"/>
    </row>
    <row r="804">
      <c r="A804" s="134"/>
      <c r="B804" s="134"/>
      <c r="C804" s="134"/>
      <c r="D804" s="134"/>
      <c r="E804" s="134"/>
      <c r="F804" s="134"/>
      <c r="G804" s="134"/>
      <c r="H804" s="134"/>
      <c r="I804" s="134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  <c r="V804" s="134"/>
      <c r="W804" s="134"/>
    </row>
    <row r="805">
      <c r="A805" s="134"/>
      <c r="B805" s="134"/>
      <c r="C805" s="134"/>
      <c r="D805" s="134"/>
      <c r="E805" s="134"/>
      <c r="F805" s="134"/>
      <c r="G805" s="134"/>
      <c r="H805" s="134"/>
      <c r="I805" s="134"/>
      <c r="J805" s="134"/>
      <c r="K805" s="134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  <c r="V805" s="134"/>
      <c r="W805" s="134"/>
    </row>
    <row r="806">
      <c r="A806" s="134"/>
      <c r="B806" s="134"/>
      <c r="C806" s="134"/>
      <c r="D806" s="134"/>
      <c r="E806" s="134"/>
      <c r="F806" s="134"/>
      <c r="G806" s="134"/>
      <c r="H806" s="134"/>
      <c r="I806" s="134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  <c r="V806" s="134"/>
      <c r="W806" s="134"/>
    </row>
    <row r="807">
      <c r="A807" s="134"/>
      <c r="B807" s="134"/>
      <c r="C807" s="134"/>
      <c r="D807" s="134"/>
      <c r="E807" s="134"/>
      <c r="F807" s="134"/>
      <c r="G807" s="134"/>
      <c r="H807" s="134"/>
      <c r="I807" s="134"/>
      <c r="J807" s="134"/>
      <c r="K807" s="134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  <c r="V807" s="134"/>
      <c r="W807" s="134"/>
    </row>
    <row r="808">
      <c r="A808" s="134"/>
      <c r="B808" s="134"/>
      <c r="C808" s="134"/>
      <c r="D808" s="134"/>
      <c r="E808" s="134"/>
      <c r="F808" s="134"/>
      <c r="G808" s="134"/>
      <c r="H808" s="134"/>
      <c r="I808" s="134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  <c r="V808" s="134"/>
      <c r="W808" s="134"/>
    </row>
    <row r="809">
      <c r="A809" s="134"/>
      <c r="B809" s="134"/>
      <c r="C809" s="134"/>
      <c r="D809" s="134"/>
      <c r="E809" s="134"/>
      <c r="F809" s="134"/>
      <c r="G809" s="134"/>
      <c r="H809" s="134"/>
      <c r="I809" s="134"/>
      <c r="J809" s="134"/>
      <c r="K809" s="134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  <c r="V809" s="134"/>
      <c r="W809" s="134"/>
    </row>
    <row r="810">
      <c r="A810" s="134"/>
      <c r="B810" s="134"/>
      <c r="C810" s="134"/>
      <c r="D810" s="134"/>
      <c r="E810" s="134"/>
      <c r="F810" s="134"/>
      <c r="G810" s="134"/>
      <c r="H810" s="134"/>
      <c r="I810" s="134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  <c r="V810" s="134"/>
      <c r="W810" s="134"/>
    </row>
    <row r="811">
      <c r="A811" s="134"/>
      <c r="B811" s="134"/>
      <c r="C811" s="134"/>
      <c r="D811" s="134"/>
      <c r="E811" s="134"/>
      <c r="F811" s="134"/>
      <c r="G811" s="134"/>
      <c r="H811" s="134"/>
      <c r="I811" s="134"/>
      <c r="J811" s="134"/>
      <c r="K811" s="134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  <c r="V811" s="134"/>
      <c r="W811" s="134"/>
    </row>
    <row r="812">
      <c r="A812" s="134"/>
      <c r="B812" s="134"/>
      <c r="C812" s="134"/>
      <c r="D812" s="134"/>
      <c r="E812" s="134"/>
      <c r="F812" s="134"/>
      <c r="G812" s="134"/>
      <c r="H812" s="134"/>
      <c r="I812" s="134"/>
      <c r="J812" s="134"/>
      <c r="K812" s="134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  <c r="V812" s="134"/>
      <c r="W812" s="134"/>
    </row>
    <row r="813">
      <c r="A813" s="134"/>
      <c r="B813" s="134"/>
      <c r="C813" s="134"/>
      <c r="D813" s="134"/>
      <c r="E813" s="134"/>
      <c r="F813" s="134"/>
      <c r="G813" s="134"/>
      <c r="H813" s="134"/>
      <c r="I813" s="134"/>
      <c r="J813" s="134"/>
      <c r="K813" s="134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  <c r="V813" s="134"/>
      <c r="W813" s="134"/>
    </row>
    <row r="814">
      <c r="A814" s="134"/>
      <c r="B814" s="134"/>
      <c r="C814" s="134"/>
      <c r="D814" s="134"/>
      <c r="E814" s="134"/>
      <c r="F814" s="134"/>
      <c r="G814" s="134"/>
      <c r="H814" s="134"/>
      <c r="I814" s="134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  <c r="V814" s="134"/>
      <c r="W814" s="134"/>
    </row>
    <row r="815">
      <c r="A815" s="134"/>
      <c r="B815" s="134"/>
      <c r="C815" s="134"/>
      <c r="D815" s="134"/>
      <c r="E815" s="134"/>
      <c r="F815" s="134"/>
      <c r="G815" s="134"/>
      <c r="H815" s="134"/>
      <c r="I815" s="134"/>
      <c r="J815" s="134"/>
      <c r="K815" s="134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  <c r="V815" s="134"/>
      <c r="W815" s="134"/>
    </row>
    <row r="816">
      <c r="A816" s="134"/>
      <c r="B816" s="134"/>
      <c r="C816" s="134"/>
      <c r="D816" s="134"/>
      <c r="E816" s="134"/>
      <c r="F816" s="134"/>
      <c r="G816" s="134"/>
      <c r="H816" s="134"/>
      <c r="I816" s="134"/>
      <c r="J816" s="134"/>
      <c r="K816" s="134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  <c r="V816" s="134"/>
      <c r="W816" s="134"/>
    </row>
    <row r="817">
      <c r="A817" s="134"/>
      <c r="B817" s="134"/>
      <c r="C817" s="134"/>
      <c r="D817" s="134"/>
      <c r="E817" s="134"/>
      <c r="F817" s="134"/>
      <c r="G817" s="134"/>
      <c r="H817" s="134"/>
      <c r="I817" s="134"/>
      <c r="J817" s="134"/>
      <c r="K817" s="134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  <c r="V817" s="134"/>
      <c r="W817" s="134"/>
    </row>
    <row r="818">
      <c r="A818" s="134"/>
      <c r="B818" s="134"/>
      <c r="C818" s="134"/>
      <c r="D818" s="134"/>
      <c r="E818" s="134"/>
      <c r="F818" s="134"/>
      <c r="G818" s="134"/>
      <c r="H818" s="134"/>
      <c r="I818" s="134"/>
      <c r="J818" s="134"/>
      <c r="K818" s="134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  <c r="V818" s="134"/>
      <c r="W818" s="134"/>
    </row>
    <row r="819">
      <c r="A819" s="134"/>
      <c r="B819" s="134"/>
      <c r="C819" s="134"/>
      <c r="D819" s="134"/>
      <c r="E819" s="134"/>
      <c r="F819" s="134"/>
      <c r="G819" s="134"/>
      <c r="H819" s="134"/>
      <c r="I819" s="134"/>
      <c r="J819" s="134"/>
      <c r="K819" s="134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  <c r="V819" s="134"/>
      <c r="W819" s="134"/>
    </row>
    <row r="820">
      <c r="A820" s="134"/>
      <c r="B820" s="134"/>
      <c r="C820" s="134"/>
      <c r="D820" s="134"/>
      <c r="E820" s="134"/>
      <c r="F820" s="134"/>
      <c r="G820" s="134"/>
      <c r="H820" s="134"/>
      <c r="I820" s="134"/>
      <c r="J820" s="134"/>
      <c r="K820" s="134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  <c r="V820" s="134"/>
      <c r="W820" s="134"/>
    </row>
    <row r="821">
      <c r="A821" s="134"/>
      <c r="B821" s="134"/>
      <c r="C821" s="134"/>
      <c r="D821" s="134"/>
      <c r="E821" s="134"/>
      <c r="F821" s="134"/>
      <c r="G821" s="134"/>
      <c r="H821" s="134"/>
      <c r="I821" s="134"/>
      <c r="J821" s="134"/>
      <c r="K821" s="134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  <c r="V821" s="134"/>
      <c r="W821" s="134"/>
    </row>
    <row r="822">
      <c r="A822" s="134"/>
      <c r="B822" s="134"/>
      <c r="C822" s="134"/>
      <c r="D822" s="134"/>
      <c r="E822" s="134"/>
      <c r="F822" s="134"/>
      <c r="G822" s="134"/>
      <c r="H822" s="134"/>
      <c r="I822" s="134"/>
      <c r="J822" s="134"/>
      <c r="K822" s="134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  <c r="V822" s="134"/>
      <c r="W822" s="134"/>
    </row>
    <row r="823">
      <c r="A823" s="134"/>
      <c r="B823" s="134"/>
      <c r="C823" s="134"/>
      <c r="D823" s="134"/>
      <c r="E823" s="134"/>
      <c r="F823" s="134"/>
      <c r="G823" s="134"/>
      <c r="H823" s="134"/>
      <c r="I823" s="134"/>
      <c r="J823" s="134"/>
      <c r="K823" s="134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  <c r="V823" s="134"/>
      <c r="W823" s="134"/>
    </row>
    <row r="824">
      <c r="A824" s="134"/>
      <c r="B824" s="134"/>
      <c r="C824" s="134"/>
      <c r="D824" s="134"/>
      <c r="E824" s="134"/>
      <c r="F824" s="134"/>
      <c r="G824" s="134"/>
      <c r="H824" s="134"/>
      <c r="I824" s="134"/>
      <c r="J824" s="134"/>
      <c r="K824" s="134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  <c r="V824" s="134"/>
      <c r="W824" s="134"/>
    </row>
    <row r="825">
      <c r="A825" s="134"/>
      <c r="B825" s="134"/>
      <c r="C825" s="134"/>
      <c r="D825" s="134"/>
      <c r="E825" s="134"/>
      <c r="F825" s="134"/>
      <c r="G825" s="134"/>
      <c r="H825" s="134"/>
      <c r="I825" s="134"/>
      <c r="J825" s="134"/>
      <c r="K825" s="134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  <c r="V825" s="134"/>
      <c r="W825" s="134"/>
    </row>
    <row r="826">
      <c r="A826" s="134"/>
      <c r="B826" s="134"/>
      <c r="C826" s="134"/>
      <c r="D826" s="134"/>
      <c r="E826" s="134"/>
      <c r="F826" s="134"/>
      <c r="G826" s="134"/>
      <c r="H826" s="134"/>
      <c r="I826" s="134"/>
      <c r="J826" s="134"/>
      <c r="K826" s="134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  <c r="V826" s="134"/>
      <c r="W826" s="134"/>
    </row>
    <row r="827">
      <c r="A827" s="134"/>
      <c r="B827" s="134"/>
      <c r="C827" s="134"/>
      <c r="D827" s="134"/>
      <c r="E827" s="134"/>
      <c r="F827" s="134"/>
      <c r="G827" s="134"/>
      <c r="H827" s="134"/>
      <c r="I827" s="134"/>
      <c r="J827" s="134"/>
      <c r="K827" s="134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  <c r="V827" s="134"/>
      <c r="W827" s="134"/>
    </row>
    <row r="828">
      <c r="A828" s="134"/>
      <c r="B828" s="134"/>
      <c r="C828" s="134"/>
      <c r="D828" s="134"/>
      <c r="E828" s="134"/>
      <c r="F828" s="134"/>
      <c r="G828" s="134"/>
      <c r="H828" s="134"/>
      <c r="I828" s="134"/>
      <c r="J828" s="134"/>
      <c r="K828" s="134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  <c r="V828" s="134"/>
      <c r="W828" s="134"/>
    </row>
    <row r="829">
      <c r="A829" s="134"/>
      <c r="B829" s="134"/>
      <c r="C829" s="134"/>
      <c r="D829" s="134"/>
      <c r="E829" s="134"/>
      <c r="F829" s="134"/>
      <c r="G829" s="134"/>
      <c r="H829" s="134"/>
      <c r="I829" s="134"/>
      <c r="J829" s="134"/>
      <c r="K829" s="134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  <c r="V829" s="134"/>
      <c r="W829" s="134"/>
    </row>
    <row r="830">
      <c r="A830" s="134"/>
      <c r="B830" s="134"/>
      <c r="C830" s="134"/>
      <c r="D830" s="134"/>
      <c r="E830" s="134"/>
      <c r="F830" s="134"/>
      <c r="G830" s="134"/>
      <c r="H830" s="134"/>
      <c r="I830" s="134"/>
      <c r="J830" s="134"/>
      <c r="K830" s="134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  <c r="V830" s="134"/>
      <c r="W830" s="134"/>
    </row>
    <row r="831">
      <c r="A831" s="134"/>
      <c r="B831" s="134"/>
      <c r="C831" s="134"/>
      <c r="D831" s="134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  <c r="V831" s="134"/>
      <c r="W831" s="134"/>
    </row>
    <row r="832">
      <c r="A832" s="134"/>
      <c r="B832" s="134"/>
      <c r="C832" s="134"/>
      <c r="D832" s="134"/>
      <c r="E832" s="134"/>
      <c r="F832" s="134"/>
      <c r="G832" s="134"/>
      <c r="H832" s="134"/>
      <c r="I832" s="134"/>
      <c r="J832" s="134"/>
      <c r="K832" s="134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  <c r="V832" s="134"/>
      <c r="W832" s="134"/>
    </row>
    <row r="833">
      <c r="A833" s="134"/>
      <c r="B833" s="134"/>
      <c r="C833" s="134"/>
      <c r="D833" s="134"/>
      <c r="E833" s="134"/>
      <c r="F833" s="134"/>
      <c r="G833" s="134"/>
      <c r="H833" s="134"/>
      <c r="I833" s="134"/>
      <c r="J833" s="134"/>
      <c r="K833" s="134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  <c r="V833" s="134"/>
      <c r="W833" s="134"/>
    </row>
    <row r="834">
      <c r="A834" s="134"/>
      <c r="B834" s="134"/>
      <c r="C834" s="134"/>
      <c r="D834" s="134"/>
      <c r="E834" s="134"/>
      <c r="F834" s="134"/>
      <c r="G834" s="134"/>
      <c r="H834" s="134"/>
      <c r="I834" s="134"/>
      <c r="J834" s="134"/>
      <c r="K834" s="134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  <c r="V834" s="134"/>
      <c r="W834" s="134"/>
    </row>
    <row r="835">
      <c r="A835" s="134"/>
      <c r="B835" s="134"/>
      <c r="C835" s="134"/>
      <c r="D835" s="134"/>
      <c r="E835" s="134"/>
      <c r="F835" s="134"/>
      <c r="G835" s="134"/>
      <c r="H835" s="134"/>
      <c r="I835" s="134"/>
      <c r="J835" s="134"/>
      <c r="K835" s="134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  <c r="V835" s="134"/>
      <c r="W835" s="134"/>
    </row>
    <row r="836">
      <c r="A836" s="134"/>
      <c r="B836" s="134"/>
      <c r="C836" s="134"/>
      <c r="D836" s="134"/>
      <c r="E836" s="134"/>
      <c r="F836" s="134"/>
      <c r="G836" s="134"/>
      <c r="H836" s="134"/>
      <c r="I836" s="134"/>
      <c r="J836" s="134"/>
      <c r="K836" s="134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  <c r="V836" s="134"/>
      <c r="W836" s="134"/>
    </row>
    <row r="837">
      <c r="A837" s="134"/>
      <c r="B837" s="134"/>
      <c r="C837" s="134"/>
      <c r="D837" s="134"/>
      <c r="E837" s="134"/>
      <c r="F837" s="134"/>
      <c r="G837" s="134"/>
      <c r="H837" s="134"/>
      <c r="I837" s="134"/>
      <c r="J837" s="134"/>
      <c r="K837" s="134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  <c r="V837" s="134"/>
      <c r="W837" s="134"/>
    </row>
    <row r="838">
      <c r="A838" s="134"/>
      <c r="B838" s="134"/>
      <c r="C838" s="134"/>
      <c r="D838" s="134"/>
      <c r="E838" s="134"/>
      <c r="F838" s="134"/>
      <c r="G838" s="134"/>
      <c r="H838" s="134"/>
      <c r="I838" s="134"/>
      <c r="J838" s="134"/>
      <c r="K838" s="134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  <c r="V838" s="134"/>
      <c r="W838" s="134"/>
    </row>
    <row r="839">
      <c r="A839" s="134"/>
      <c r="B839" s="134"/>
      <c r="C839" s="134"/>
      <c r="D839" s="134"/>
      <c r="E839" s="134"/>
      <c r="F839" s="134"/>
      <c r="G839" s="134"/>
      <c r="H839" s="134"/>
      <c r="I839" s="134"/>
      <c r="J839" s="134"/>
      <c r="K839" s="134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  <c r="V839" s="134"/>
      <c r="W839" s="134"/>
    </row>
    <row r="840">
      <c r="A840" s="134"/>
      <c r="B840" s="134"/>
      <c r="C840" s="134"/>
      <c r="D840" s="134"/>
      <c r="E840" s="134"/>
      <c r="F840" s="134"/>
      <c r="G840" s="134"/>
      <c r="H840" s="134"/>
      <c r="I840" s="134"/>
      <c r="J840" s="134"/>
      <c r="K840" s="134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  <c r="V840" s="134"/>
      <c r="W840" s="134"/>
    </row>
    <row r="841">
      <c r="A841" s="134"/>
      <c r="B841" s="134"/>
      <c r="C841" s="134"/>
      <c r="D841" s="134"/>
      <c r="E841" s="134"/>
      <c r="F841" s="134"/>
      <c r="G841" s="134"/>
      <c r="H841" s="134"/>
      <c r="I841" s="134"/>
      <c r="J841" s="134"/>
      <c r="K841" s="134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  <c r="V841" s="134"/>
      <c r="W841" s="134"/>
    </row>
    <row r="842">
      <c r="A842" s="134"/>
      <c r="B842" s="134"/>
      <c r="C842" s="134"/>
      <c r="D842" s="134"/>
      <c r="E842" s="134"/>
      <c r="F842" s="134"/>
      <c r="G842" s="134"/>
      <c r="H842" s="134"/>
      <c r="I842" s="134"/>
      <c r="J842" s="134"/>
      <c r="K842" s="134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  <c r="V842" s="134"/>
      <c r="W842" s="134"/>
    </row>
    <row r="843">
      <c r="A843" s="134"/>
      <c r="B843" s="134"/>
      <c r="C843" s="134"/>
      <c r="D843" s="134"/>
      <c r="E843" s="134"/>
      <c r="F843" s="134"/>
      <c r="G843" s="134"/>
      <c r="H843" s="134"/>
      <c r="I843" s="134"/>
      <c r="J843" s="134"/>
      <c r="K843" s="134"/>
      <c r="L843" s="134"/>
      <c r="M843" s="134"/>
      <c r="N843" s="134"/>
      <c r="O843" s="134"/>
      <c r="P843" s="134"/>
      <c r="Q843" s="134"/>
      <c r="R843" s="134"/>
      <c r="S843" s="134"/>
      <c r="T843" s="134"/>
      <c r="U843" s="134"/>
      <c r="V843" s="134"/>
      <c r="W843" s="134"/>
    </row>
    <row r="844">
      <c r="A844" s="134"/>
      <c r="B844" s="134"/>
      <c r="C844" s="134"/>
      <c r="D844" s="134"/>
      <c r="E844" s="134"/>
      <c r="F844" s="134"/>
      <c r="G844" s="134"/>
      <c r="H844" s="134"/>
      <c r="I844" s="134"/>
      <c r="J844" s="134"/>
      <c r="K844" s="134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  <c r="V844" s="134"/>
      <c r="W844" s="134"/>
    </row>
    <row r="845">
      <c r="A845" s="134"/>
      <c r="B845" s="134"/>
      <c r="C845" s="134"/>
      <c r="D845" s="134"/>
      <c r="E845" s="134"/>
      <c r="F845" s="134"/>
      <c r="G845" s="134"/>
      <c r="H845" s="134"/>
      <c r="I845" s="134"/>
      <c r="J845" s="134"/>
      <c r="K845" s="134"/>
      <c r="L845" s="134"/>
      <c r="M845" s="134"/>
      <c r="N845" s="134"/>
      <c r="O845" s="134"/>
      <c r="P845" s="134"/>
      <c r="Q845" s="134"/>
      <c r="R845" s="134"/>
      <c r="S845" s="134"/>
      <c r="T845" s="134"/>
      <c r="U845" s="134"/>
      <c r="V845" s="134"/>
      <c r="W845" s="134"/>
    </row>
    <row r="846">
      <c r="A846" s="134"/>
      <c r="B846" s="134"/>
      <c r="C846" s="134"/>
      <c r="D846" s="134"/>
      <c r="E846" s="134"/>
      <c r="F846" s="134"/>
      <c r="G846" s="134"/>
      <c r="H846" s="134"/>
      <c r="I846" s="134"/>
      <c r="J846" s="134"/>
      <c r="K846" s="134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  <c r="V846" s="134"/>
      <c r="W846" s="134"/>
    </row>
    <row r="847">
      <c r="A847" s="134"/>
      <c r="B847" s="134"/>
      <c r="C847" s="134"/>
      <c r="D847" s="134"/>
      <c r="E847" s="134"/>
      <c r="F847" s="134"/>
      <c r="G847" s="134"/>
      <c r="H847" s="134"/>
      <c r="I847" s="134"/>
      <c r="J847" s="134"/>
      <c r="K847" s="134"/>
      <c r="L847" s="134"/>
      <c r="M847" s="134"/>
      <c r="N847" s="134"/>
      <c r="O847" s="134"/>
      <c r="P847" s="134"/>
      <c r="Q847" s="134"/>
      <c r="R847" s="134"/>
      <c r="S847" s="134"/>
      <c r="T847" s="134"/>
      <c r="U847" s="134"/>
      <c r="V847" s="134"/>
      <c r="W847" s="134"/>
    </row>
    <row r="848">
      <c r="A848" s="134"/>
      <c r="B848" s="134"/>
      <c r="C848" s="134"/>
      <c r="D848" s="134"/>
      <c r="E848" s="134"/>
      <c r="F848" s="134"/>
      <c r="G848" s="134"/>
      <c r="H848" s="134"/>
      <c r="I848" s="134"/>
      <c r="J848" s="134"/>
      <c r="K848" s="134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  <c r="V848" s="134"/>
      <c r="W848" s="134"/>
    </row>
    <row r="849">
      <c r="A849" s="134"/>
      <c r="B849" s="134"/>
      <c r="C849" s="134"/>
      <c r="D849" s="134"/>
      <c r="E849" s="134"/>
      <c r="F849" s="134"/>
      <c r="G849" s="134"/>
      <c r="H849" s="134"/>
      <c r="I849" s="134"/>
      <c r="J849" s="134"/>
      <c r="K849" s="134"/>
      <c r="L849" s="134"/>
      <c r="M849" s="134"/>
      <c r="N849" s="134"/>
      <c r="O849" s="134"/>
      <c r="P849" s="134"/>
      <c r="Q849" s="134"/>
      <c r="R849" s="134"/>
      <c r="S849" s="134"/>
      <c r="T849" s="134"/>
      <c r="U849" s="134"/>
      <c r="V849" s="134"/>
      <c r="W849" s="134"/>
    </row>
    <row r="850">
      <c r="A850" s="134"/>
      <c r="B850" s="134"/>
      <c r="C850" s="134"/>
      <c r="D850" s="134"/>
      <c r="E850" s="134"/>
      <c r="F850" s="134"/>
      <c r="G850" s="134"/>
      <c r="H850" s="134"/>
      <c r="I850" s="134"/>
      <c r="J850" s="134"/>
      <c r="K850" s="134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  <c r="V850" s="134"/>
      <c r="W850" s="134"/>
    </row>
    <row r="851">
      <c r="A851" s="134"/>
      <c r="B851" s="134"/>
      <c r="C851" s="134"/>
      <c r="D851" s="134"/>
      <c r="E851" s="134"/>
      <c r="F851" s="134"/>
      <c r="G851" s="134"/>
      <c r="H851" s="134"/>
      <c r="I851" s="134"/>
      <c r="J851" s="134"/>
      <c r="K851" s="134"/>
      <c r="L851" s="134"/>
      <c r="M851" s="134"/>
      <c r="N851" s="134"/>
      <c r="O851" s="134"/>
      <c r="P851" s="134"/>
      <c r="Q851" s="134"/>
      <c r="R851" s="134"/>
      <c r="S851" s="134"/>
      <c r="T851" s="134"/>
      <c r="U851" s="134"/>
      <c r="V851" s="134"/>
      <c r="W851" s="134"/>
    </row>
    <row r="852">
      <c r="A852" s="134"/>
      <c r="B852" s="134"/>
      <c r="C852" s="134"/>
      <c r="D852" s="134"/>
      <c r="E852" s="134"/>
      <c r="F852" s="134"/>
      <c r="G852" s="134"/>
      <c r="H852" s="134"/>
      <c r="I852" s="134"/>
      <c r="J852" s="134"/>
      <c r="K852" s="134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  <c r="V852" s="134"/>
      <c r="W852" s="134"/>
    </row>
    <row r="853">
      <c r="A853" s="134"/>
      <c r="B853" s="134"/>
      <c r="C853" s="134"/>
      <c r="D853" s="134"/>
      <c r="E853" s="134"/>
      <c r="F853" s="134"/>
      <c r="G853" s="134"/>
      <c r="H853" s="134"/>
      <c r="I853" s="134"/>
      <c r="J853" s="134"/>
      <c r="K853" s="134"/>
      <c r="L853" s="134"/>
      <c r="M853" s="134"/>
      <c r="N853" s="134"/>
      <c r="O853" s="134"/>
      <c r="P853" s="134"/>
      <c r="Q853" s="134"/>
      <c r="R853" s="134"/>
      <c r="S853" s="134"/>
      <c r="T853" s="134"/>
      <c r="U853" s="134"/>
      <c r="V853" s="134"/>
      <c r="W853" s="134"/>
    </row>
    <row r="854">
      <c r="A854" s="134"/>
      <c r="B854" s="134"/>
      <c r="C854" s="134"/>
      <c r="D854" s="134"/>
      <c r="E854" s="134"/>
      <c r="F854" s="134"/>
      <c r="G854" s="134"/>
      <c r="H854" s="134"/>
      <c r="I854" s="134"/>
      <c r="J854" s="134"/>
      <c r="K854" s="134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  <c r="V854" s="134"/>
      <c r="W854" s="134"/>
    </row>
    <row r="855">
      <c r="A855" s="134"/>
      <c r="B855" s="134"/>
      <c r="C855" s="134"/>
      <c r="D855" s="134"/>
      <c r="E855" s="134"/>
      <c r="F855" s="134"/>
      <c r="G855" s="134"/>
      <c r="H855" s="134"/>
      <c r="I855" s="134"/>
      <c r="J855" s="134"/>
      <c r="K855" s="134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  <c r="V855" s="134"/>
      <c r="W855" s="134"/>
    </row>
    <row r="856">
      <c r="A856" s="134"/>
      <c r="B856" s="134"/>
      <c r="C856" s="134"/>
      <c r="D856" s="134"/>
      <c r="E856" s="134"/>
      <c r="F856" s="134"/>
      <c r="G856" s="134"/>
      <c r="H856" s="134"/>
      <c r="I856" s="134"/>
      <c r="J856" s="134"/>
      <c r="K856" s="134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  <c r="V856" s="134"/>
      <c r="W856" s="134"/>
    </row>
    <row r="857">
      <c r="A857" s="134"/>
      <c r="B857" s="134"/>
      <c r="C857" s="134"/>
      <c r="D857" s="134"/>
      <c r="E857" s="134"/>
      <c r="F857" s="134"/>
      <c r="G857" s="134"/>
      <c r="H857" s="134"/>
      <c r="I857" s="134"/>
      <c r="J857" s="134"/>
      <c r="K857" s="134"/>
      <c r="L857" s="134"/>
      <c r="M857" s="134"/>
      <c r="N857" s="134"/>
      <c r="O857" s="134"/>
      <c r="P857" s="134"/>
      <c r="Q857" s="134"/>
      <c r="R857" s="134"/>
      <c r="S857" s="134"/>
      <c r="T857" s="134"/>
      <c r="U857" s="134"/>
      <c r="V857" s="134"/>
      <c r="W857" s="134"/>
    </row>
    <row r="858">
      <c r="A858" s="134"/>
      <c r="B858" s="134"/>
      <c r="C858" s="134"/>
      <c r="D858" s="134"/>
      <c r="E858" s="134"/>
      <c r="F858" s="134"/>
      <c r="G858" s="134"/>
      <c r="H858" s="134"/>
      <c r="I858" s="134"/>
      <c r="J858" s="134"/>
      <c r="K858" s="134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  <c r="V858" s="134"/>
      <c r="W858" s="134"/>
    </row>
    <row r="859">
      <c r="A859" s="134"/>
      <c r="B859" s="134"/>
      <c r="C859" s="134"/>
      <c r="D859" s="134"/>
      <c r="E859" s="134"/>
      <c r="F859" s="134"/>
      <c r="G859" s="134"/>
      <c r="H859" s="134"/>
      <c r="I859" s="134"/>
      <c r="J859" s="134"/>
      <c r="K859" s="134"/>
      <c r="L859" s="134"/>
      <c r="M859" s="134"/>
      <c r="N859" s="134"/>
      <c r="O859" s="134"/>
      <c r="P859" s="134"/>
      <c r="Q859" s="134"/>
      <c r="R859" s="134"/>
      <c r="S859" s="134"/>
      <c r="T859" s="134"/>
      <c r="U859" s="134"/>
      <c r="V859" s="134"/>
      <c r="W859" s="134"/>
    </row>
    <row r="860">
      <c r="A860" s="134"/>
      <c r="B860" s="134"/>
      <c r="C860" s="134"/>
      <c r="D860" s="134"/>
      <c r="E860" s="134"/>
      <c r="F860" s="134"/>
      <c r="G860" s="134"/>
      <c r="H860" s="134"/>
      <c r="I860" s="134"/>
      <c r="J860" s="134"/>
      <c r="K860" s="134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  <c r="V860" s="134"/>
      <c r="W860" s="134"/>
    </row>
    <row r="861">
      <c r="A861" s="134"/>
      <c r="B861" s="134"/>
      <c r="C861" s="134"/>
      <c r="D861" s="134"/>
      <c r="E861" s="134"/>
      <c r="F861" s="134"/>
      <c r="G861" s="134"/>
      <c r="H861" s="134"/>
      <c r="I861" s="134"/>
      <c r="J861" s="134"/>
      <c r="K861" s="134"/>
      <c r="L861" s="134"/>
      <c r="M861" s="134"/>
      <c r="N861" s="134"/>
      <c r="O861" s="134"/>
      <c r="P861" s="134"/>
      <c r="Q861" s="134"/>
      <c r="R861" s="134"/>
      <c r="S861" s="134"/>
      <c r="T861" s="134"/>
      <c r="U861" s="134"/>
      <c r="V861" s="134"/>
      <c r="W861" s="134"/>
    </row>
    <row r="862">
      <c r="A862" s="134"/>
      <c r="B862" s="134"/>
      <c r="C862" s="134"/>
      <c r="D862" s="134"/>
      <c r="E862" s="134"/>
      <c r="F862" s="134"/>
      <c r="G862" s="134"/>
      <c r="H862" s="134"/>
      <c r="I862" s="134"/>
      <c r="J862" s="134"/>
      <c r="K862" s="134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  <c r="V862" s="134"/>
      <c r="W862" s="134"/>
    </row>
    <row r="863">
      <c r="A863" s="134"/>
      <c r="B863" s="134"/>
      <c r="C863" s="134"/>
      <c r="D863" s="134"/>
      <c r="E863" s="134"/>
      <c r="F863" s="134"/>
      <c r="G863" s="134"/>
      <c r="H863" s="134"/>
      <c r="I863" s="134"/>
      <c r="J863" s="134"/>
      <c r="K863" s="134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  <c r="V863" s="134"/>
      <c r="W863" s="134"/>
    </row>
    <row r="864">
      <c r="A864" s="134"/>
      <c r="B864" s="134"/>
      <c r="C864" s="134"/>
      <c r="D864" s="134"/>
      <c r="E864" s="134"/>
      <c r="F864" s="134"/>
      <c r="G864" s="134"/>
      <c r="H864" s="134"/>
      <c r="I864" s="134"/>
      <c r="J864" s="134"/>
      <c r="K864" s="134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  <c r="V864" s="134"/>
      <c r="W864" s="134"/>
    </row>
    <row r="865">
      <c r="A865" s="134"/>
      <c r="B865" s="134"/>
      <c r="C865" s="134"/>
      <c r="D865" s="134"/>
      <c r="E865" s="134"/>
      <c r="F865" s="134"/>
      <c r="G865" s="134"/>
      <c r="H865" s="134"/>
      <c r="I865" s="134"/>
      <c r="J865" s="134"/>
      <c r="K865" s="134"/>
      <c r="L865" s="134"/>
      <c r="M865" s="134"/>
      <c r="N865" s="134"/>
      <c r="O865" s="134"/>
      <c r="P865" s="134"/>
      <c r="Q865" s="134"/>
      <c r="R865" s="134"/>
      <c r="S865" s="134"/>
      <c r="T865" s="134"/>
      <c r="U865" s="134"/>
      <c r="V865" s="134"/>
      <c r="W865" s="134"/>
    </row>
    <row r="866">
      <c r="A866" s="134"/>
      <c r="B866" s="134"/>
      <c r="C866" s="134"/>
      <c r="D866" s="134"/>
      <c r="E866" s="134"/>
      <c r="F866" s="134"/>
      <c r="G866" s="134"/>
      <c r="H866" s="134"/>
      <c r="I866" s="134"/>
      <c r="J866" s="134"/>
      <c r="K866" s="134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  <c r="V866" s="134"/>
      <c r="W866" s="134"/>
    </row>
    <row r="867">
      <c r="A867" s="134"/>
      <c r="B867" s="134"/>
      <c r="C867" s="134"/>
      <c r="D867" s="134"/>
      <c r="E867" s="134"/>
      <c r="F867" s="134"/>
      <c r="G867" s="134"/>
      <c r="H867" s="134"/>
      <c r="I867" s="134"/>
      <c r="J867" s="134"/>
      <c r="K867" s="134"/>
      <c r="L867" s="134"/>
      <c r="M867" s="134"/>
      <c r="N867" s="134"/>
      <c r="O867" s="134"/>
      <c r="P867" s="134"/>
      <c r="Q867" s="134"/>
      <c r="R867" s="134"/>
      <c r="S867" s="134"/>
      <c r="T867" s="134"/>
      <c r="U867" s="134"/>
      <c r="V867" s="134"/>
      <c r="W867" s="134"/>
    </row>
    <row r="868">
      <c r="A868" s="134"/>
      <c r="B868" s="134"/>
      <c r="C868" s="134"/>
      <c r="D868" s="134"/>
      <c r="E868" s="134"/>
      <c r="F868" s="134"/>
      <c r="G868" s="134"/>
      <c r="H868" s="134"/>
      <c r="I868" s="134"/>
      <c r="J868" s="134"/>
      <c r="K868" s="134"/>
      <c r="L868" s="134"/>
      <c r="M868" s="134"/>
      <c r="N868" s="134"/>
      <c r="O868" s="134"/>
      <c r="P868" s="134"/>
      <c r="Q868" s="134"/>
      <c r="R868" s="134"/>
      <c r="S868" s="134"/>
      <c r="T868" s="134"/>
      <c r="U868" s="134"/>
      <c r="V868" s="134"/>
      <c r="W868" s="134"/>
    </row>
    <row r="869">
      <c r="A869" s="134"/>
      <c r="B869" s="134"/>
      <c r="C869" s="134"/>
      <c r="D869" s="134"/>
      <c r="E869" s="134"/>
      <c r="F869" s="134"/>
      <c r="G869" s="134"/>
      <c r="H869" s="134"/>
      <c r="I869" s="134"/>
      <c r="J869" s="134"/>
      <c r="K869" s="134"/>
      <c r="L869" s="134"/>
      <c r="M869" s="134"/>
      <c r="N869" s="134"/>
      <c r="O869" s="134"/>
      <c r="P869" s="134"/>
      <c r="Q869" s="134"/>
      <c r="R869" s="134"/>
      <c r="S869" s="134"/>
      <c r="T869" s="134"/>
      <c r="U869" s="134"/>
      <c r="V869" s="134"/>
      <c r="W869" s="134"/>
    </row>
    <row r="870">
      <c r="A870" s="134"/>
      <c r="B870" s="134"/>
      <c r="C870" s="134"/>
      <c r="D870" s="134"/>
      <c r="E870" s="134"/>
      <c r="F870" s="134"/>
      <c r="G870" s="134"/>
      <c r="H870" s="134"/>
      <c r="I870" s="134"/>
      <c r="J870" s="134"/>
      <c r="K870" s="134"/>
      <c r="L870" s="134"/>
      <c r="M870" s="134"/>
      <c r="N870" s="134"/>
      <c r="O870" s="134"/>
      <c r="P870" s="134"/>
      <c r="Q870" s="134"/>
      <c r="R870" s="134"/>
      <c r="S870" s="134"/>
      <c r="T870" s="134"/>
      <c r="U870" s="134"/>
      <c r="V870" s="134"/>
      <c r="W870" s="134"/>
    </row>
    <row r="871">
      <c r="A871" s="134"/>
      <c r="B871" s="134"/>
      <c r="C871" s="134"/>
      <c r="D871" s="134"/>
      <c r="E871" s="134"/>
      <c r="F871" s="134"/>
      <c r="G871" s="134"/>
      <c r="H871" s="134"/>
      <c r="I871" s="134"/>
      <c r="J871" s="134"/>
      <c r="K871" s="134"/>
      <c r="L871" s="134"/>
      <c r="M871" s="134"/>
      <c r="N871" s="134"/>
      <c r="O871" s="134"/>
      <c r="P871" s="134"/>
      <c r="Q871" s="134"/>
      <c r="R871" s="134"/>
      <c r="S871" s="134"/>
      <c r="T871" s="134"/>
      <c r="U871" s="134"/>
      <c r="V871" s="134"/>
      <c r="W871" s="134"/>
    </row>
    <row r="872">
      <c r="A872" s="134"/>
      <c r="B872" s="134"/>
      <c r="C872" s="134"/>
      <c r="D872" s="134"/>
      <c r="E872" s="134"/>
      <c r="F872" s="134"/>
      <c r="G872" s="134"/>
      <c r="H872" s="134"/>
      <c r="I872" s="134"/>
      <c r="J872" s="134"/>
      <c r="K872" s="134"/>
      <c r="L872" s="134"/>
      <c r="M872" s="134"/>
      <c r="N872" s="134"/>
      <c r="O872" s="134"/>
      <c r="P872" s="134"/>
      <c r="Q872" s="134"/>
      <c r="R872" s="134"/>
      <c r="S872" s="134"/>
      <c r="T872" s="134"/>
      <c r="U872" s="134"/>
      <c r="V872" s="134"/>
      <c r="W872" s="134"/>
    </row>
    <row r="873">
      <c r="A873" s="134"/>
      <c r="B873" s="134"/>
      <c r="C873" s="134"/>
      <c r="D873" s="134"/>
      <c r="E873" s="134"/>
      <c r="F873" s="134"/>
      <c r="G873" s="134"/>
      <c r="H873" s="134"/>
      <c r="I873" s="134"/>
      <c r="J873" s="134"/>
      <c r="K873" s="134"/>
      <c r="L873" s="134"/>
      <c r="M873" s="134"/>
      <c r="N873" s="134"/>
      <c r="O873" s="134"/>
      <c r="P873" s="134"/>
      <c r="Q873" s="134"/>
      <c r="R873" s="134"/>
      <c r="S873" s="134"/>
      <c r="T873" s="134"/>
      <c r="U873" s="134"/>
      <c r="V873" s="134"/>
      <c r="W873" s="134"/>
    </row>
    <row r="874">
      <c r="A874" s="134"/>
      <c r="B874" s="134"/>
      <c r="C874" s="134"/>
      <c r="D874" s="134"/>
      <c r="E874" s="134"/>
      <c r="F874" s="134"/>
      <c r="G874" s="134"/>
      <c r="H874" s="134"/>
      <c r="I874" s="134"/>
      <c r="J874" s="134"/>
      <c r="K874" s="134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  <c r="V874" s="134"/>
      <c r="W874" s="134"/>
    </row>
    <row r="875">
      <c r="A875" s="134"/>
      <c r="B875" s="134"/>
      <c r="C875" s="134"/>
      <c r="D875" s="134"/>
      <c r="E875" s="134"/>
      <c r="F875" s="134"/>
      <c r="G875" s="134"/>
      <c r="H875" s="134"/>
      <c r="I875" s="134"/>
      <c r="J875" s="134"/>
      <c r="K875" s="134"/>
      <c r="L875" s="134"/>
      <c r="M875" s="134"/>
      <c r="N875" s="134"/>
      <c r="O875" s="134"/>
      <c r="P875" s="134"/>
      <c r="Q875" s="134"/>
      <c r="R875" s="134"/>
      <c r="S875" s="134"/>
      <c r="T875" s="134"/>
      <c r="U875" s="134"/>
      <c r="V875" s="134"/>
      <c r="W875" s="134"/>
    </row>
    <row r="876">
      <c r="A876" s="134"/>
      <c r="B876" s="134"/>
      <c r="C876" s="134"/>
      <c r="D876" s="134"/>
      <c r="E876" s="134"/>
      <c r="F876" s="134"/>
      <c r="G876" s="134"/>
      <c r="H876" s="134"/>
      <c r="I876" s="134"/>
      <c r="J876" s="134"/>
      <c r="K876" s="134"/>
      <c r="L876" s="134"/>
      <c r="M876" s="134"/>
      <c r="N876" s="134"/>
      <c r="O876" s="134"/>
      <c r="P876" s="134"/>
      <c r="Q876" s="134"/>
      <c r="R876" s="134"/>
      <c r="S876" s="134"/>
      <c r="T876" s="134"/>
      <c r="U876" s="134"/>
      <c r="V876" s="134"/>
      <c r="W876" s="134"/>
    </row>
    <row r="877">
      <c r="A877" s="134"/>
      <c r="B877" s="134"/>
      <c r="C877" s="134"/>
      <c r="D877" s="134"/>
      <c r="E877" s="134"/>
      <c r="F877" s="134"/>
      <c r="G877" s="134"/>
      <c r="H877" s="134"/>
      <c r="I877" s="134"/>
      <c r="J877" s="134"/>
      <c r="K877" s="134"/>
      <c r="L877" s="134"/>
      <c r="M877" s="134"/>
      <c r="N877" s="134"/>
      <c r="O877" s="134"/>
      <c r="P877" s="134"/>
      <c r="Q877" s="134"/>
      <c r="R877" s="134"/>
      <c r="S877" s="134"/>
      <c r="T877" s="134"/>
      <c r="U877" s="134"/>
      <c r="V877" s="134"/>
      <c r="W877" s="134"/>
    </row>
    <row r="878">
      <c r="A878" s="134"/>
      <c r="B878" s="134"/>
      <c r="C878" s="134"/>
      <c r="D878" s="134"/>
      <c r="E878" s="134"/>
      <c r="F878" s="134"/>
      <c r="G878" s="134"/>
      <c r="H878" s="134"/>
      <c r="I878" s="134"/>
      <c r="J878" s="134"/>
      <c r="K878" s="134"/>
      <c r="L878" s="134"/>
      <c r="M878" s="134"/>
      <c r="N878" s="134"/>
      <c r="O878" s="134"/>
      <c r="P878" s="134"/>
      <c r="Q878" s="134"/>
      <c r="R878" s="134"/>
      <c r="S878" s="134"/>
      <c r="T878" s="134"/>
      <c r="U878" s="134"/>
      <c r="V878" s="134"/>
      <c r="W878" s="134"/>
    </row>
    <row r="879">
      <c r="A879" s="134"/>
      <c r="B879" s="134"/>
      <c r="C879" s="134"/>
      <c r="D879" s="134"/>
      <c r="E879" s="134"/>
      <c r="F879" s="134"/>
      <c r="G879" s="134"/>
      <c r="H879" s="134"/>
      <c r="I879" s="134"/>
      <c r="J879" s="134"/>
      <c r="K879" s="134"/>
      <c r="L879" s="134"/>
      <c r="M879" s="134"/>
      <c r="N879" s="134"/>
      <c r="O879" s="134"/>
      <c r="P879" s="134"/>
      <c r="Q879" s="134"/>
      <c r="R879" s="134"/>
      <c r="S879" s="134"/>
      <c r="T879" s="134"/>
      <c r="U879" s="134"/>
      <c r="V879" s="134"/>
      <c r="W879" s="134"/>
    </row>
    <row r="880">
      <c r="A880" s="134"/>
      <c r="B880" s="134"/>
      <c r="C880" s="134"/>
      <c r="D880" s="134"/>
      <c r="E880" s="134"/>
      <c r="F880" s="134"/>
      <c r="G880" s="134"/>
      <c r="H880" s="134"/>
      <c r="I880" s="134"/>
      <c r="J880" s="134"/>
      <c r="K880" s="134"/>
      <c r="L880" s="134"/>
      <c r="M880" s="134"/>
      <c r="N880" s="134"/>
      <c r="O880" s="134"/>
      <c r="P880" s="134"/>
      <c r="Q880" s="134"/>
      <c r="R880" s="134"/>
      <c r="S880" s="134"/>
      <c r="T880" s="134"/>
      <c r="U880" s="134"/>
      <c r="V880" s="134"/>
      <c r="W880" s="134"/>
    </row>
    <row r="881">
      <c r="A881" s="134"/>
      <c r="B881" s="134"/>
      <c r="C881" s="134"/>
      <c r="D881" s="134"/>
      <c r="E881" s="134"/>
      <c r="F881" s="134"/>
      <c r="G881" s="134"/>
      <c r="H881" s="134"/>
      <c r="I881" s="134"/>
      <c r="J881" s="134"/>
      <c r="K881" s="134"/>
      <c r="L881" s="134"/>
      <c r="M881" s="134"/>
      <c r="N881" s="134"/>
      <c r="O881" s="134"/>
      <c r="P881" s="134"/>
      <c r="Q881" s="134"/>
      <c r="R881" s="134"/>
      <c r="S881" s="134"/>
      <c r="T881" s="134"/>
      <c r="U881" s="134"/>
      <c r="V881" s="134"/>
      <c r="W881" s="134"/>
    </row>
    <row r="882">
      <c r="A882" s="134"/>
      <c r="B882" s="134"/>
      <c r="C882" s="134"/>
      <c r="D882" s="134"/>
      <c r="E882" s="134"/>
      <c r="F882" s="134"/>
      <c r="G882" s="134"/>
      <c r="H882" s="134"/>
      <c r="I882" s="134"/>
      <c r="J882" s="134"/>
      <c r="K882" s="134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  <c r="V882" s="134"/>
      <c r="W882" s="134"/>
    </row>
    <row r="883">
      <c r="A883" s="134"/>
      <c r="B883" s="134"/>
      <c r="C883" s="134"/>
      <c r="D883" s="134"/>
      <c r="E883" s="134"/>
      <c r="F883" s="134"/>
      <c r="G883" s="134"/>
      <c r="H883" s="134"/>
      <c r="I883" s="134"/>
      <c r="J883" s="134"/>
      <c r="K883" s="134"/>
      <c r="L883" s="134"/>
      <c r="M883" s="134"/>
      <c r="N883" s="134"/>
      <c r="O883" s="134"/>
      <c r="P883" s="134"/>
      <c r="Q883" s="134"/>
      <c r="R883" s="134"/>
      <c r="S883" s="134"/>
      <c r="T883" s="134"/>
      <c r="U883" s="134"/>
      <c r="V883" s="134"/>
      <c r="W883" s="134"/>
    </row>
    <row r="884">
      <c r="A884" s="134"/>
      <c r="B884" s="134"/>
      <c r="C884" s="134"/>
      <c r="D884" s="134"/>
      <c r="E884" s="134"/>
      <c r="F884" s="134"/>
      <c r="G884" s="134"/>
      <c r="H884" s="134"/>
      <c r="I884" s="134"/>
      <c r="J884" s="134"/>
      <c r="K884" s="134"/>
      <c r="L884" s="134"/>
      <c r="M884" s="134"/>
      <c r="N884" s="134"/>
      <c r="O884" s="134"/>
      <c r="P884" s="134"/>
      <c r="Q884" s="134"/>
      <c r="R884" s="134"/>
      <c r="S884" s="134"/>
      <c r="T884" s="134"/>
      <c r="U884" s="134"/>
      <c r="V884" s="134"/>
      <c r="W884" s="134"/>
    </row>
    <row r="885">
      <c r="A885" s="134"/>
      <c r="B885" s="134"/>
      <c r="C885" s="134"/>
      <c r="D885" s="134"/>
      <c r="E885" s="134"/>
      <c r="F885" s="134"/>
      <c r="G885" s="134"/>
      <c r="H885" s="134"/>
      <c r="I885" s="134"/>
      <c r="J885" s="134"/>
      <c r="K885" s="134"/>
      <c r="L885" s="134"/>
      <c r="M885" s="134"/>
      <c r="N885" s="134"/>
      <c r="O885" s="134"/>
      <c r="P885" s="134"/>
      <c r="Q885" s="134"/>
      <c r="R885" s="134"/>
      <c r="S885" s="134"/>
      <c r="T885" s="134"/>
      <c r="U885" s="134"/>
      <c r="V885" s="134"/>
      <c r="W885" s="134"/>
    </row>
  </sheetData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142</v>
      </c>
      <c r="B1" s="1" t="s">
        <v>132</v>
      </c>
      <c r="D1" s="1" t="s">
        <v>153</v>
      </c>
      <c r="E1" s="1" t="s">
        <v>132</v>
      </c>
      <c r="G1" s="1" t="s">
        <v>152</v>
      </c>
      <c r="H1" s="1" t="s">
        <v>132</v>
      </c>
    </row>
    <row r="2">
      <c r="A2" s="1" t="s">
        <v>1848</v>
      </c>
      <c r="B2" s="1">
        <v>9.99</v>
      </c>
      <c r="D2" s="1" t="s">
        <v>1849</v>
      </c>
      <c r="E2" s="1">
        <v>139.0</v>
      </c>
      <c r="G2" s="1" t="s">
        <v>1850</v>
      </c>
      <c r="H2" s="1">
        <v>218.85</v>
      </c>
      <c r="O2" s="137">
        <v>45658.0</v>
      </c>
      <c r="P2" s="1">
        <v>8003.98</v>
      </c>
    </row>
    <row r="3">
      <c r="A3" s="1" t="s">
        <v>1852</v>
      </c>
      <c r="B3" s="1">
        <v>29.9</v>
      </c>
      <c r="D3" s="1" t="s">
        <v>1853</v>
      </c>
      <c r="E3" s="1">
        <v>60.99</v>
      </c>
      <c r="G3" s="1" t="s">
        <v>1854</v>
      </c>
      <c r="H3" s="1">
        <v>25.6</v>
      </c>
      <c r="O3" s="137">
        <v>45689.0</v>
      </c>
      <c r="P3" s="1">
        <v>5869.69</v>
      </c>
      <c r="Q3" s="2">
        <f>P3+P2</f>
        <v>13873.67</v>
      </c>
      <c r="R3" s="1" t="s">
        <v>1859</v>
      </c>
    </row>
    <row r="4">
      <c r="A4" s="1" t="s">
        <v>1862</v>
      </c>
      <c r="B4" s="1">
        <v>44.9</v>
      </c>
      <c r="D4" s="1" t="s">
        <v>1863</v>
      </c>
      <c r="E4" s="1">
        <v>119.07</v>
      </c>
      <c r="H4" s="2">
        <f>SUM(H2:H3)</f>
        <v>244.45</v>
      </c>
      <c r="O4" s="137">
        <v>45717.0</v>
      </c>
      <c r="P4" s="1">
        <v>4491.66</v>
      </c>
      <c r="Q4" s="2">
        <f t="shared" ref="Q4:Q11" si="1">Q3+P4</f>
        <v>18365.33</v>
      </c>
    </row>
    <row r="5">
      <c r="A5" s="1" t="s">
        <v>1867</v>
      </c>
      <c r="B5" s="1">
        <v>53.9</v>
      </c>
      <c r="D5" s="1" t="s">
        <v>1868</v>
      </c>
      <c r="E5" s="1">
        <v>49.99</v>
      </c>
      <c r="O5" s="137">
        <v>45748.0</v>
      </c>
      <c r="P5" s="1">
        <v>3791.66</v>
      </c>
      <c r="Q5" s="2">
        <f t="shared" si="1"/>
        <v>22156.99</v>
      </c>
    </row>
    <row r="6">
      <c r="A6" s="1" t="s">
        <v>1869</v>
      </c>
      <c r="B6" s="1">
        <v>90.26</v>
      </c>
      <c r="D6" s="1" t="s">
        <v>1870</v>
      </c>
      <c r="E6" s="1">
        <v>54.0</v>
      </c>
      <c r="O6" s="137">
        <v>45778.0</v>
      </c>
      <c r="P6" s="1">
        <v>3291.66</v>
      </c>
      <c r="Q6" s="2">
        <f t="shared" si="1"/>
        <v>25448.65</v>
      </c>
    </row>
    <row r="7">
      <c r="A7" s="1" t="s">
        <v>1874</v>
      </c>
      <c r="B7" s="1">
        <v>65.41</v>
      </c>
      <c r="E7" s="2">
        <f>SUM(E2:E6)</f>
        <v>423.05</v>
      </c>
      <c r="O7" s="137">
        <v>45809.0</v>
      </c>
      <c r="P7" s="1">
        <v>2491.66</v>
      </c>
      <c r="Q7" s="2">
        <f t="shared" si="1"/>
        <v>27940.31</v>
      </c>
    </row>
    <row r="8">
      <c r="A8" s="1" t="s">
        <v>1878</v>
      </c>
      <c r="B8" s="1">
        <v>98.0</v>
      </c>
      <c r="O8" s="137">
        <v>45839.0</v>
      </c>
      <c r="P8" s="1">
        <v>2491.66</v>
      </c>
      <c r="Q8" s="2">
        <f t="shared" si="1"/>
        <v>30431.97</v>
      </c>
    </row>
    <row r="9">
      <c r="A9" s="1" t="s">
        <v>1879</v>
      </c>
      <c r="B9" s="1">
        <v>98.0</v>
      </c>
      <c r="J9" s="2">
        <f>1426.07-2.38</f>
        <v>1423.69</v>
      </c>
      <c r="O9" s="137">
        <v>45870.0</v>
      </c>
      <c r="P9" s="1">
        <v>2491.66</v>
      </c>
      <c r="Q9" s="2">
        <f t="shared" si="1"/>
        <v>32923.63</v>
      </c>
    </row>
    <row r="10">
      <c r="A10" s="1" t="s">
        <v>1883</v>
      </c>
      <c r="B10" s="1">
        <v>176.2</v>
      </c>
      <c r="O10" s="137">
        <v>45901.0</v>
      </c>
      <c r="P10" s="1">
        <v>1791.66</v>
      </c>
      <c r="Q10" s="2">
        <f t="shared" si="1"/>
        <v>34715.29</v>
      </c>
    </row>
    <row r="11">
      <c r="A11" s="1" t="s">
        <v>1887</v>
      </c>
      <c r="B11" s="1">
        <v>6.17</v>
      </c>
      <c r="O11" s="137">
        <v>45931.0</v>
      </c>
      <c r="P11" s="1">
        <v>791.66</v>
      </c>
      <c r="Q11" s="2">
        <f t="shared" si="1"/>
        <v>35506.95</v>
      </c>
    </row>
    <row r="12">
      <c r="A12" s="1" t="s">
        <v>1888</v>
      </c>
      <c r="B12" s="1">
        <v>31.9</v>
      </c>
    </row>
    <row r="13">
      <c r="A13" s="1" t="s">
        <v>1892</v>
      </c>
      <c r="B13" s="1">
        <v>4.0</v>
      </c>
      <c r="D13" s="1" t="s">
        <v>1893</v>
      </c>
      <c r="G13" s="1" t="s">
        <v>8</v>
      </c>
    </row>
    <row r="14">
      <c r="B14" s="2">
        <f>SUM(B2:B13)</f>
        <v>708.63</v>
      </c>
      <c r="D14" s="1" t="s">
        <v>142</v>
      </c>
      <c r="E14" s="1">
        <v>708.63</v>
      </c>
      <c r="G14" s="1" t="s">
        <v>1897</v>
      </c>
      <c r="H14" s="1">
        <v>26135.41</v>
      </c>
      <c r="I14" s="1" t="s">
        <v>1859</v>
      </c>
    </row>
    <row r="15">
      <c r="D15" s="1" t="s">
        <v>153</v>
      </c>
      <c r="E15" s="1">
        <v>423.05</v>
      </c>
      <c r="G15" s="1" t="s">
        <v>1898</v>
      </c>
      <c r="H15" s="1">
        <v>1426.07</v>
      </c>
      <c r="I15" s="1" t="s">
        <v>1859</v>
      </c>
    </row>
    <row r="16">
      <c r="D16" s="1" t="s">
        <v>1899</v>
      </c>
      <c r="E16" s="1">
        <v>244.45</v>
      </c>
      <c r="G16" s="1" t="s">
        <v>1900</v>
      </c>
      <c r="H16" s="1">
        <v>781.72</v>
      </c>
      <c r="I16" s="1" t="s">
        <v>1859</v>
      </c>
      <c r="L16" s="1">
        <v>73592.86</v>
      </c>
      <c r="M16" s="1">
        <v>72.0</v>
      </c>
      <c r="N16" s="1">
        <v>2420.1</v>
      </c>
      <c r="O16" s="1">
        <v>2500.4</v>
      </c>
      <c r="P16" s="2">
        <f>O16-N16</f>
        <v>80.3</v>
      </c>
    </row>
    <row r="17">
      <c r="D17" s="1" t="s">
        <v>1907</v>
      </c>
      <c r="E17" s="1">
        <v>177.81</v>
      </c>
      <c r="G17" s="1" t="s">
        <v>142</v>
      </c>
      <c r="H17" s="2">
        <f>4491.66+3791.66+3291.66+2491.66+2491.66+2491.66+1791.66+791.66</f>
        <v>21633.28</v>
      </c>
      <c r="I17" s="1">
        <v>13873.67</v>
      </c>
    </row>
    <row r="18">
      <c r="D18" s="1" t="s">
        <v>15</v>
      </c>
      <c r="E18" s="1">
        <v>502.67</v>
      </c>
      <c r="G18" s="1" t="s">
        <v>152</v>
      </c>
      <c r="H18" s="2">
        <f>575.6+550+550+550+250+250+250+250</f>
        <v>3225.6</v>
      </c>
      <c r="I18" s="1">
        <v>575.6</v>
      </c>
    </row>
    <row r="19">
      <c r="D19" s="1" t="s">
        <v>82</v>
      </c>
      <c r="E19" s="1">
        <v>1687.0</v>
      </c>
      <c r="G19" s="1" t="s">
        <v>153</v>
      </c>
      <c r="H19" s="2">
        <f>973.07+919.07+919.07+419.07+419.07+419.07+119.07</f>
        <v>4187.49</v>
      </c>
    </row>
    <row r="20">
      <c r="D20" s="1" t="s">
        <v>141</v>
      </c>
      <c r="E20" s="1">
        <v>129.9</v>
      </c>
      <c r="G20" s="1" t="s">
        <v>146</v>
      </c>
      <c r="H20" s="1">
        <v>3744.85</v>
      </c>
    </row>
    <row r="21">
      <c r="D21" s="1" t="s">
        <v>136</v>
      </c>
      <c r="E21" s="1">
        <v>68.0</v>
      </c>
    </row>
    <row r="22">
      <c r="D22" s="1" t="s">
        <v>130</v>
      </c>
      <c r="E22" s="1">
        <v>250.0</v>
      </c>
    </row>
    <row r="23">
      <c r="E23" s="2">
        <f>SUM(E14:E22)</f>
        <v>4191.51</v>
      </c>
      <c r="H23" s="2">
        <f>SUM(H14:H22)</f>
        <v>61134.42</v>
      </c>
    </row>
    <row r="26">
      <c r="C26" s="1">
        <v>62082.12</v>
      </c>
      <c r="D26" s="1">
        <v>72.0</v>
      </c>
      <c r="E26" s="1">
        <v>2477.92</v>
      </c>
      <c r="F26" s="2">
        <f>E26*D26</f>
        <v>178410.24</v>
      </c>
      <c r="G26" s="2">
        <f t="shared" ref="G26:G27" si="2">F26-C26</f>
        <v>116328.12</v>
      </c>
    </row>
    <row r="27">
      <c r="C27" s="1">
        <v>73592.86</v>
      </c>
      <c r="D27" s="1">
        <v>72.0</v>
      </c>
      <c r="E27" s="1">
        <v>2500.4</v>
      </c>
      <c r="F27" s="2">
        <f>D27*E27</f>
        <v>180028.8</v>
      </c>
      <c r="G27" s="2">
        <f t="shared" si="2"/>
        <v>106435.94</v>
      </c>
      <c r="I27" s="2">
        <f>174247.2+5781.86</f>
        <v>180029.06</v>
      </c>
      <c r="J27" s="2">
        <f>2420.1+80.3</f>
        <v>2500.4</v>
      </c>
    </row>
  </sheetData>
  <drawing r:id="rId1"/>
</worksheet>
</file>